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4.xml" ContentType="application/vnd.ms-excel.controlproperties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EU\site\docs\"/>
    </mc:Choice>
  </mc:AlternateContent>
  <xr:revisionPtr revIDLastSave="0" documentId="8_{4DC3D8FD-227B-431F-9376-FE21AABA481A}" xr6:coauthVersionLast="47" xr6:coauthVersionMax="47" xr10:uidLastSave="{00000000-0000-0000-0000-000000000000}"/>
  <bookViews>
    <workbookView xWindow="-108" yWindow="-108" windowWidth="23256" windowHeight="13896" tabRatio="832" xr2:uid="{E6E48015-D89B-4517-A6DB-EFA365A2E44D}"/>
  </bookViews>
  <sheets>
    <sheet name="Intro" sheetId="1" r:id="rId1"/>
    <sheet name="Data and Kn" sheetId="2" r:id="rId2"/>
    <sheet name="Pressure" sheetId="3" r:id="rId3"/>
    <sheet name="Performance" sheetId="4" r:id="rId4"/>
    <sheet name="Nozzle Design" sheetId="11" r:id="rId5"/>
    <sheet name="Output" sheetId="5" r:id="rId6"/>
    <sheet name="Propellant data" sheetId="6" r:id="rId7"/>
    <sheet name="Burnrate" sheetId="7" r:id="rId8"/>
    <sheet name="Class" sheetId="9" r:id="rId9"/>
    <sheet name="UnitsConv" sheetId="8" r:id="rId10"/>
    <sheet name="Revisions" sheetId="10" r:id="rId11"/>
  </sheets>
  <externalReferences>
    <externalReference r:id="rId12"/>
  </externalReferences>
  <definedNames>
    <definedName name="abmax">'Data and Kn'!$K$96</definedName>
    <definedName name="abo">'Data and Kn'!$C$33</definedName>
    <definedName name="ae_1">Burnrate!$E$52</definedName>
    <definedName name="aexit">Performance!$C$8</definedName>
    <definedName name="alpha">'Nozzle Design'!$Y$9</definedName>
    <definedName name="am_0">Burnrate!$J$28</definedName>
    <definedName name="am_1">Burnrate!$J$52</definedName>
    <definedName name="am_3">Burnrate!$J$58</definedName>
    <definedName name="am_4">Burnrate!$J$64</definedName>
    <definedName name="an_0">Burnrate!$K$28</definedName>
    <definedName name="an_4">Burnrate!$K$64</definedName>
    <definedName name="astarf">Pressure!$I$862</definedName>
    <definedName name="at">'Data and Kn'!$C$36</definedName>
    <definedName name="atfinal">Performance!$E$862</definedName>
    <definedName name="beta">'Nozzle Design'!$Y$10</definedName>
    <definedName name="chpressures">'Data and Kn'!$AA$17:$AA$36</definedName>
    <definedName name="ci">'Data and Kn'!$Y$20</definedName>
    <definedName name="cstar">Pressure!$C$17</definedName>
    <definedName name="dc">'Data and Kn'!$C$10</definedName>
    <definedName name="dcplot">'Nozzle Design'!$C$9</definedName>
    <definedName name="deltap">Pressure!$AA$909</definedName>
    <definedName name="deltat">Pressure!$D$864</definedName>
    <definedName name="deltax">'Data and Kn'!$C$96</definedName>
    <definedName name="dio">'Data and Kn'!$C$17</definedName>
    <definedName name="do">'Data and Kn'!$C$16</definedName>
    <definedName name="dto">'Data and Kn'!$C$37</definedName>
    <definedName name="ei">'Data and Kn'!$Y$21</definedName>
    <definedName name="erate">'Data and Kn'!$C$39</definedName>
    <definedName name="etac">Pressure!$C$13</definedName>
    <definedName name="etanoz">Performance!$C$4</definedName>
    <definedName name="exprat">Performance!$C$5</definedName>
    <definedName name="expratfinal">Performance!$F$862</definedName>
    <definedName name="fmax">Performance!$C$16</definedName>
    <definedName name="fueltype">'Data and Kn'!$X$31</definedName>
    <definedName name="gstar">Pressure!$C$18</definedName>
    <definedName name="itot">Performance!$C$17</definedName>
    <definedName name="itsum">Performance!$L$911</definedName>
    <definedName name="k">Pressure!$C$12</definedName>
    <definedName name="k2ph">Performance!$C$3</definedName>
    <definedName name="kn">'Data and Kn'!$C$35</definedName>
    <definedName name="kndxbn_">Burnrate!$G$8:$K$12</definedName>
    <definedName name="knotherbn_">Burnrate!$G$52:$K$56</definedName>
    <definedName name="knrange">'Data and Kn'!$M$45:$M$95</definedName>
    <definedName name="knsbcobn_">Burnrate!$G$28:$K$28</definedName>
    <definedName name="knselecttab">'Data and Kn'!$AN$32:$AO$39</definedName>
    <definedName name="knsobn_">Burnrate!$G$19:$K$23</definedName>
    <definedName name="knsubn_">Burnrate!$G$33:$K$33</definedName>
    <definedName name="ks_dx">'Propellant data'!$F$10</definedName>
    <definedName name="ks_er">'Propellant data'!$I$10</definedName>
    <definedName name="ks_fr">'Propellant data'!$K$10</definedName>
    <definedName name="ks_mn">'Propellant data'!$J$10</definedName>
    <definedName name="ks_ot">'Propellant data'!$L$10</definedName>
    <definedName name="ks_so">'Propellant data'!$G$10</definedName>
    <definedName name="ks_su">'Propellant data'!$H$10</definedName>
    <definedName name="kv">Pressure!$C$19</definedName>
    <definedName name="lc">'Data and Kn'!$C$11</definedName>
    <definedName name="lgo">'Data and Kn'!$C$23</definedName>
    <definedName name="lo">'Data and Kn'!$C$18</definedName>
    <definedName name="m">Pressure!$C$10</definedName>
    <definedName name="m_dx">'Propellant data'!$F$11</definedName>
    <definedName name="m_er">'Propellant data'!$I$11</definedName>
    <definedName name="m_fr">'Propellant data'!$K$11</definedName>
    <definedName name="m_mn">'Propellant data'!$J$11</definedName>
    <definedName name="m_ot">'Propellant data'!$L$11</definedName>
    <definedName name="m_so">'Propellant data'!$G$11</definedName>
    <definedName name="m_su">'Propellant data'!$H$11</definedName>
    <definedName name="me">Performance!$C$9</definedName>
    <definedName name="mef">Performance!$C$10</definedName>
    <definedName name="mgrain">'Data and Kn'!$C$29</definedName>
    <definedName name="motorclass">Class!$B$6:$D$27</definedName>
    <definedName name="n">'Data and Kn'!$C$19</definedName>
    <definedName name="ne_1">Burnrate!$F$52</definedName>
    <definedName name="nm_1">Burnrate!$K$52</definedName>
    <definedName name="nm_3">Burnrate!$K$58</definedName>
    <definedName name="nm_4">Burnrate!$K$64</definedName>
    <definedName name="note1">'Data and Kn'!$C$98</definedName>
    <definedName name="osi">'Data and Kn'!$Y$19</definedName>
    <definedName name="otherbn_">Burnrate!$B$59:$F$63</definedName>
    <definedName name="patm">Pressure!$C$16</definedName>
    <definedName name="pbd">Pressure!$X$22</definedName>
    <definedName name="pbout">Pressure!$AB$862</definedName>
    <definedName name="pfinal">Pressure!$AB$909</definedName>
    <definedName name="pmax">Pressure!$AB$22</definedName>
    <definedName name="pmaxperc">Pressure!$AA$907</definedName>
    <definedName name="pmselect">'Data and Kn'!$AE$32</definedName>
    <definedName name="pressures">'Data and Kn'!$AA$17:$AA$57</definedName>
    <definedName name="_xlnm.Print_Area" localSheetId="1">'Data and Kn'!$A$4:$M$40</definedName>
    <definedName name="_xlnm.Print_Area" localSheetId="5">Output!$A$2:$J$49</definedName>
    <definedName name="_xlnm.Print_Area" localSheetId="3">Performance!$B$1:$M$23</definedName>
    <definedName name="_xlnm.Print_Area" localSheetId="2">Pressure!$B$1:$M$20</definedName>
    <definedName name="propellants">'Data and Kn'!$X$17:$X$24</definedName>
    <definedName name="pselect">'Data and Kn'!$C$34</definedName>
    <definedName name="rat">Pressure!$C$11</definedName>
    <definedName name="ravg">Pressure!$P$863</definedName>
    <definedName name="rhopdex">'Propellant data'!$F$9</definedName>
    <definedName name="rhoper">'Propellant data'!$I$9</definedName>
    <definedName name="rhopfr">'Propellant data'!$K$9</definedName>
    <definedName name="rhopgrain">'Data and Kn'!$C$28</definedName>
    <definedName name="rhopgraini">'Data and Kn'!$C$26</definedName>
    <definedName name="rhopmn">'Propellant data'!$J$9</definedName>
    <definedName name="rhopot">'Propellant data'!$L$9</definedName>
    <definedName name="rhopsorb">'Propellant data'!$G$9</definedName>
    <definedName name="rhopsu">'Propellant data'!$H$9</definedName>
    <definedName name="rhorat">'Data and Kn'!$C$27</definedName>
    <definedName name="runiv">Pressure!$C$9</definedName>
    <definedName name="s_su">'Propellant data'!#REF!</definedName>
    <definedName name="surfacecondition">'Data and Kn'!$Y$17:$Y$18</definedName>
    <definedName name="tbinc">Pressure!$J$23</definedName>
    <definedName name="tbout">Pressure!$Q$862</definedName>
    <definedName name="tincp">Pressure!$Q$12</definedName>
    <definedName name="to">Pressure!$C$15</definedName>
    <definedName name="to_dx">'Propellant data'!$F$12</definedName>
    <definedName name="to_er">'Propellant data'!$I$12</definedName>
    <definedName name="to_fr">'Propellant data'!$K$12</definedName>
    <definedName name="to_mn">'Propellant data'!$J$12</definedName>
    <definedName name="to_ot">'Propellant data'!$L$12</definedName>
    <definedName name="to_so">'Propellant data'!$G$12</definedName>
    <definedName name="to_su">'Propellant data'!$H$12</definedName>
    <definedName name="tothe">Pressure!$C$14</definedName>
    <definedName name="tthr">Pressure!$Q$909</definedName>
    <definedName name="tweb">[1]Calcs!$F$25</definedName>
    <definedName name="twebfinal">'Data and Kn'!$G$95</definedName>
    <definedName name="twebout">Pressure!$D$862</definedName>
    <definedName name="two">'Data and Kn'!$G$45</definedName>
    <definedName name="vc">'Data and Kn'!$C$12</definedName>
    <definedName name="vg">'Data and Kn'!$C$24</definedName>
    <definedName name="xfinal">'Data and Kn'!$C$95</definedName>
    <definedName name="xinc">'Data and Kn'!$C$42</definedName>
    <definedName name="xincp">Pressure!$C$24</definedName>
    <definedName name="Z_136183A0_5E83_4B15_A2A6_F3C23DCC406A_.wvu.Cols" localSheetId="8" hidden="1">Class!$A:$A</definedName>
    <definedName name="Z_136183A0_5E83_4B15_A2A6_F3C23DCC406A_.wvu.PrintArea" localSheetId="1" hidden="1">'Data and Kn'!$A$4:$M$40</definedName>
    <definedName name="Z_136183A0_5E83_4B15_A2A6_F3C23DCC406A_.wvu.PrintArea" localSheetId="5" hidden="1">Output!$A$2:$J$49</definedName>
    <definedName name="Z_136183A0_5E83_4B15_A2A6_F3C23DCC406A_.wvu.PrintArea" localSheetId="3" hidden="1">Performance!$B$1:$M$23</definedName>
    <definedName name="Z_136183A0_5E83_4B15_A2A6_F3C23DCC406A_.wvu.PrintArea" localSheetId="2" hidden="1">Pressure!$B$1:$M$20</definedName>
  </definedNames>
  <calcPr calcId="191029" fullCalcOnLoad="1"/>
  <customWorkbookViews>
    <customWorkbookView name="vq591d - Personal View" guid="{136183A0-5E83-4B15-A2A6-F3C23DCC406A}" mergeInterval="0" changesSavedWin="1" personalView="1" maximized="1" xWindow="1" yWindow="1" windowWidth="1773" windowHeight="729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3" i="7" l="1"/>
  <c r="AH83" i="7"/>
  <c r="AI82" i="7"/>
  <c r="AH82" i="7"/>
  <c r="AI81" i="7"/>
  <c r="AH81" i="7"/>
  <c r="AI80" i="7"/>
  <c r="AH80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J57" i="7"/>
  <c r="AI56" i="7"/>
  <c r="AH56" i="7"/>
  <c r="AJ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J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J20" i="7"/>
  <c r="AI19" i="7"/>
  <c r="AH19" i="7"/>
  <c r="AJ19" i="7"/>
  <c r="AI18" i="7"/>
  <c r="AH18" i="7"/>
  <c r="AI17" i="7"/>
  <c r="AH17" i="7"/>
  <c r="AI16" i="7"/>
  <c r="AH16" i="7"/>
  <c r="AI15" i="7"/>
  <c r="AH15" i="7"/>
  <c r="AI14" i="7"/>
  <c r="AH14" i="7"/>
  <c r="AJ14" i="7"/>
  <c r="AI13" i="7"/>
  <c r="AH13" i="7"/>
  <c r="AI12" i="7"/>
  <c r="AH12" i="7"/>
  <c r="AI11" i="7"/>
  <c r="AH11" i="7"/>
  <c r="AI9" i="7"/>
  <c r="AH9" i="7"/>
  <c r="AJ9" i="7"/>
  <c r="AI10" i="7"/>
  <c r="AH10" i="7"/>
  <c r="AJ10" i="7"/>
  <c r="X31" i="2"/>
  <c r="C26" i="2"/>
  <c r="C28" i="2"/>
  <c r="K12" i="6"/>
  <c r="K11" i="6"/>
  <c r="K10" i="6"/>
  <c r="AF83" i="7"/>
  <c r="AE83" i="7"/>
  <c r="AF82" i="7"/>
  <c r="AE82" i="7"/>
  <c r="AF81" i="7"/>
  <c r="AE81" i="7"/>
  <c r="AF80" i="7"/>
  <c r="AE80" i="7"/>
  <c r="AF79" i="7"/>
  <c r="AE79" i="7"/>
  <c r="AF78" i="7"/>
  <c r="AE78" i="7"/>
  <c r="AF77" i="7"/>
  <c r="AE77" i="7"/>
  <c r="AF76" i="7"/>
  <c r="AE76" i="7"/>
  <c r="AF75" i="7"/>
  <c r="AE75" i="7"/>
  <c r="AF74" i="7"/>
  <c r="AE74" i="7"/>
  <c r="AF73" i="7"/>
  <c r="AE73" i="7"/>
  <c r="AF72" i="7"/>
  <c r="AE72" i="7"/>
  <c r="AF71" i="7"/>
  <c r="AE71" i="7"/>
  <c r="AF70" i="7"/>
  <c r="AE70" i="7"/>
  <c r="AF69" i="7"/>
  <c r="AE69" i="7"/>
  <c r="AF68" i="7"/>
  <c r="AE68" i="7"/>
  <c r="AF67" i="7"/>
  <c r="AE67" i="7"/>
  <c r="AF66" i="7"/>
  <c r="AE66" i="7"/>
  <c r="AF65" i="7"/>
  <c r="AE65" i="7"/>
  <c r="AF64" i="7"/>
  <c r="AE64" i="7"/>
  <c r="AF63" i="7"/>
  <c r="AE63" i="7"/>
  <c r="AF62" i="7"/>
  <c r="AE62" i="7"/>
  <c r="AF61" i="7"/>
  <c r="AE61" i="7"/>
  <c r="AF60" i="7"/>
  <c r="AE60" i="7"/>
  <c r="AF59" i="7"/>
  <c r="AE59" i="7"/>
  <c r="AF58" i="7"/>
  <c r="AE58" i="7"/>
  <c r="AF57" i="7"/>
  <c r="AE57" i="7"/>
  <c r="AG57" i="7"/>
  <c r="AF56" i="7"/>
  <c r="AE56" i="7"/>
  <c r="AG56" i="7"/>
  <c r="AF55" i="7"/>
  <c r="AE55" i="7"/>
  <c r="AF54" i="7"/>
  <c r="AE54" i="7"/>
  <c r="AF53" i="7"/>
  <c r="AE53" i="7"/>
  <c r="AF52" i="7"/>
  <c r="AE52" i="7"/>
  <c r="AF51" i="7"/>
  <c r="AE51" i="7"/>
  <c r="AF50" i="7"/>
  <c r="AE50" i="7"/>
  <c r="AF49" i="7"/>
  <c r="AE49" i="7"/>
  <c r="AF48" i="7"/>
  <c r="AE48" i="7"/>
  <c r="AF47" i="7"/>
  <c r="AE47" i="7"/>
  <c r="AF46" i="7"/>
  <c r="AE46" i="7"/>
  <c r="AF45" i="7"/>
  <c r="AE45" i="7"/>
  <c r="AF44" i="7"/>
  <c r="AE44" i="7"/>
  <c r="AF43" i="7"/>
  <c r="AE43" i="7"/>
  <c r="AF42" i="7"/>
  <c r="AE42" i="7"/>
  <c r="AF41" i="7"/>
  <c r="AE41" i="7"/>
  <c r="AF40" i="7"/>
  <c r="AE40" i="7"/>
  <c r="AF39" i="7"/>
  <c r="AE39" i="7"/>
  <c r="AF38" i="7"/>
  <c r="AE38" i="7"/>
  <c r="AF37" i="7"/>
  <c r="AE37" i="7"/>
  <c r="AF36" i="7"/>
  <c r="AE36" i="7"/>
  <c r="AF35" i="7"/>
  <c r="AE35" i="7"/>
  <c r="AF34" i="7"/>
  <c r="AE34" i="7"/>
  <c r="AG34" i="7"/>
  <c r="AF33" i="7"/>
  <c r="AE33" i="7"/>
  <c r="AF32" i="7"/>
  <c r="AE32" i="7"/>
  <c r="AF31" i="7"/>
  <c r="AE31" i="7"/>
  <c r="AF30" i="7"/>
  <c r="AE30" i="7"/>
  <c r="AF29" i="7"/>
  <c r="AE29" i="7"/>
  <c r="AF28" i="7"/>
  <c r="AE28" i="7"/>
  <c r="AF27" i="7"/>
  <c r="AE27" i="7"/>
  <c r="AF26" i="7"/>
  <c r="AE26" i="7"/>
  <c r="AF25" i="7"/>
  <c r="AE25" i="7"/>
  <c r="AF24" i="7"/>
  <c r="AE24" i="7"/>
  <c r="AF23" i="7"/>
  <c r="AE23" i="7"/>
  <c r="AF22" i="7"/>
  <c r="AE22" i="7"/>
  <c r="AF21" i="7"/>
  <c r="AE21" i="7"/>
  <c r="AF20" i="7"/>
  <c r="AE20" i="7"/>
  <c r="AG20" i="7"/>
  <c r="AF19" i="7"/>
  <c r="AE19" i="7"/>
  <c r="AG19" i="7"/>
  <c r="AF18" i="7"/>
  <c r="AE18" i="7"/>
  <c r="AF17" i="7"/>
  <c r="AE17" i="7"/>
  <c r="AF16" i="7"/>
  <c r="AE16" i="7"/>
  <c r="AF15" i="7"/>
  <c r="AE15" i="7"/>
  <c r="AF14" i="7"/>
  <c r="AE14" i="7"/>
  <c r="AG14" i="7"/>
  <c r="AF13" i="7"/>
  <c r="AE13" i="7"/>
  <c r="AF12" i="7"/>
  <c r="AE12" i="7"/>
  <c r="AF11" i="7"/>
  <c r="AE11" i="7"/>
  <c r="AF10" i="7"/>
  <c r="AE10" i="7"/>
  <c r="AG10" i="7"/>
  <c r="AF9" i="7"/>
  <c r="AE9" i="7"/>
  <c r="AG9" i="7"/>
  <c r="N5" i="7"/>
  <c r="N9" i="7"/>
  <c r="P9" i="7"/>
  <c r="O9" i="7"/>
  <c r="S9" i="7"/>
  <c r="U9" i="7"/>
  <c r="T9" i="7"/>
  <c r="V9" i="7"/>
  <c r="W9" i="7"/>
  <c r="X9" i="7"/>
  <c r="Y9" i="7"/>
  <c r="AA9" i="7"/>
  <c r="Z9" i="7"/>
  <c r="AB9" i="7"/>
  <c r="AD9" i="7"/>
  <c r="AC9" i="7"/>
  <c r="M10" i="7"/>
  <c r="N10" i="7"/>
  <c r="R10" i="7"/>
  <c r="S10" i="7"/>
  <c r="V10" i="7"/>
  <c r="W10" i="7"/>
  <c r="Y10" i="7"/>
  <c r="AA10" i="7"/>
  <c r="Z10" i="7"/>
  <c r="AB10" i="7"/>
  <c r="AC10" i="7"/>
  <c r="M11" i="7"/>
  <c r="O11" i="7"/>
  <c r="N11" i="7"/>
  <c r="V11" i="7"/>
  <c r="W11" i="7"/>
  <c r="Y11" i="7"/>
  <c r="Z11" i="7"/>
  <c r="AB11" i="7"/>
  <c r="AC11" i="7"/>
  <c r="N12" i="7"/>
  <c r="P12" i="7"/>
  <c r="O12" i="7"/>
  <c r="V12" i="7"/>
  <c r="W12" i="7"/>
  <c r="Y12" i="7"/>
  <c r="Z12" i="7"/>
  <c r="AB12" i="7"/>
  <c r="AC12" i="7"/>
  <c r="M13" i="7"/>
  <c r="M14" i="7"/>
  <c r="V13" i="7"/>
  <c r="W13" i="7"/>
  <c r="Y13" i="7"/>
  <c r="Z13" i="7"/>
  <c r="AB13" i="7"/>
  <c r="AC13" i="7"/>
  <c r="S14" i="7"/>
  <c r="T14" i="7"/>
  <c r="U14" i="7"/>
  <c r="V14" i="7"/>
  <c r="W14" i="7"/>
  <c r="X14" i="7"/>
  <c r="Y14" i="7"/>
  <c r="AA14" i="7"/>
  <c r="Z14" i="7"/>
  <c r="AB14" i="7"/>
  <c r="AC14" i="7"/>
  <c r="AD14" i="7"/>
  <c r="R15" i="7"/>
  <c r="T15" i="7"/>
  <c r="V15" i="7"/>
  <c r="W15" i="7"/>
  <c r="Y15" i="7"/>
  <c r="AA15" i="7"/>
  <c r="Z15" i="7"/>
  <c r="AB15" i="7"/>
  <c r="AC15" i="7"/>
  <c r="AD15" i="7"/>
  <c r="V16" i="7"/>
  <c r="W16" i="7"/>
  <c r="Y16" i="7"/>
  <c r="Z16" i="7"/>
  <c r="AB16" i="7"/>
  <c r="AC16" i="7"/>
  <c r="V17" i="7"/>
  <c r="W17" i="7"/>
  <c r="Y17" i="7"/>
  <c r="Z17" i="7"/>
  <c r="AB17" i="7"/>
  <c r="AC17" i="7"/>
  <c r="V18" i="7"/>
  <c r="W18" i="7"/>
  <c r="Y18" i="7"/>
  <c r="Z18" i="7"/>
  <c r="AB18" i="7"/>
  <c r="AC18" i="7"/>
  <c r="N19" i="7"/>
  <c r="O19" i="7"/>
  <c r="P19" i="7"/>
  <c r="S19" i="7"/>
  <c r="U19" i="7"/>
  <c r="T19" i="7"/>
  <c r="V19" i="7"/>
  <c r="X19" i="7"/>
  <c r="W19" i="7"/>
  <c r="Y19" i="7"/>
  <c r="Z19" i="7"/>
  <c r="AB19" i="7"/>
  <c r="AC19" i="7"/>
  <c r="AD19" i="7"/>
  <c r="M20" i="7"/>
  <c r="N20" i="7"/>
  <c r="R20" i="7"/>
  <c r="T20" i="7"/>
  <c r="V20" i="7"/>
  <c r="W20" i="7"/>
  <c r="Y20" i="7"/>
  <c r="Z20" i="7"/>
  <c r="AA20" i="7"/>
  <c r="AB20" i="7"/>
  <c r="AD20" i="7"/>
  <c r="AC20" i="7"/>
  <c r="V21" i="7"/>
  <c r="W21" i="7"/>
  <c r="Y21" i="7"/>
  <c r="Z21" i="7"/>
  <c r="AB21" i="7"/>
  <c r="AC21" i="7"/>
  <c r="V22" i="7"/>
  <c r="W22" i="7"/>
  <c r="Y22" i="7"/>
  <c r="Z22" i="7"/>
  <c r="AB22" i="7"/>
  <c r="AC22" i="7"/>
  <c r="V23" i="7"/>
  <c r="W23" i="7"/>
  <c r="Y23" i="7"/>
  <c r="Z23" i="7"/>
  <c r="AB23" i="7"/>
  <c r="AC23" i="7"/>
  <c r="V24" i="7"/>
  <c r="W24" i="7"/>
  <c r="Y24" i="7"/>
  <c r="Z24" i="7"/>
  <c r="AB24" i="7"/>
  <c r="AC24" i="7"/>
  <c r="V25" i="7"/>
  <c r="W25" i="7"/>
  <c r="Y25" i="7"/>
  <c r="Z25" i="7"/>
  <c r="AB25" i="7"/>
  <c r="AC25" i="7"/>
  <c r="V26" i="7"/>
  <c r="W26" i="7"/>
  <c r="Y26" i="7"/>
  <c r="Z26" i="7"/>
  <c r="AB26" i="7"/>
  <c r="AC26" i="7"/>
  <c r="V27" i="7"/>
  <c r="W27" i="7"/>
  <c r="Y27" i="7"/>
  <c r="Z27" i="7"/>
  <c r="AB27" i="7"/>
  <c r="AC27" i="7"/>
  <c r="V28" i="7"/>
  <c r="W28" i="7"/>
  <c r="Y28" i="7"/>
  <c r="Z28" i="7"/>
  <c r="AB28" i="7"/>
  <c r="AC28" i="7"/>
  <c r="V29" i="7"/>
  <c r="W29" i="7"/>
  <c r="Y29" i="7"/>
  <c r="Z29" i="7"/>
  <c r="AB29" i="7"/>
  <c r="AC29" i="7"/>
  <c r="V30" i="7"/>
  <c r="W30" i="7"/>
  <c r="Y30" i="7"/>
  <c r="Z30" i="7"/>
  <c r="AB30" i="7"/>
  <c r="AC30" i="7"/>
  <c r="V31" i="7"/>
  <c r="W31" i="7"/>
  <c r="Y31" i="7"/>
  <c r="Z31" i="7"/>
  <c r="AB31" i="7"/>
  <c r="AC31" i="7"/>
  <c r="N32" i="7"/>
  <c r="P32" i="7"/>
  <c r="O32" i="7"/>
  <c r="V32" i="7"/>
  <c r="W32" i="7"/>
  <c r="Y32" i="7"/>
  <c r="Z32" i="7"/>
  <c r="AB32" i="7"/>
  <c r="AC32" i="7"/>
  <c r="M33" i="7"/>
  <c r="M34" i="7"/>
  <c r="N33" i="7"/>
  <c r="V33" i="7"/>
  <c r="W33" i="7"/>
  <c r="Y33" i="7"/>
  <c r="Z33" i="7"/>
  <c r="AB33" i="7"/>
  <c r="AC33" i="7"/>
  <c r="N34" i="7"/>
  <c r="P34" i="7"/>
  <c r="O34" i="7"/>
  <c r="S34" i="7"/>
  <c r="U34" i="7"/>
  <c r="T34" i="7"/>
  <c r="V34" i="7"/>
  <c r="W34" i="7"/>
  <c r="X34" i="7"/>
  <c r="Y34" i="7"/>
  <c r="Z34" i="7"/>
  <c r="AB34" i="7"/>
  <c r="AC34" i="7"/>
  <c r="AD34" i="7"/>
  <c r="M35" i="7"/>
  <c r="M36" i="7"/>
  <c r="N35" i="7"/>
  <c r="R35" i="7"/>
  <c r="R36" i="7"/>
  <c r="S36" i="7"/>
  <c r="S35" i="7"/>
  <c r="T35" i="7"/>
  <c r="V35" i="7"/>
  <c r="W35" i="7"/>
  <c r="X35" i="7"/>
  <c r="Y35" i="7"/>
  <c r="Z35" i="7"/>
  <c r="AB35" i="7"/>
  <c r="AD35" i="7"/>
  <c r="AC35" i="7"/>
  <c r="V36" i="7"/>
  <c r="W36" i="7"/>
  <c r="Y36" i="7"/>
  <c r="Z36" i="7"/>
  <c r="AB36" i="7"/>
  <c r="AC36" i="7"/>
  <c r="V37" i="7"/>
  <c r="W37" i="7"/>
  <c r="Y37" i="7"/>
  <c r="Z37" i="7"/>
  <c r="AB37" i="7"/>
  <c r="AC37" i="7"/>
  <c r="V38" i="7"/>
  <c r="W38" i="7"/>
  <c r="Y38" i="7"/>
  <c r="Z38" i="7"/>
  <c r="AB38" i="7"/>
  <c r="AC38" i="7"/>
  <c r="V39" i="7"/>
  <c r="W39" i="7"/>
  <c r="Y39" i="7"/>
  <c r="Z39" i="7"/>
  <c r="AB39" i="7"/>
  <c r="AC39" i="7"/>
  <c r="V40" i="7"/>
  <c r="W40" i="7"/>
  <c r="Y40" i="7"/>
  <c r="Z40" i="7"/>
  <c r="AB40" i="7"/>
  <c r="AC40" i="7"/>
  <c r="V41" i="7"/>
  <c r="W41" i="7"/>
  <c r="Y41" i="7"/>
  <c r="Z41" i="7"/>
  <c r="AB41" i="7"/>
  <c r="AC41" i="7"/>
  <c r="N42" i="7"/>
  <c r="O42" i="7"/>
  <c r="V42" i="7"/>
  <c r="W42" i="7"/>
  <c r="Y42" i="7"/>
  <c r="Z42" i="7"/>
  <c r="AB42" i="7"/>
  <c r="AC42" i="7"/>
  <c r="M43" i="7"/>
  <c r="N43" i="7"/>
  <c r="P43" i="7"/>
  <c r="O43" i="7"/>
  <c r="V43" i="7"/>
  <c r="W43" i="7"/>
  <c r="Y43" i="7"/>
  <c r="Z43" i="7"/>
  <c r="AB43" i="7"/>
  <c r="AC43" i="7"/>
  <c r="M44" i="7"/>
  <c r="O44" i="7"/>
  <c r="V44" i="7"/>
  <c r="W44" i="7"/>
  <c r="Y44" i="7"/>
  <c r="Z44" i="7"/>
  <c r="AB44" i="7"/>
  <c r="AC44" i="7"/>
  <c r="V45" i="7"/>
  <c r="W45" i="7"/>
  <c r="Y45" i="7"/>
  <c r="Z45" i="7"/>
  <c r="AB45" i="7"/>
  <c r="AC45" i="7"/>
  <c r="V46" i="7"/>
  <c r="W46" i="7"/>
  <c r="Y46" i="7"/>
  <c r="Z46" i="7"/>
  <c r="AB46" i="7"/>
  <c r="AC46" i="7"/>
  <c r="V47" i="7"/>
  <c r="W47" i="7"/>
  <c r="Y47" i="7"/>
  <c r="Z47" i="7"/>
  <c r="AB47" i="7"/>
  <c r="AC47" i="7"/>
  <c r="V48" i="7"/>
  <c r="W48" i="7"/>
  <c r="Y48" i="7"/>
  <c r="Z48" i="7"/>
  <c r="AB48" i="7"/>
  <c r="AC48" i="7"/>
  <c r="V49" i="7"/>
  <c r="W49" i="7"/>
  <c r="Y49" i="7"/>
  <c r="Z49" i="7"/>
  <c r="AB49" i="7"/>
  <c r="AC49" i="7"/>
  <c r="V50" i="7"/>
  <c r="W50" i="7"/>
  <c r="Y50" i="7"/>
  <c r="Z50" i="7"/>
  <c r="AB50" i="7"/>
  <c r="AC50" i="7"/>
  <c r="V51" i="7"/>
  <c r="W51" i="7"/>
  <c r="Y51" i="7"/>
  <c r="Z51" i="7"/>
  <c r="AB51" i="7"/>
  <c r="AC51" i="7"/>
  <c r="V52" i="7"/>
  <c r="W52" i="7"/>
  <c r="Y52" i="7"/>
  <c r="Z52" i="7"/>
  <c r="AB52" i="7"/>
  <c r="AC52" i="7"/>
  <c r="V53" i="7"/>
  <c r="W53" i="7"/>
  <c r="Y53" i="7"/>
  <c r="Z53" i="7"/>
  <c r="AB53" i="7"/>
  <c r="AC53" i="7"/>
  <c r="V54" i="7"/>
  <c r="W54" i="7"/>
  <c r="Y54" i="7"/>
  <c r="Z54" i="7"/>
  <c r="AB54" i="7"/>
  <c r="AC54" i="7"/>
  <c r="V55" i="7"/>
  <c r="W55" i="7"/>
  <c r="Y55" i="7"/>
  <c r="Z55" i="7"/>
  <c r="AB55" i="7"/>
  <c r="AC55" i="7"/>
  <c r="S56" i="7"/>
  <c r="U56" i="7"/>
  <c r="T56" i="7"/>
  <c r="V56" i="7"/>
  <c r="X56" i="7"/>
  <c r="W56" i="7"/>
  <c r="Y56" i="7"/>
  <c r="Z56" i="7"/>
  <c r="AA56" i="7"/>
  <c r="AB56" i="7"/>
  <c r="AC56" i="7"/>
  <c r="AD56" i="7"/>
  <c r="R57" i="7"/>
  <c r="S57" i="7"/>
  <c r="T57" i="7"/>
  <c r="U57" i="7"/>
  <c r="V57" i="7"/>
  <c r="W57" i="7"/>
  <c r="X57" i="7"/>
  <c r="Y57" i="7"/>
  <c r="AA57" i="7"/>
  <c r="Z57" i="7"/>
  <c r="AB57" i="7"/>
  <c r="AD57" i="7"/>
  <c r="AC57" i="7"/>
  <c r="R58" i="7"/>
  <c r="T58" i="7"/>
  <c r="S58" i="7"/>
  <c r="U58" i="7"/>
  <c r="V58" i="7"/>
  <c r="W58" i="7"/>
  <c r="Y58" i="7"/>
  <c r="AA58" i="7"/>
  <c r="Z58" i="7"/>
  <c r="AB58" i="7"/>
  <c r="AC58" i="7"/>
  <c r="AD58" i="7"/>
  <c r="R59" i="7"/>
  <c r="T59" i="7"/>
  <c r="V59" i="7"/>
  <c r="W59" i="7"/>
  <c r="Y59" i="7"/>
  <c r="Z59" i="7"/>
  <c r="AB59" i="7"/>
  <c r="AC59" i="7"/>
  <c r="V60" i="7"/>
  <c r="W60" i="7"/>
  <c r="Y60" i="7"/>
  <c r="Z60" i="7"/>
  <c r="AB60" i="7"/>
  <c r="AC60" i="7"/>
  <c r="V61" i="7"/>
  <c r="W61" i="7"/>
  <c r="Y61" i="7"/>
  <c r="Z61" i="7"/>
  <c r="AB61" i="7"/>
  <c r="AC61" i="7"/>
  <c r="V62" i="7"/>
  <c r="W62" i="7"/>
  <c r="Y62" i="7"/>
  <c r="Z62" i="7"/>
  <c r="AB62" i="7"/>
  <c r="AC62" i="7"/>
  <c r="V63" i="7"/>
  <c r="W63" i="7"/>
  <c r="Y63" i="7"/>
  <c r="Z63" i="7"/>
  <c r="AB63" i="7"/>
  <c r="AC63" i="7"/>
  <c r="V64" i="7"/>
  <c r="W64" i="7"/>
  <c r="Y64" i="7"/>
  <c r="Z64" i="7"/>
  <c r="AB64" i="7"/>
  <c r="AC64" i="7"/>
  <c r="V65" i="7"/>
  <c r="W65" i="7"/>
  <c r="Y65" i="7"/>
  <c r="Z65" i="7"/>
  <c r="AB65" i="7"/>
  <c r="AC65" i="7"/>
  <c r="V66" i="7"/>
  <c r="W66" i="7"/>
  <c r="Y66" i="7"/>
  <c r="Z66" i="7"/>
  <c r="AB66" i="7"/>
  <c r="AC66" i="7"/>
  <c r="V67" i="7"/>
  <c r="W67" i="7"/>
  <c r="Y67" i="7"/>
  <c r="Z67" i="7"/>
  <c r="AB67" i="7"/>
  <c r="AC67" i="7"/>
  <c r="V68" i="7"/>
  <c r="W68" i="7"/>
  <c r="Y68" i="7"/>
  <c r="Z68" i="7"/>
  <c r="AB68" i="7"/>
  <c r="AC68" i="7"/>
  <c r="V69" i="7"/>
  <c r="W69" i="7"/>
  <c r="Y69" i="7"/>
  <c r="Z69" i="7"/>
  <c r="AB69" i="7"/>
  <c r="AC69" i="7"/>
  <c r="V70" i="7"/>
  <c r="W70" i="7"/>
  <c r="Y70" i="7"/>
  <c r="Z70" i="7"/>
  <c r="AB70" i="7"/>
  <c r="AC70" i="7"/>
  <c r="V71" i="7"/>
  <c r="W71" i="7"/>
  <c r="Y71" i="7"/>
  <c r="Z71" i="7"/>
  <c r="AB71" i="7"/>
  <c r="AC71" i="7"/>
  <c r="V72" i="7"/>
  <c r="W72" i="7"/>
  <c r="Y72" i="7"/>
  <c r="Z72" i="7"/>
  <c r="AB72" i="7"/>
  <c r="AC72" i="7"/>
  <c r="V73" i="7"/>
  <c r="W73" i="7"/>
  <c r="Y73" i="7"/>
  <c r="Z73" i="7"/>
  <c r="AB73" i="7"/>
  <c r="AC73" i="7"/>
  <c r="V74" i="7"/>
  <c r="W74" i="7"/>
  <c r="Y74" i="7"/>
  <c r="Z74" i="7"/>
  <c r="AB74" i="7"/>
  <c r="AC74" i="7"/>
  <c r="V75" i="7"/>
  <c r="W75" i="7"/>
  <c r="Y75" i="7"/>
  <c r="Z75" i="7"/>
  <c r="AB75" i="7"/>
  <c r="AC75" i="7"/>
  <c r="V76" i="7"/>
  <c r="W76" i="7"/>
  <c r="Y76" i="7"/>
  <c r="Z76" i="7"/>
  <c r="AB76" i="7"/>
  <c r="AC76" i="7"/>
  <c r="V77" i="7"/>
  <c r="W77" i="7"/>
  <c r="Y77" i="7"/>
  <c r="Z77" i="7"/>
  <c r="AB77" i="7"/>
  <c r="AC77" i="7"/>
  <c r="V78" i="7"/>
  <c r="W78" i="7"/>
  <c r="Y78" i="7"/>
  <c r="Z78" i="7"/>
  <c r="AB78" i="7"/>
  <c r="AC78" i="7"/>
  <c r="V79" i="7"/>
  <c r="W79" i="7"/>
  <c r="Y79" i="7"/>
  <c r="Z79" i="7"/>
  <c r="AB79" i="7"/>
  <c r="AC79" i="7"/>
  <c r="V80" i="7"/>
  <c r="W80" i="7"/>
  <c r="Y80" i="7"/>
  <c r="Z80" i="7"/>
  <c r="AB80" i="7"/>
  <c r="AC80" i="7"/>
  <c r="V81" i="7"/>
  <c r="W81" i="7"/>
  <c r="Y81" i="7"/>
  <c r="Z81" i="7"/>
  <c r="AB81" i="7"/>
  <c r="AC81" i="7"/>
  <c r="V82" i="7"/>
  <c r="W82" i="7"/>
  <c r="Y82" i="7"/>
  <c r="Z82" i="7"/>
  <c r="AB82" i="7"/>
  <c r="AC82" i="7"/>
  <c r="V83" i="7"/>
  <c r="W83" i="7"/>
  <c r="Y83" i="7"/>
  <c r="Z83" i="7"/>
  <c r="AB83" i="7"/>
  <c r="AC83" i="7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D22" i="9"/>
  <c r="F22" i="9"/>
  <c r="D23" i="9"/>
  <c r="B23" i="9"/>
  <c r="C12" i="2"/>
  <c r="A16" i="2"/>
  <c r="A19" i="2"/>
  <c r="Y19" i="2"/>
  <c r="Y20" i="2"/>
  <c r="D45" i="2"/>
  <c r="Y21" i="2"/>
  <c r="A24" i="2"/>
  <c r="C23" i="2"/>
  <c r="F45" i="2"/>
  <c r="C30" i="2"/>
  <c r="AD32" i="2"/>
  <c r="AB34" i="2"/>
  <c r="AB35" i="2"/>
  <c r="AB36" i="2"/>
  <c r="AB37" i="2"/>
  <c r="AB38" i="2"/>
  <c r="AB39" i="2"/>
  <c r="AB40" i="2"/>
  <c r="AB41" i="2"/>
  <c r="AB42" i="2"/>
  <c r="AE32" i="2"/>
  <c r="AB43" i="2"/>
  <c r="AB44" i="2"/>
  <c r="A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C46" i="2"/>
  <c r="C47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C9" i="11"/>
  <c r="Y20" i="11"/>
  <c r="Y9" i="11"/>
  <c r="Y10" i="11"/>
  <c r="B7" i="5"/>
  <c r="B8" i="5"/>
  <c r="D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D4" i="4"/>
  <c r="C6" i="4"/>
  <c r="C25" i="4"/>
  <c r="I28" i="4"/>
  <c r="K28" i="4"/>
  <c r="E24" i="5"/>
  <c r="L28" i="4"/>
  <c r="C24" i="5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C910" i="4"/>
  <c r="E28" i="3"/>
  <c r="F28" i="3"/>
  <c r="G28" i="3"/>
  <c r="G29" i="3"/>
  <c r="G30" i="3"/>
  <c r="G31" i="3"/>
  <c r="G32" i="3"/>
  <c r="X28" i="3"/>
  <c r="B29" i="3"/>
  <c r="B30" i="3"/>
  <c r="B31" i="3"/>
  <c r="B32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P909" i="3"/>
  <c r="E7" i="8"/>
  <c r="K7" i="8"/>
  <c r="E8" i="8"/>
  <c r="K8" i="8"/>
  <c r="E9" i="8"/>
  <c r="K9" i="8"/>
  <c r="E10" i="8"/>
  <c r="K10" i="8"/>
  <c r="E11" i="8"/>
  <c r="K11" i="8"/>
  <c r="E12" i="8"/>
  <c r="K12" i="8"/>
  <c r="E13" i="8"/>
  <c r="K13" i="8"/>
  <c r="E14" i="8"/>
  <c r="K14" i="8"/>
  <c r="E15" i="8"/>
  <c r="K15" i="8"/>
  <c r="E16" i="8"/>
  <c r="K16" i="8"/>
  <c r="R28" i="3"/>
  <c r="S28" i="3"/>
  <c r="T28" i="3"/>
  <c r="Z28" i="3"/>
  <c r="F29" i="3"/>
  <c r="F30" i="3"/>
  <c r="F31" i="3"/>
  <c r="F32" i="3"/>
  <c r="X36" i="7"/>
  <c r="T36" i="7"/>
  <c r="U36" i="7"/>
  <c r="R37" i="7"/>
  <c r="AA36" i="7"/>
  <c r="F46" i="2"/>
  <c r="C24" i="2"/>
  <c r="C25" i="2"/>
  <c r="AD36" i="7"/>
  <c r="AA34" i="7"/>
  <c r="M21" i="7"/>
  <c r="O10" i="7"/>
  <c r="P10" i="7"/>
  <c r="O35" i="7"/>
  <c r="P35" i="7"/>
  <c r="I45" i="2"/>
  <c r="O20" i="7"/>
  <c r="P20" i="7"/>
  <c r="C31" i="2"/>
  <c r="A23" i="2"/>
  <c r="M22" i="7"/>
  <c r="N22" i="7"/>
  <c r="N21" i="7"/>
  <c r="O21" i="7"/>
  <c r="AA37" i="7"/>
  <c r="S37" i="7"/>
  <c r="U37" i="7"/>
  <c r="T37" i="7"/>
  <c r="R38" i="7"/>
  <c r="O22" i="7"/>
  <c r="M23" i="7"/>
  <c r="S38" i="7"/>
  <c r="AA38" i="7"/>
  <c r="AD38" i="7"/>
  <c r="D46" i="2"/>
  <c r="E46" i="2"/>
  <c r="D29" i="3"/>
  <c r="Z14" i="11"/>
  <c r="J29" i="3"/>
  <c r="D31" i="3"/>
  <c r="AN30" i="2"/>
  <c r="AO39" i="2"/>
  <c r="AN21" i="2"/>
  <c r="AN26" i="2"/>
  <c r="AO35" i="2"/>
  <c r="AN27" i="2"/>
  <c r="AO36" i="2"/>
  <c r="AN22" i="2"/>
  <c r="AN29" i="2"/>
  <c r="AO38" i="2"/>
  <c r="AN28" i="2"/>
  <c r="AO37" i="2"/>
  <c r="AN23" i="2"/>
  <c r="AN24" i="2"/>
  <c r="AO33" i="2"/>
  <c r="AN25" i="2"/>
  <c r="AO34" i="2"/>
  <c r="J31" i="3"/>
  <c r="R30" i="3"/>
  <c r="S30" i="3"/>
  <c r="T30" i="3"/>
  <c r="D30" i="3"/>
  <c r="R31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J30" i="3"/>
  <c r="R29" i="3"/>
  <c r="S29" i="3"/>
  <c r="T29" i="3"/>
  <c r="I46" i="2"/>
  <c r="G46" i="2"/>
  <c r="J46" i="2"/>
  <c r="S31" i="3"/>
  <c r="T31" i="3"/>
  <c r="Z20" i="11"/>
  <c r="AA14" i="11"/>
  <c r="AA20" i="11"/>
  <c r="AO32" i="2"/>
  <c r="C35" i="2"/>
  <c r="P11" i="7"/>
  <c r="U31" i="3"/>
  <c r="U28" i="3"/>
  <c r="U30" i="3"/>
  <c r="U29" i="3"/>
  <c r="C29" i="2"/>
  <c r="D9" i="5"/>
  <c r="D10" i="5"/>
  <c r="N14" i="7"/>
  <c r="O14" i="7"/>
  <c r="M15" i="7"/>
  <c r="AD10" i="7"/>
  <c r="AG21" i="7"/>
  <c r="N13" i="7"/>
  <c r="O13" i="7"/>
  <c r="E47" i="2"/>
  <c r="F47" i="2"/>
  <c r="C48" i="2"/>
  <c r="D47" i="2"/>
  <c r="I47" i="2"/>
  <c r="R60" i="7"/>
  <c r="S59" i="7"/>
  <c r="U59" i="7"/>
  <c r="X59" i="7"/>
  <c r="AA59" i="7"/>
  <c r="AD59" i="7"/>
  <c r="P21" i="7"/>
  <c r="J32" i="3"/>
  <c r="F33" i="3"/>
  <c r="R32" i="3"/>
  <c r="S32" i="3"/>
  <c r="T32" i="3"/>
  <c r="D32" i="3"/>
  <c r="O23" i="7"/>
  <c r="M24" i="7"/>
  <c r="N23" i="7"/>
  <c r="P23" i="7"/>
  <c r="H46" i="2"/>
  <c r="K46" i="2"/>
  <c r="T38" i="7"/>
  <c r="U38" i="7"/>
  <c r="R39" i="7"/>
  <c r="X38" i="7"/>
  <c r="P22" i="7"/>
  <c r="F23" i="9"/>
  <c r="X37" i="7"/>
  <c r="AD37" i="7"/>
  <c r="X20" i="7"/>
  <c r="P42" i="7"/>
  <c r="U35" i="7"/>
  <c r="J28" i="3"/>
  <c r="AA35" i="7"/>
  <c r="X60" i="7"/>
  <c r="N44" i="7"/>
  <c r="P44" i="7"/>
  <c r="M45" i="7"/>
  <c r="N36" i="7"/>
  <c r="O36" i="7"/>
  <c r="M37" i="7"/>
  <c r="X58" i="7"/>
  <c r="X15" i="7"/>
  <c r="R16" i="7"/>
  <c r="AG16" i="7"/>
  <c r="S15" i="7"/>
  <c r="U15" i="7"/>
  <c r="X10" i="7"/>
  <c r="O33" i="7"/>
  <c r="P33" i="7"/>
  <c r="R21" i="7"/>
  <c r="AJ21" i="7"/>
  <c r="S20" i="7"/>
  <c r="U20" i="7"/>
  <c r="AG35" i="7"/>
  <c r="AJ35" i="7"/>
  <c r="AG36" i="7"/>
  <c r="AG58" i="7"/>
  <c r="AJ36" i="7"/>
  <c r="AJ58" i="7"/>
  <c r="AG15" i="7"/>
  <c r="AG37" i="7"/>
  <c r="AG59" i="7"/>
  <c r="AJ15" i="7"/>
  <c r="AJ37" i="7"/>
  <c r="AJ59" i="7"/>
  <c r="C32" i="2"/>
  <c r="C33" i="2"/>
  <c r="A22" i="2"/>
  <c r="AA19" i="7"/>
  <c r="AG38" i="7"/>
  <c r="AG60" i="7"/>
  <c r="AJ38" i="7"/>
  <c r="AJ60" i="7"/>
  <c r="E45" i="2"/>
  <c r="AG39" i="7"/>
  <c r="C10" i="3"/>
  <c r="C11" i="3"/>
  <c r="C12" i="3"/>
  <c r="C14" i="3"/>
  <c r="C15" i="3"/>
  <c r="O28" i="3"/>
  <c r="N28" i="3"/>
  <c r="R11" i="7"/>
  <c r="AG11" i="7"/>
  <c r="T10" i="7"/>
  <c r="U10" i="7"/>
  <c r="S39" i="7"/>
  <c r="T39" i="7"/>
  <c r="R40" i="7"/>
  <c r="X39" i="7"/>
  <c r="AD39" i="7"/>
  <c r="AA39" i="7"/>
  <c r="U32" i="3"/>
  <c r="C49" i="2"/>
  <c r="F48" i="2"/>
  <c r="D48" i="2"/>
  <c r="I48" i="2"/>
  <c r="E48" i="2"/>
  <c r="P13" i="7"/>
  <c r="P14" i="7"/>
  <c r="AD21" i="7"/>
  <c r="M25" i="7"/>
  <c r="N24" i="7"/>
  <c r="O24" i="7"/>
  <c r="AA11" i="7"/>
  <c r="S11" i="7"/>
  <c r="U11" i="7"/>
  <c r="X11" i="7"/>
  <c r="R12" i="7"/>
  <c r="T11" i="7"/>
  <c r="D24" i="9"/>
  <c r="B24" i="9"/>
  <c r="F24" i="9"/>
  <c r="AJ16" i="7"/>
  <c r="N37" i="7"/>
  <c r="O37" i="7"/>
  <c r="M38" i="7"/>
  <c r="AJ39" i="7"/>
  <c r="P36" i="7"/>
  <c r="C3" i="4"/>
  <c r="G910" i="4"/>
  <c r="D9" i="4"/>
  <c r="G22" i="4"/>
  <c r="J47" i="2"/>
  <c r="G47" i="2"/>
  <c r="H47" i="2"/>
  <c r="K47" i="2"/>
  <c r="AJ11" i="7"/>
  <c r="AI872" i="3"/>
  <c r="AI875" i="3"/>
  <c r="AI891" i="3"/>
  <c r="AI882" i="3"/>
  <c r="AI878" i="3"/>
  <c r="AI900" i="3"/>
  <c r="AI874" i="3"/>
  <c r="AI892" i="3"/>
  <c r="AI865" i="3"/>
  <c r="AI876" i="3"/>
  <c r="AI877" i="3"/>
  <c r="AI873" i="3"/>
  <c r="AI867" i="3"/>
  <c r="AI870" i="3"/>
  <c r="AI908" i="3"/>
  <c r="AI894" i="3"/>
  <c r="AI902" i="3"/>
  <c r="AI896" i="3"/>
  <c r="AI909" i="3"/>
  <c r="AI864" i="3"/>
  <c r="AI890" i="3"/>
  <c r="AI879" i="3"/>
  <c r="AI903" i="3"/>
  <c r="AI897" i="3"/>
  <c r="AI887" i="3"/>
  <c r="AI907" i="3"/>
  <c r="AI884" i="3"/>
  <c r="AI880" i="3"/>
  <c r="AI886" i="3"/>
  <c r="AI893" i="3"/>
  <c r="AI889" i="3"/>
  <c r="AI888" i="3"/>
  <c r="AI895" i="3"/>
  <c r="AI881" i="3"/>
  <c r="AI905" i="3"/>
  <c r="C17" i="3"/>
  <c r="AI906" i="3"/>
  <c r="AI901" i="3"/>
  <c r="AI869" i="3"/>
  <c r="AA28" i="3"/>
  <c r="AB28" i="3"/>
  <c r="AI899" i="3"/>
  <c r="AI866" i="3"/>
  <c r="AI883" i="3"/>
  <c r="AI868" i="3"/>
  <c r="AI885" i="3"/>
  <c r="AI863" i="3"/>
  <c r="AI898" i="3"/>
  <c r="AI871" i="3"/>
  <c r="AI904" i="3"/>
  <c r="M46" i="7"/>
  <c r="O45" i="7"/>
  <c r="N45" i="7"/>
  <c r="P45" i="7"/>
  <c r="T21" i="7"/>
  <c r="S21" i="7"/>
  <c r="U21" i="7"/>
  <c r="X21" i="7"/>
  <c r="AA21" i="7"/>
  <c r="R22" i="7"/>
  <c r="N15" i="7"/>
  <c r="O15" i="7"/>
  <c r="M16" i="7"/>
  <c r="AD16" i="7"/>
  <c r="S16" i="7"/>
  <c r="T16" i="7"/>
  <c r="X16" i="7"/>
  <c r="R17" i="7"/>
  <c r="AA16" i="7"/>
  <c r="R33" i="3"/>
  <c r="J33" i="3"/>
  <c r="F34" i="3"/>
  <c r="D33" i="3"/>
  <c r="G45" i="2"/>
  <c r="H45" i="2"/>
  <c r="K45" i="2"/>
  <c r="J45" i="2"/>
  <c r="AD11" i="7"/>
  <c r="AD60" i="7"/>
  <c r="S60" i="7"/>
  <c r="T60" i="7"/>
  <c r="AA60" i="7"/>
  <c r="R61" i="7"/>
  <c r="C28" i="4"/>
  <c r="G28" i="4"/>
  <c r="M29" i="3"/>
  <c r="AC28" i="3"/>
  <c r="P15" i="7"/>
  <c r="U60" i="7"/>
  <c r="T22" i="7"/>
  <c r="R23" i="7"/>
  <c r="AA22" i="7"/>
  <c r="S22" i="7"/>
  <c r="U22" i="7"/>
  <c r="X22" i="7"/>
  <c r="AD22" i="7"/>
  <c r="AG22" i="7"/>
  <c r="AJ22" i="7"/>
  <c r="N25" i="7"/>
  <c r="O25" i="7"/>
  <c r="M26" i="7"/>
  <c r="M39" i="7"/>
  <c r="N38" i="7"/>
  <c r="O38" i="7"/>
  <c r="E49" i="2"/>
  <c r="D49" i="2"/>
  <c r="I49" i="2"/>
  <c r="F49" i="2"/>
  <c r="C50" i="2"/>
  <c r="U16" i="7"/>
  <c r="S61" i="7"/>
  <c r="T61" i="7"/>
  <c r="R62" i="7"/>
  <c r="X61" i="7"/>
  <c r="AD61" i="7"/>
  <c r="AG61" i="7"/>
  <c r="AJ61" i="7"/>
  <c r="AA61" i="7"/>
  <c r="P37" i="7"/>
  <c r="O46" i="7"/>
  <c r="N46" i="7"/>
  <c r="P46" i="7"/>
  <c r="M47" i="7"/>
  <c r="AA17" i="7"/>
  <c r="AD17" i="7"/>
  <c r="S17" i="7"/>
  <c r="T17" i="7"/>
  <c r="R18" i="7"/>
  <c r="X17" i="7"/>
  <c r="AJ17" i="7"/>
  <c r="AG17" i="7"/>
  <c r="N16" i="7"/>
  <c r="O16" i="7"/>
  <c r="M17" i="7"/>
  <c r="D25" i="9"/>
  <c r="B25" i="9"/>
  <c r="F25" i="9"/>
  <c r="X40" i="7"/>
  <c r="AD40" i="7"/>
  <c r="R41" i="7"/>
  <c r="AA40" i="7"/>
  <c r="S40" i="7"/>
  <c r="U40" i="7"/>
  <c r="T40" i="7"/>
  <c r="AG40" i="7"/>
  <c r="AJ40" i="7"/>
  <c r="H48" i="2"/>
  <c r="K48" i="2"/>
  <c r="G48" i="2"/>
  <c r="J48" i="2"/>
  <c r="D34" i="3"/>
  <c r="J34" i="3"/>
  <c r="F35" i="3"/>
  <c r="R34" i="3"/>
  <c r="P24" i="7"/>
  <c r="D28" i="3"/>
  <c r="D865" i="3"/>
  <c r="S33" i="3"/>
  <c r="T33" i="3"/>
  <c r="U33" i="3"/>
  <c r="AD12" i="7"/>
  <c r="S12" i="7"/>
  <c r="R13" i="7"/>
  <c r="X12" i="7"/>
  <c r="AA12" i="7"/>
  <c r="T12" i="7"/>
  <c r="AJ12" i="7"/>
  <c r="AG12" i="7"/>
  <c r="U39" i="7"/>
  <c r="H49" i="2"/>
  <c r="J49" i="2"/>
  <c r="G49" i="2"/>
  <c r="U12" i="7"/>
  <c r="P38" i="7"/>
  <c r="O26" i="7"/>
  <c r="N26" i="7"/>
  <c r="P26" i="7"/>
  <c r="M27" i="7"/>
  <c r="AA18" i="7"/>
  <c r="S18" i="7"/>
  <c r="X18" i="7"/>
  <c r="T18" i="7"/>
  <c r="AJ18" i="7"/>
  <c r="AD18" i="7"/>
  <c r="AG18" i="7"/>
  <c r="P25" i="7"/>
  <c r="X41" i="7"/>
  <c r="AD41" i="7"/>
  <c r="S41" i="7"/>
  <c r="U41" i="7"/>
  <c r="T41" i="7"/>
  <c r="R42" i="7"/>
  <c r="AA41" i="7"/>
  <c r="AJ41" i="7"/>
  <c r="AG41" i="7"/>
  <c r="P16" i="7"/>
  <c r="AD28" i="3"/>
  <c r="M48" i="7"/>
  <c r="N47" i="7"/>
  <c r="O47" i="7"/>
  <c r="T62" i="7"/>
  <c r="S62" i="7"/>
  <c r="U62" i="7"/>
  <c r="AA62" i="7"/>
  <c r="R63" i="7"/>
  <c r="AD62" i="7"/>
  <c r="X62" i="7"/>
  <c r="AG62" i="7"/>
  <c r="AJ62" i="7"/>
  <c r="R24" i="7"/>
  <c r="S23" i="7"/>
  <c r="X23" i="7"/>
  <c r="AA23" i="7"/>
  <c r="T23" i="7"/>
  <c r="AJ23" i="7"/>
  <c r="AD23" i="7"/>
  <c r="AG23" i="7"/>
  <c r="O17" i="7"/>
  <c r="M18" i="7"/>
  <c r="N17" i="7"/>
  <c r="P17" i="7"/>
  <c r="N29" i="3"/>
  <c r="O29" i="3"/>
  <c r="D35" i="3"/>
  <c r="R35" i="3"/>
  <c r="F36" i="3"/>
  <c r="J35" i="3"/>
  <c r="U17" i="7"/>
  <c r="N39" i="7"/>
  <c r="M40" i="7"/>
  <c r="O39" i="7"/>
  <c r="AD13" i="7"/>
  <c r="S13" i="7"/>
  <c r="T13" i="7"/>
  <c r="AA13" i="7"/>
  <c r="AJ13" i="7"/>
  <c r="AG13" i="7"/>
  <c r="X13" i="7"/>
  <c r="D26" i="9"/>
  <c r="B26" i="9"/>
  <c r="F26" i="9"/>
  <c r="U61" i="7"/>
  <c r="S34" i="3"/>
  <c r="T34" i="3"/>
  <c r="U34" i="3"/>
  <c r="E50" i="2"/>
  <c r="F50" i="2"/>
  <c r="D50" i="2"/>
  <c r="I50" i="2"/>
  <c r="C51" i="2"/>
  <c r="F51" i="2"/>
  <c r="C52" i="2"/>
  <c r="E51" i="2"/>
  <c r="D51" i="2"/>
  <c r="I51" i="2"/>
  <c r="P47" i="7"/>
  <c r="S63" i="7"/>
  <c r="X63" i="7"/>
  <c r="AD63" i="7"/>
  <c r="R64" i="7"/>
  <c r="T63" i="7"/>
  <c r="AA63" i="7"/>
  <c r="AG63" i="7"/>
  <c r="AJ63" i="7"/>
  <c r="O48" i="7"/>
  <c r="M49" i="7"/>
  <c r="N48" i="7"/>
  <c r="P48" i="7"/>
  <c r="S35" i="3"/>
  <c r="T35" i="3"/>
  <c r="U35" i="3"/>
  <c r="F27" i="9"/>
  <c r="D27" i="9"/>
  <c r="B27" i="9"/>
  <c r="N27" i="7"/>
  <c r="P27" i="7"/>
  <c r="O27" i="7"/>
  <c r="M28" i="7"/>
  <c r="AD24" i="7"/>
  <c r="R25" i="7"/>
  <c r="T24" i="7"/>
  <c r="X24" i="7"/>
  <c r="S24" i="7"/>
  <c r="U24" i="7"/>
  <c r="AG24" i="7"/>
  <c r="AJ24" i="7"/>
  <c r="AA24" i="7"/>
  <c r="N40" i="7"/>
  <c r="O40" i="7"/>
  <c r="M41" i="7"/>
  <c r="P39" i="7"/>
  <c r="D36" i="3"/>
  <c r="F37" i="3"/>
  <c r="R36" i="3"/>
  <c r="J36" i="3"/>
  <c r="N18" i="7"/>
  <c r="O18" i="7"/>
  <c r="J50" i="2"/>
  <c r="G50" i="2"/>
  <c r="H50" i="2"/>
  <c r="U18" i="7"/>
  <c r="AA42" i="7"/>
  <c r="S42" i="7"/>
  <c r="T42" i="7"/>
  <c r="R43" i="7"/>
  <c r="AD42" i="7"/>
  <c r="X42" i="7"/>
  <c r="AG42" i="7"/>
  <c r="AJ42" i="7"/>
  <c r="U13" i="7"/>
  <c r="U23" i="7"/>
  <c r="K49" i="2"/>
  <c r="N41" i="7"/>
  <c r="O41" i="7"/>
  <c r="T64" i="7"/>
  <c r="X64" i="7"/>
  <c r="R65" i="7"/>
  <c r="AA64" i="7"/>
  <c r="AD64" i="7"/>
  <c r="S64" i="7"/>
  <c r="U64" i="7"/>
  <c r="AG64" i="7"/>
  <c r="AJ64" i="7"/>
  <c r="X43" i="7"/>
  <c r="S43" i="7"/>
  <c r="U43" i="7"/>
  <c r="AA43" i="7"/>
  <c r="AD43" i="7"/>
  <c r="T43" i="7"/>
  <c r="R44" i="7"/>
  <c r="AJ43" i="7"/>
  <c r="AG43" i="7"/>
  <c r="U42" i="7"/>
  <c r="X25" i="7"/>
  <c r="AA25" i="7"/>
  <c r="R26" i="7"/>
  <c r="T25" i="7"/>
  <c r="AD25" i="7"/>
  <c r="S25" i="7"/>
  <c r="U25" i="7"/>
  <c r="AJ25" i="7"/>
  <c r="AG25" i="7"/>
  <c r="P18" i="7"/>
  <c r="F38" i="3"/>
  <c r="D37" i="3"/>
  <c r="J37" i="3"/>
  <c r="R37" i="3"/>
  <c r="O49" i="7"/>
  <c r="M50" i="7"/>
  <c r="N49" i="7"/>
  <c r="P49" i="7"/>
  <c r="M29" i="7"/>
  <c r="N28" i="7"/>
  <c r="P28" i="7"/>
  <c r="O28" i="7"/>
  <c r="J51" i="2"/>
  <c r="H51" i="2"/>
  <c r="K51" i="2"/>
  <c r="G51" i="2"/>
  <c r="P40" i="7"/>
  <c r="U63" i="7"/>
  <c r="K50" i="2"/>
  <c r="C53" i="2"/>
  <c r="E52" i="2"/>
  <c r="F52" i="2"/>
  <c r="D52" i="2"/>
  <c r="I52" i="2"/>
  <c r="S36" i="3"/>
  <c r="T36" i="3"/>
  <c r="U36" i="3"/>
  <c r="N29" i="7"/>
  <c r="M30" i="7"/>
  <c r="O29" i="7"/>
  <c r="J38" i="3"/>
  <c r="D38" i="3"/>
  <c r="R38" i="3"/>
  <c r="F39" i="3"/>
  <c r="S37" i="3"/>
  <c r="T37" i="3"/>
  <c r="U37" i="3"/>
  <c r="H52" i="2"/>
  <c r="K52" i="2"/>
  <c r="J52" i="2"/>
  <c r="G52" i="2"/>
  <c r="N50" i="7"/>
  <c r="P50" i="7"/>
  <c r="O50" i="7"/>
  <c r="M51" i="7"/>
  <c r="X44" i="7"/>
  <c r="AD44" i="7"/>
  <c r="AA44" i="7"/>
  <c r="S44" i="7"/>
  <c r="U44" i="7"/>
  <c r="T44" i="7"/>
  <c r="R45" i="7"/>
  <c r="AG44" i="7"/>
  <c r="AJ44" i="7"/>
  <c r="E53" i="2"/>
  <c r="F53" i="2"/>
  <c r="C54" i="2"/>
  <c r="D53" i="2"/>
  <c r="I53" i="2"/>
  <c r="S65" i="7"/>
  <c r="R66" i="7"/>
  <c r="T65" i="7"/>
  <c r="AA65" i="7"/>
  <c r="AD65" i="7"/>
  <c r="AG65" i="7"/>
  <c r="AJ65" i="7"/>
  <c r="X65" i="7"/>
  <c r="T26" i="7"/>
  <c r="S26" i="7"/>
  <c r="U26" i="7"/>
  <c r="X26" i="7"/>
  <c r="R27" i="7"/>
  <c r="AA26" i="7"/>
  <c r="AD26" i="7"/>
  <c r="AJ26" i="7"/>
  <c r="AG26" i="7"/>
  <c r="P41" i="7"/>
  <c r="AA27" i="7"/>
  <c r="S27" i="7"/>
  <c r="R28" i="7"/>
  <c r="X27" i="7"/>
  <c r="AD27" i="7"/>
  <c r="T27" i="7"/>
  <c r="AJ27" i="7"/>
  <c r="AG27" i="7"/>
  <c r="E54" i="2"/>
  <c r="C55" i="2"/>
  <c r="D54" i="2"/>
  <c r="F54" i="2"/>
  <c r="S38" i="3"/>
  <c r="T38" i="3"/>
  <c r="U38" i="3"/>
  <c r="N51" i="7"/>
  <c r="O51" i="7"/>
  <c r="M52" i="7"/>
  <c r="J39" i="3"/>
  <c r="D39" i="3"/>
  <c r="F40" i="3"/>
  <c r="R39" i="3"/>
  <c r="R67" i="7"/>
  <c r="T66" i="7"/>
  <c r="S66" i="7"/>
  <c r="U66" i="7"/>
  <c r="X66" i="7"/>
  <c r="AA66" i="7"/>
  <c r="AD66" i="7"/>
  <c r="AG66" i="7"/>
  <c r="AJ66" i="7"/>
  <c r="X45" i="7"/>
  <c r="AD45" i="7"/>
  <c r="S45" i="7"/>
  <c r="T45" i="7"/>
  <c r="R46" i="7"/>
  <c r="AA45" i="7"/>
  <c r="AJ45" i="7"/>
  <c r="AG45" i="7"/>
  <c r="O30" i="7"/>
  <c r="M31" i="7"/>
  <c r="N30" i="7"/>
  <c r="P30" i="7"/>
  <c r="U65" i="7"/>
  <c r="H53" i="2"/>
  <c r="J53" i="2"/>
  <c r="G53" i="2"/>
  <c r="P29" i="7"/>
  <c r="S39" i="3"/>
  <c r="T39" i="3"/>
  <c r="U39" i="3"/>
  <c r="S46" i="7"/>
  <c r="U46" i="7"/>
  <c r="T46" i="7"/>
  <c r="R47" i="7"/>
  <c r="X46" i="7"/>
  <c r="AA46" i="7"/>
  <c r="AD46" i="7"/>
  <c r="AG46" i="7"/>
  <c r="AJ46" i="7"/>
  <c r="O52" i="7"/>
  <c r="M53" i="7"/>
  <c r="N52" i="7"/>
  <c r="P52" i="7"/>
  <c r="P51" i="7"/>
  <c r="U45" i="7"/>
  <c r="H54" i="2"/>
  <c r="K54" i="2"/>
  <c r="G54" i="2"/>
  <c r="J54" i="2"/>
  <c r="AA28" i="7"/>
  <c r="AD28" i="7"/>
  <c r="S28" i="7"/>
  <c r="U28" i="7"/>
  <c r="T28" i="7"/>
  <c r="R29" i="7"/>
  <c r="X28" i="7"/>
  <c r="AG28" i="7"/>
  <c r="AJ28" i="7"/>
  <c r="O31" i="7"/>
  <c r="N31" i="7"/>
  <c r="P31" i="7"/>
  <c r="I54" i="2"/>
  <c r="AA67" i="7"/>
  <c r="S67" i="7"/>
  <c r="AD67" i="7"/>
  <c r="X67" i="7"/>
  <c r="R68" i="7"/>
  <c r="T67" i="7"/>
  <c r="AJ67" i="7"/>
  <c r="AG67" i="7"/>
  <c r="U27" i="7"/>
  <c r="R40" i="3"/>
  <c r="D40" i="3"/>
  <c r="F41" i="3"/>
  <c r="J40" i="3"/>
  <c r="E55" i="2"/>
  <c r="F55" i="2"/>
  <c r="C56" i="2"/>
  <c r="D55" i="2"/>
  <c r="I55" i="2"/>
  <c r="K53" i="2"/>
  <c r="S40" i="3"/>
  <c r="T40" i="3"/>
  <c r="U40" i="3"/>
  <c r="U67" i="7"/>
  <c r="AA68" i="7"/>
  <c r="X68" i="7"/>
  <c r="T68" i="7"/>
  <c r="S68" i="7"/>
  <c r="U68" i="7"/>
  <c r="R69" i="7"/>
  <c r="AJ68" i="7"/>
  <c r="AG68" i="7"/>
  <c r="AD68" i="7"/>
  <c r="F56" i="2"/>
  <c r="C57" i="2"/>
  <c r="E56" i="2"/>
  <c r="D56" i="2"/>
  <c r="I56" i="2"/>
  <c r="F42" i="3"/>
  <c r="D41" i="3"/>
  <c r="R41" i="3"/>
  <c r="J41" i="3"/>
  <c r="S29" i="7"/>
  <c r="U29" i="7"/>
  <c r="T29" i="7"/>
  <c r="R30" i="7"/>
  <c r="AA29" i="7"/>
  <c r="X29" i="7"/>
  <c r="AD29" i="7"/>
  <c r="AJ29" i="7"/>
  <c r="AG29" i="7"/>
  <c r="N53" i="7"/>
  <c r="M54" i="7"/>
  <c r="O53" i="7"/>
  <c r="T47" i="7"/>
  <c r="X47" i="7"/>
  <c r="AA47" i="7"/>
  <c r="AD47" i="7"/>
  <c r="S47" i="7"/>
  <c r="U47" i="7"/>
  <c r="R48" i="7"/>
  <c r="AJ47" i="7"/>
  <c r="AG47" i="7"/>
  <c r="J55" i="2"/>
  <c r="H55" i="2"/>
  <c r="K55" i="2"/>
  <c r="G55" i="2"/>
  <c r="R70" i="7"/>
  <c r="T69" i="7"/>
  <c r="X69" i="7"/>
  <c r="AA69" i="7"/>
  <c r="S5" i="7"/>
  <c r="AD69" i="7"/>
  <c r="S69" i="7"/>
  <c r="U69" i="7"/>
  <c r="AJ69" i="7"/>
  <c r="AG69" i="7"/>
  <c r="O54" i="7"/>
  <c r="N54" i="7"/>
  <c r="J56" i="2"/>
  <c r="G56" i="2"/>
  <c r="H56" i="2"/>
  <c r="K56" i="2"/>
  <c r="X30" i="7"/>
  <c r="AA30" i="7"/>
  <c r="AD30" i="7"/>
  <c r="S30" i="7"/>
  <c r="T30" i="7"/>
  <c r="R31" i="7"/>
  <c r="AG30" i="7"/>
  <c r="AJ30" i="7"/>
  <c r="S41" i="3"/>
  <c r="T41" i="3"/>
  <c r="U41" i="3"/>
  <c r="S48" i="7"/>
  <c r="R49" i="7"/>
  <c r="AA48" i="7"/>
  <c r="T48" i="7"/>
  <c r="AD48" i="7"/>
  <c r="X48" i="7"/>
  <c r="AJ48" i="7"/>
  <c r="AG48" i="7"/>
  <c r="F57" i="2"/>
  <c r="C58" i="2"/>
  <c r="E57" i="2"/>
  <c r="D57" i="2"/>
  <c r="I57" i="2"/>
  <c r="D42" i="3"/>
  <c r="J42" i="3"/>
  <c r="F43" i="3"/>
  <c r="R42" i="3"/>
  <c r="P53" i="7"/>
  <c r="J57" i="2"/>
  <c r="H57" i="2"/>
  <c r="K57" i="2"/>
  <c r="G57" i="2"/>
  <c r="U48" i="7"/>
  <c r="D43" i="3"/>
  <c r="R43" i="3"/>
  <c r="F44" i="3"/>
  <c r="J43" i="3"/>
  <c r="S42" i="3"/>
  <c r="T42" i="3"/>
  <c r="U42" i="3"/>
  <c r="U30" i="7"/>
  <c r="P54" i="7"/>
  <c r="C59" i="2"/>
  <c r="D58" i="2"/>
  <c r="I58" i="2"/>
  <c r="F58" i="2"/>
  <c r="E58" i="2"/>
  <c r="S49" i="7"/>
  <c r="T49" i="7"/>
  <c r="R50" i="7"/>
  <c r="X49" i="7"/>
  <c r="AA49" i="7"/>
  <c r="AD49" i="7"/>
  <c r="AJ49" i="7"/>
  <c r="AG49" i="7"/>
  <c r="T70" i="7"/>
  <c r="AA70" i="7"/>
  <c r="X70" i="7"/>
  <c r="AD70" i="7"/>
  <c r="S70" i="7"/>
  <c r="U70" i="7"/>
  <c r="R71" i="7"/>
  <c r="AJ70" i="7"/>
  <c r="AG70" i="7"/>
  <c r="S31" i="7"/>
  <c r="T31" i="7"/>
  <c r="R32" i="7"/>
  <c r="AA31" i="7"/>
  <c r="X31" i="7"/>
  <c r="AD31" i="7"/>
  <c r="AJ31" i="7"/>
  <c r="AG31" i="7"/>
  <c r="S50" i="7"/>
  <c r="AD50" i="7"/>
  <c r="T50" i="7"/>
  <c r="R51" i="7"/>
  <c r="AG50" i="7"/>
  <c r="AJ50" i="7"/>
  <c r="X50" i="7"/>
  <c r="AA50" i="7"/>
  <c r="U31" i="7"/>
  <c r="C60" i="2"/>
  <c r="F59" i="2"/>
  <c r="D59" i="2"/>
  <c r="I59" i="2"/>
  <c r="E59" i="2"/>
  <c r="J58" i="2"/>
  <c r="H58" i="2"/>
  <c r="K58" i="2"/>
  <c r="G58" i="2"/>
  <c r="J44" i="3"/>
  <c r="F45" i="3"/>
  <c r="D44" i="3"/>
  <c r="R44" i="3"/>
  <c r="U49" i="7"/>
  <c r="AA32" i="7"/>
  <c r="S32" i="7"/>
  <c r="X32" i="7"/>
  <c r="T32" i="7"/>
  <c r="R33" i="7"/>
  <c r="AD32" i="7"/>
  <c r="AJ32" i="7"/>
  <c r="AG32" i="7"/>
  <c r="T71" i="7"/>
  <c r="S71" i="7"/>
  <c r="U71" i="7"/>
  <c r="R72" i="7"/>
  <c r="AD71" i="7"/>
  <c r="X71" i="7"/>
  <c r="AA71" i="7"/>
  <c r="AG71" i="7"/>
  <c r="AJ71" i="7"/>
  <c r="S43" i="3"/>
  <c r="T43" i="3"/>
  <c r="U43" i="3"/>
  <c r="F46" i="3"/>
  <c r="J45" i="3"/>
  <c r="D45" i="3"/>
  <c r="R45" i="3"/>
  <c r="S44" i="3"/>
  <c r="T44" i="3"/>
  <c r="U44" i="3"/>
  <c r="G59" i="2"/>
  <c r="J59" i="2"/>
  <c r="H59" i="2"/>
  <c r="K59" i="2"/>
  <c r="T72" i="7"/>
  <c r="AA72" i="7"/>
  <c r="S72" i="7"/>
  <c r="U72" i="7"/>
  <c r="R73" i="7"/>
  <c r="AD72" i="7"/>
  <c r="X72" i="7"/>
  <c r="AG72" i="7"/>
  <c r="AJ72" i="7"/>
  <c r="U32" i="7"/>
  <c r="E60" i="2"/>
  <c r="C61" i="2"/>
  <c r="D60" i="2"/>
  <c r="I60" i="2"/>
  <c r="F60" i="2"/>
  <c r="AD33" i="7"/>
  <c r="AA33" i="7"/>
  <c r="X33" i="7"/>
  <c r="S33" i="7"/>
  <c r="U33" i="7"/>
  <c r="T33" i="7"/>
  <c r="AJ33" i="7"/>
  <c r="AG33" i="7"/>
  <c r="AD51" i="7"/>
  <c r="X51" i="7"/>
  <c r="S51" i="7"/>
  <c r="T51" i="7"/>
  <c r="R52" i="7"/>
  <c r="AA51" i="7"/>
  <c r="AJ51" i="7"/>
  <c r="AG51" i="7"/>
  <c r="U50" i="7"/>
  <c r="U51" i="7"/>
  <c r="S45" i="3"/>
  <c r="T45" i="3"/>
  <c r="U45" i="3"/>
  <c r="D61" i="2"/>
  <c r="I61" i="2"/>
  <c r="C62" i="2"/>
  <c r="E61" i="2"/>
  <c r="F61" i="2"/>
  <c r="R53" i="7"/>
  <c r="AD52" i="7"/>
  <c r="S52" i="7"/>
  <c r="AA52" i="7"/>
  <c r="T52" i="7"/>
  <c r="X52" i="7"/>
  <c r="AG52" i="7"/>
  <c r="AJ52" i="7"/>
  <c r="AA73" i="7"/>
  <c r="T73" i="7"/>
  <c r="AD73" i="7"/>
  <c r="X73" i="7"/>
  <c r="S73" i="7"/>
  <c r="R74" i="7"/>
  <c r="AG73" i="7"/>
  <c r="AJ73" i="7"/>
  <c r="H60" i="2"/>
  <c r="G60" i="2"/>
  <c r="J60" i="2"/>
  <c r="D46" i="3"/>
  <c r="J46" i="3"/>
  <c r="R46" i="3"/>
  <c r="F47" i="3"/>
  <c r="F48" i="3"/>
  <c r="J47" i="3"/>
  <c r="R47" i="3"/>
  <c r="D47" i="3"/>
  <c r="U52" i="7"/>
  <c r="R54" i="7"/>
  <c r="AA53" i="7"/>
  <c r="S53" i="7"/>
  <c r="U53" i="7"/>
  <c r="X53" i="7"/>
  <c r="T53" i="7"/>
  <c r="AG53" i="7"/>
  <c r="AJ53" i="7"/>
  <c r="AD53" i="7"/>
  <c r="H61" i="2"/>
  <c r="G61" i="2"/>
  <c r="J61" i="2"/>
  <c r="S46" i="3"/>
  <c r="T46" i="3"/>
  <c r="U46" i="3"/>
  <c r="C63" i="2"/>
  <c r="E62" i="2"/>
  <c r="F62" i="2"/>
  <c r="D62" i="2"/>
  <c r="I62" i="2"/>
  <c r="K60" i="2"/>
  <c r="AA74" i="7"/>
  <c r="T74" i="7"/>
  <c r="S74" i="7"/>
  <c r="AD74" i="7"/>
  <c r="R75" i="7"/>
  <c r="X74" i="7"/>
  <c r="AJ74" i="7"/>
  <c r="AG74" i="7"/>
  <c r="U73" i="7"/>
  <c r="J62" i="2"/>
  <c r="G62" i="2"/>
  <c r="H62" i="2"/>
  <c r="K62" i="2"/>
  <c r="C64" i="2"/>
  <c r="F63" i="2"/>
  <c r="D63" i="2"/>
  <c r="I63" i="2"/>
  <c r="E63" i="2"/>
  <c r="AD54" i="7"/>
  <c r="AA54" i="7"/>
  <c r="S54" i="7"/>
  <c r="U54" i="7"/>
  <c r="R55" i="7"/>
  <c r="T54" i="7"/>
  <c r="AG54" i="7"/>
  <c r="X54" i="7"/>
  <c r="AJ54" i="7"/>
  <c r="K61" i="2"/>
  <c r="R76" i="7"/>
  <c r="T75" i="7"/>
  <c r="X75" i="7"/>
  <c r="AA75" i="7"/>
  <c r="AD75" i="7"/>
  <c r="S75" i="7"/>
  <c r="AG75" i="7"/>
  <c r="AJ75" i="7"/>
  <c r="U74" i="7"/>
  <c r="S47" i="3"/>
  <c r="T47" i="3"/>
  <c r="U47" i="3"/>
  <c r="F49" i="3"/>
  <c r="J48" i="3"/>
  <c r="R48" i="3"/>
  <c r="D48" i="3"/>
  <c r="AA76" i="7"/>
  <c r="AD76" i="7"/>
  <c r="S76" i="7"/>
  <c r="X76" i="7"/>
  <c r="R77" i="7"/>
  <c r="T76" i="7"/>
  <c r="AG76" i="7"/>
  <c r="AJ76" i="7"/>
  <c r="S55" i="7"/>
  <c r="T55" i="7"/>
  <c r="AD55" i="7"/>
  <c r="X55" i="7"/>
  <c r="AA55" i="7"/>
  <c r="AG55" i="7"/>
  <c r="AJ55" i="7"/>
  <c r="J49" i="3"/>
  <c r="F50" i="3"/>
  <c r="R49" i="3"/>
  <c r="D49" i="3"/>
  <c r="S48" i="3"/>
  <c r="T48" i="3"/>
  <c r="U48" i="3"/>
  <c r="H63" i="2"/>
  <c r="K63" i="2"/>
  <c r="J63" i="2"/>
  <c r="G63" i="2"/>
  <c r="C65" i="2"/>
  <c r="F64" i="2"/>
  <c r="D64" i="2"/>
  <c r="I64" i="2"/>
  <c r="E64" i="2"/>
  <c r="U75" i="7"/>
  <c r="H64" i="2"/>
  <c r="J64" i="2"/>
  <c r="G64" i="2"/>
  <c r="S49" i="3"/>
  <c r="T49" i="3"/>
  <c r="U49" i="3"/>
  <c r="E65" i="2"/>
  <c r="C66" i="2"/>
  <c r="F65" i="2"/>
  <c r="D65" i="2"/>
  <c r="S77" i="7"/>
  <c r="R78" i="7"/>
  <c r="T77" i="7"/>
  <c r="X77" i="7"/>
  <c r="AA77" i="7"/>
  <c r="AD77" i="7"/>
  <c r="AG77" i="7"/>
  <c r="AJ77" i="7"/>
  <c r="F51" i="3"/>
  <c r="D50" i="3"/>
  <c r="J50" i="3"/>
  <c r="R50" i="3"/>
  <c r="U55" i="7"/>
  <c r="U76" i="7"/>
  <c r="U77" i="7"/>
  <c r="I65" i="2"/>
  <c r="H65" i="2"/>
  <c r="J65" i="2"/>
  <c r="G65" i="2"/>
  <c r="K64" i="2"/>
  <c r="J51" i="3"/>
  <c r="R51" i="3"/>
  <c r="D51" i="3"/>
  <c r="F52" i="3"/>
  <c r="S78" i="7"/>
  <c r="R79" i="7"/>
  <c r="T78" i="7"/>
  <c r="X78" i="7"/>
  <c r="AD78" i="7"/>
  <c r="AA78" i="7"/>
  <c r="AG78" i="7"/>
  <c r="AJ78" i="7"/>
  <c r="C67" i="2"/>
  <c r="F66" i="2"/>
  <c r="E66" i="2"/>
  <c r="D66" i="2"/>
  <c r="S50" i="3"/>
  <c r="T50" i="3"/>
  <c r="U50" i="3"/>
  <c r="H66" i="2"/>
  <c r="J66" i="2"/>
  <c r="G66" i="2"/>
  <c r="J52" i="3"/>
  <c r="F53" i="3"/>
  <c r="R52" i="3"/>
  <c r="D52" i="3"/>
  <c r="I66" i="2"/>
  <c r="F67" i="2"/>
  <c r="C68" i="2"/>
  <c r="D67" i="2"/>
  <c r="E67" i="2"/>
  <c r="S51" i="3"/>
  <c r="T51" i="3"/>
  <c r="U51" i="3"/>
  <c r="K65" i="2"/>
  <c r="U78" i="7"/>
  <c r="T79" i="7"/>
  <c r="X79" i="7"/>
  <c r="R80" i="7"/>
  <c r="AA79" i="7"/>
  <c r="S79" i="7"/>
  <c r="U79" i="7"/>
  <c r="AD79" i="7"/>
  <c r="AG79" i="7"/>
  <c r="AJ79" i="7"/>
  <c r="G67" i="2"/>
  <c r="H67" i="2"/>
  <c r="J67" i="2"/>
  <c r="S80" i="7"/>
  <c r="R81" i="7"/>
  <c r="T80" i="7"/>
  <c r="AA80" i="7"/>
  <c r="AD80" i="7"/>
  <c r="X80" i="7"/>
  <c r="AG80" i="7"/>
  <c r="AJ80" i="7"/>
  <c r="E68" i="2"/>
  <c r="F68" i="2"/>
  <c r="C69" i="2"/>
  <c r="D68" i="2"/>
  <c r="S52" i="3"/>
  <c r="T52" i="3"/>
  <c r="U52" i="3"/>
  <c r="I67" i="2"/>
  <c r="R53" i="3"/>
  <c r="J53" i="3"/>
  <c r="D53" i="3"/>
  <c r="F54" i="3"/>
  <c r="K66" i="2"/>
  <c r="U80" i="7"/>
  <c r="I68" i="2"/>
  <c r="K67" i="2"/>
  <c r="J68" i="2"/>
  <c r="G68" i="2"/>
  <c r="H68" i="2"/>
  <c r="K68" i="2"/>
  <c r="J54" i="3"/>
  <c r="F55" i="3"/>
  <c r="D54" i="3"/>
  <c r="R54" i="3"/>
  <c r="E69" i="2"/>
  <c r="D69" i="2"/>
  <c r="C70" i="2"/>
  <c r="F69" i="2"/>
  <c r="AD81" i="7"/>
  <c r="S81" i="7"/>
  <c r="U81" i="7"/>
  <c r="R82" i="7"/>
  <c r="T81" i="7"/>
  <c r="X81" i="7"/>
  <c r="AA81" i="7"/>
  <c r="AJ81" i="7"/>
  <c r="AG81" i="7"/>
  <c r="S53" i="3"/>
  <c r="T53" i="3"/>
  <c r="U53" i="3"/>
  <c r="H69" i="2"/>
  <c r="J69" i="2"/>
  <c r="G69" i="2"/>
  <c r="AA82" i="7"/>
  <c r="X82" i="7"/>
  <c r="AD82" i="7"/>
  <c r="S82" i="7"/>
  <c r="U82" i="7"/>
  <c r="R83" i="7"/>
  <c r="T82" i="7"/>
  <c r="AG82" i="7"/>
  <c r="AJ82" i="7"/>
  <c r="S54" i="3"/>
  <c r="T54" i="3"/>
  <c r="U54" i="3"/>
  <c r="C71" i="2"/>
  <c r="D70" i="2"/>
  <c r="I70" i="2"/>
  <c r="E70" i="2"/>
  <c r="F70" i="2"/>
  <c r="I69" i="2"/>
  <c r="J55" i="3"/>
  <c r="F56" i="3"/>
  <c r="R55" i="3"/>
  <c r="D55" i="3"/>
  <c r="F57" i="3"/>
  <c r="R56" i="3"/>
  <c r="J56" i="3"/>
  <c r="D56" i="3"/>
  <c r="D71" i="2"/>
  <c r="F71" i="2"/>
  <c r="E71" i="2"/>
  <c r="C72" i="2"/>
  <c r="T83" i="7"/>
  <c r="S83" i="7"/>
  <c r="U83" i="7"/>
  <c r="AD83" i="7"/>
  <c r="X83" i="7"/>
  <c r="AA83" i="7"/>
  <c r="AJ83" i="7"/>
  <c r="AG83" i="7"/>
  <c r="J70" i="2"/>
  <c r="G70" i="2"/>
  <c r="H70" i="2"/>
  <c r="K70" i="2"/>
  <c r="S55" i="3"/>
  <c r="T55" i="3"/>
  <c r="U55" i="3"/>
  <c r="K69" i="2"/>
  <c r="J57" i="3"/>
  <c r="R57" i="3"/>
  <c r="D57" i="3"/>
  <c r="F58" i="3"/>
  <c r="C73" i="2"/>
  <c r="D72" i="2"/>
  <c r="I72" i="2"/>
  <c r="E72" i="2"/>
  <c r="F72" i="2"/>
  <c r="G71" i="2"/>
  <c r="H71" i="2"/>
  <c r="J71" i="2"/>
  <c r="I71" i="2"/>
  <c r="S56" i="3"/>
  <c r="T56" i="3"/>
  <c r="U56" i="3"/>
  <c r="G72" i="2"/>
  <c r="H72" i="2"/>
  <c r="K72" i="2"/>
  <c r="J72" i="2"/>
  <c r="K71" i="2"/>
  <c r="F73" i="2"/>
  <c r="C74" i="2"/>
  <c r="D73" i="2"/>
  <c r="E73" i="2"/>
  <c r="R58" i="3"/>
  <c r="F59" i="3"/>
  <c r="D58" i="3"/>
  <c r="J58" i="3"/>
  <c r="S57" i="3"/>
  <c r="T57" i="3"/>
  <c r="U57" i="3"/>
  <c r="J59" i="3"/>
  <c r="F60" i="3"/>
  <c r="R59" i="3"/>
  <c r="D59" i="3"/>
  <c r="I73" i="2"/>
  <c r="S58" i="3"/>
  <c r="T58" i="3"/>
  <c r="U58" i="3"/>
  <c r="D74" i="2"/>
  <c r="E74" i="2"/>
  <c r="F74" i="2"/>
  <c r="C75" i="2"/>
  <c r="J73" i="2"/>
  <c r="G73" i="2"/>
  <c r="H73" i="2"/>
  <c r="K73" i="2"/>
  <c r="J74" i="2"/>
  <c r="G74" i="2"/>
  <c r="H74" i="2"/>
  <c r="D60" i="3"/>
  <c r="F61" i="3"/>
  <c r="R60" i="3"/>
  <c r="J60" i="3"/>
  <c r="D75" i="2"/>
  <c r="E75" i="2"/>
  <c r="C76" i="2"/>
  <c r="F75" i="2"/>
  <c r="I74" i="2"/>
  <c r="S59" i="3"/>
  <c r="T59" i="3"/>
  <c r="U59" i="3"/>
  <c r="S60" i="3"/>
  <c r="T60" i="3"/>
  <c r="U60" i="3"/>
  <c r="C77" i="2"/>
  <c r="E76" i="2"/>
  <c r="F76" i="2"/>
  <c r="D76" i="2"/>
  <c r="I76" i="2"/>
  <c r="J75" i="2"/>
  <c r="G75" i="2"/>
  <c r="H75" i="2"/>
  <c r="I75" i="2"/>
  <c r="R61" i="3"/>
  <c r="F62" i="3"/>
  <c r="D61" i="3"/>
  <c r="J61" i="3"/>
  <c r="K74" i="2"/>
  <c r="D62" i="3"/>
  <c r="R62" i="3"/>
  <c r="F63" i="3"/>
  <c r="J62" i="3"/>
  <c r="J76" i="2"/>
  <c r="G76" i="2"/>
  <c r="H76" i="2"/>
  <c r="K76" i="2"/>
  <c r="K75" i="2"/>
  <c r="S61" i="3"/>
  <c r="T61" i="3"/>
  <c r="U61" i="3"/>
  <c r="E77" i="2"/>
  <c r="D77" i="2"/>
  <c r="I77" i="2"/>
  <c r="F77" i="2"/>
  <c r="C78" i="2"/>
  <c r="H77" i="2"/>
  <c r="K77" i="2"/>
  <c r="J77" i="2"/>
  <c r="G77" i="2"/>
  <c r="J63" i="3"/>
  <c r="F64" i="3"/>
  <c r="D63" i="3"/>
  <c r="R63" i="3"/>
  <c r="E78" i="2"/>
  <c r="F78" i="2"/>
  <c r="D78" i="2"/>
  <c r="I78" i="2"/>
  <c r="C79" i="2"/>
  <c r="S62" i="3"/>
  <c r="T62" i="3"/>
  <c r="U62" i="3"/>
  <c r="C80" i="2"/>
  <c r="E79" i="2"/>
  <c r="D79" i="2"/>
  <c r="I79" i="2"/>
  <c r="F79" i="2"/>
  <c r="J64" i="3"/>
  <c r="D64" i="3"/>
  <c r="R64" i="3"/>
  <c r="F65" i="3"/>
  <c r="S63" i="3"/>
  <c r="T63" i="3"/>
  <c r="U63" i="3"/>
  <c r="J78" i="2"/>
  <c r="G78" i="2"/>
  <c r="H78" i="2"/>
  <c r="K78" i="2"/>
  <c r="S64" i="3"/>
  <c r="T64" i="3"/>
  <c r="U64" i="3"/>
  <c r="D65" i="3"/>
  <c r="J65" i="3"/>
  <c r="F66" i="3"/>
  <c r="R65" i="3"/>
  <c r="H79" i="2"/>
  <c r="J79" i="2"/>
  <c r="G79" i="2"/>
  <c r="F80" i="2"/>
  <c r="E80" i="2"/>
  <c r="C81" i="2"/>
  <c r="D80" i="2"/>
  <c r="I80" i="2"/>
  <c r="F67" i="3"/>
  <c r="D66" i="3"/>
  <c r="R66" i="3"/>
  <c r="J66" i="3"/>
  <c r="H80" i="2"/>
  <c r="K80" i="2"/>
  <c r="J80" i="2"/>
  <c r="G80" i="2"/>
  <c r="E81" i="2"/>
  <c r="C82" i="2"/>
  <c r="D81" i="2"/>
  <c r="I81" i="2"/>
  <c r="F81" i="2"/>
  <c r="K79" i="2"/>
  <c r="S65" i="3"/>
  <c r="T65" i="3"/>
  <c r="U65" i="3"/>
  <c r="H81" i="2"/>
  <c r="K81" i="2"/>
  <c r="J81" i="2"/>
  <c r="G81" i="2"/>
  <c r="C83" i="2"/>
  <c r="D82" i="2"/>
  <c r="E82" i="2"/>
  <c r="F82" i="2"/>
  <c r="S66" i="3"/>
  <c r="T66" i="3"/>
  <c r="U66" i="3"/>
  <c r="D67" i="3"/>
  <c r="R67" i="3"/>
  <c r="J67" i="3"/>
  <c r="F68" i="3"/>
  <c r="S67" i="3"/>
  <c r="T67" i="3"/>
  <c r="U67" i="3"/>
  <c r="D68" i="3"/>
  <c r="F69" i="3"/>
  <c r="R68" i="3"/>
  <c r="J68" i="3"/>
  <c r="D83" i="2"/>
  <c r="E83" i="2"/>
  <c r="C84" i="2"/>
  <c r="F83" i="2"/>
  <c r="H82" i="2"/>
  <c r="J82" i="2"/>
  <c r="G82" i="2"/>
  <c r="I82" i="2"/>
  <c r="K82" i="2"/>
  <c r="J83" i="2"/>
  <c r="H83" i="2"/>
  <c r="G83" i="2"/>
  <c r="C85" i="2"/>
  <c r="E84" i="2"/>
  <c r="F84" i="2"/>
  <c r="D84" i="2"/>
  <c r="I84" i="2"/>
  <c r="F70" i="3"/>
  <c r="D69" i="3"/>
  <c r="R69" i="3"/>
  <c r="J69" i="3"/>
  <c r="I83" i="2"/>
  <c r="S68" i="3"/>
  <c r="T68" i="3"/>
  <c r="U68" i="3"/>
  <c r="S69" i="3"/>
  <c r="T69" i="3"/>
  <c r="U69" i="3"/>
  <c r="J70" i="3"/>
  <c r="F71" i="3"/>
  <c r="D70" i="3"/>
  <c r="R70" i="3"/>
  <c r="E85" i="2"/>
  <c r="F85" i="2"/>
  <c r="C86" i="2"/>
  <c r="D85" i="2"/>
  <c r="I85" i="2"/>
  <c r="H84" i="2"/>
  <c r="J84" i="2"/>
  <c r="G84" i="2"/>
  <c r="K83" i="2"/>
  <c r="F86" i="2"/>
  <c r="E86" i="2"/>
  <c r="D86" i="2"/>
  <c r="I86" i="2"/>
  <c r="C87" i="2"/>
  <c r="J85" i="2"/>
  <c r="H85" i="2"/>
  <c r="K85" i="2"/>
  <c r="G85" i="2"/>
  <c r="F72" i="3"/>
  <c r="J71" i="3"/>
  <c r="D71" i="3"/>
  <c r="R71" i="3"/>
  <c r="K84" i="2"/>
  <c r="S70" i="3"/>
  <c r="T70" i="3"/>
  <c r="U70" i="3"/>
  <c r="J72" i="3"/>
  <c r="R72" i="3"/>
  <c r="D72" i="3"/>
  <c r="F73" i="3"/>
  <c r="S71" i="3"/>
  <c r="T71" i="3"/>
  <c r="U71" i="3"/>
  <c r="J86" i="2"/>
  <c r="G86" i="2"/>
  <c r="H86" i="2"/>
  <c r="K86" i="2"/>
  <c r="E87" i="2"/>
  <c r="F87" i="2"/>
  <c r="D87" i="2"/>
  <c r="I87" i="2"/>
  <c r="C88" i="2"/>
  <c r="E88" i="2"/>
  <c r="C89" i="2"/>
  <c r="F88" i="2"/>
  <c r="D88" i="2"/>
  <c r="I88" i="2"/>
  <c r="G87" i="2"/>
  <c r="J87" i="2"/>
  <c r="H87" i="2"/>
  <c r="K87" i="2"/>
  <c r="S72" i="3"/>
  <c r="T72" i="3"/>
  <c r="U72" i="3"/>
  <c r="R73" i="3"/>
  <c r="D73" i="3"/>
  <c r="F74" i="3"/>
  <c r="J73" i="3"/>
  <c r="S73" i="3"/>
  <c r="T73" i="3"/>
  <c r="U73" i="3"/>
  <c r="C90" i="2"/>
  <c r="F89" i="2"/>
  <c r="E89" i="2"/>
  <c r="D89" i="2"/>
  <c r="G88" i="2"/>
  <c r="H88" i="2"/>
  <c r="K88" i="2"/>
  <c r="J88" i="2"/>
  <c r="R74" i="3"/>
  <c r="J74" i="3"/>
  <c r="D74" i="3"/>
  <c r="F75" i="3"/>
  <c r="S74" i="3"/>
  <c r="T74" i="3"/>
  <c r="U74" i="3"/>
  <c r="H89" i="2"/>
  <c r="J89" i="2"/>
  <c r="G89" i="2"/>
  <c r="I89" i="2"/>
  <c r="F90" i="2"/>
  <c r="C91" i="2"/>
  <c r="E90" i="2"/>
  <c r="D90" i="2"/>
  <c r="I90" i="2"/>
  <c r="D75" i="3"/>
  <c r="R75" i="3"/>
  <c r="J75" i="3"/>
  <c r="F76" i="3"/>
  <c r="S75" i="3"/>
  <c r="T75" i="3"/>
  <c r="U75" i="3"/>
  <c r="J90" i="2"/>
  <c r="H90" i="2"/>
  <c r="K90" i="2"/>
  <c r="G90" i="2"/>
  <c r="E91" i="2"/>
  <c r="F91" i="2"/>
  <c r="D91" i="2"/>
  <c r="C92" i="2"/>
  <c r="F77" i="3"/>
  <c r="J76" i="3"/>
  <c r="R76" i="3"/>
  <c r="D76" i="3"/>
  <c r="K89" i="2"/>
  <c r="S76" i="3"/>
  <c r="T76" i="3"/>
  <c r="U76" i="3"/>
  <c r="R77" i="3"/>
  <c r="J77" i="3"/>
  <c r="F78" i="3"/>
  <c r="D77" i="3"/>
  <c r="E92" i="2"/>
  <c r="C93" i="2"/>
  <c r="D92" i="2"/>
  <c r="I92" i="2"/>
  <c r="F92" i="2"/>
  <c r="I91" i="2"/>
  <c r="J91" i="2"/>
  <c r="G91" i="2"/>
  <c r="H91" i="2"/>
  <c r="K91" i="2"/>
  <c r="G92" i="2"/>
  <c r="H92" i="2"/>
  <c r="K92" i="2"/>
  <c r="J92" i="2"/>
  <c r="D93" i="2"/>
  <c r="E93" i="2"/>
  <c r="C94" i="2"/>
  <c r="F93" i="2"/>
  <c r="F79" i="3"/>
  <c r="R78" i="3"/>
  <c r="J78" i="3"/>
  <c r="D78" i="3"/>
  <c r="S77" i="3"/>
  <c r="T77" i="3"/>
  <c r="U77" i="3"/>
  <c r="I93" i="2"/>
  <c r="S78" i="3"/>
  <c r="T78" i="3"/>
  <c r="U78" i="3"/>
  <c r="E94" i="2"/>
  <c r="C95" i="2"/>
  <c r="F94" i="2"/>
  <c r="D94" i="2"/>
  <c r="I94" i="2"/>
  <c r="D79" i="3"/>
  <c r="J79" i="3"/>
  <c r="R79" i="3"/>
  <c r="F80" i="3"/>
  <c r="J93" i="2"/>
  <c r="G93" i="2"/>
  <c r="H93" i="2"/>
  <c r="S79" i="3"/>
  <c r="T79" i="3"/>
  <c r="U79" i="3"/>
  <c r="E95" i="2"/>
  <c r="F95" i="2"/>
  <c r="D95" i="2"/>
  <c r="I95" i="2"/>
  <c r="C96" i="2"/>
  <c r="K33" i="2"/>
  <c r="J94" i="2"/>
  <c r="G94" i="2"/>
  <c r="H94" i="2"/>
  <c r="K94" i="2"/>
  <c r="K93" i="2"/>
  <c r="F81" i="3"/>
  <c r="D80" i="3"/>
  <c r="R80" i="3"/>
  <c r="J80" i="3"/>
  <c r="F82" i="3"/>
  <c r="R81" i="3"/>
  <c r="J81" i="3"/>
  <c r="D81" i="3"/>
  <c r="S80" i="3"/>
  <c r="T80" i="3"/>
  <c r="U80" i="3"/>
  <c r="J95" i="2"/>
  <c r="G95" i="2"/>
  <c r="G42" i="2"/>
  <c r="H95" i="2"/>
  <c r="K95" i="2"/>
  <c r="K96" i="2"/>
  <c r="C36" i="2"/>
  <c r="S81" i="3"/>
  <c r="T81" i="3"/>
  <c r="U81" i="3"/>
  <c r="R82" i="3"/>
  <c r="D82" i="3"/>
  <c r="J82" i="3"/>
  <c r="F83" i="3"/>
  <c r="S82" i="3"/>
  <c r="T82" i="3"/>
  <c r="U82" i="3"/>
  <c r="R83" i="3"/>
  <c r="D83" i="3"/>
  <c r="J83" i="3"/>
  <c r="F84" i="3"/>
  <c r="C8" i="4"/>
  <c r="C37" i="2"/>
  <c r="C7" i="4"/>
  <c r="C40" i="2"/>
  <c r="L53" i="2"/>
  <c r="M53" i="2"/>
  <c r="H59" i="3"/>
  <c r="L71" i="2"/>
  <c r="M71" i="2"/>
  <c r="H71" i="3"/>
  <c r="L85" i="2"/>
  <c r="M85" i="2"/>
  <c r="L52" i="2"/>
  <c r="M52" i="2"/>
  <c r="H32" i="3"/>
  <c r="H28" i="3"/>
  <c r="L51" i="2"/>
  <c r="M51" i="2"/>
  <c r="L56" i="2"/>
  <c r="M56" i="2"/>
  <c r="H70" i="3"/>
  <c r="H74" i="3"/>
  <c r="H63" i="3"/>
  <c r="H29" i="3"/>
  <c r="L81" i="2"/>
  <c r="M81" i="2"/>
  <c r="H30" i="3"/>
  <c r="H35" i="3"/>
  <c r="L48" i="2"/>
  <c r="M48" i="2"/>
  <c r="L70" i="2"/>
  <c r="M70" i="2"/>
  <c r="H31" i="3"/>
  <c r="L72" i="2"/>
  <c r="M72" i="2"/>
  <c r="H53" i="3"/>
  <c r="L89" i="2"/>
  <c r="M89" i="2"/>
  <c r="L68" i="2"/>
  <c r="M68" i="2"/>
  <c r="L45" i="2"/>
  <c r="M45" i="2"/>
  <c r="H39" i="3"/>
  <c r="H48" i="3"/>
  <c r="H72" i="3"/>
  <c r="L75" i="2"/>
  <c r="M75" i="2"/>
  <c r="H76" i="3"/>
  <c r="L94" i="2"/>
  <c r="M94" i="2"/>
  <c r="L76" i="2"/>
  <c r="M76" i="2"/>
  <c r="H77" i="3"/>
  <c r="H79" i="3"/>
  <c r="L57" i="2"/>
  <c r="M57" i="2"/>
  <c r="H42" i="3"/>
  <c r="L90" i="2"/>
  <c r="M90" i="2"/>
  <c r="L49" i="2"/>
  <c r="M49" i="2"/>
  <c r="L58" i="2"/>
  <c r="M58" i="2"/>
  <c r="H81" i="3"/>
  <c r="H55" i="3"/>
  <c r="H34" i="3"/>
  <c r="L65" i="2"/>
  <c r="M65" i="2"/>
  <c r="H56" i="3"/>
  <c r="H54" i="3"/>
  <c r="L61" i="2"/>
  <c r="M61" i="2"/>
  <c r="L50" i="2"/>
  <c r="M50" i="2"/>
  <c r="L47" i="2"/>
  <c r="M47" i="2"/>
  <c r="L80" i="2"/>
  <c r="M80" i="2"/>
  <c r="H38" i="3"/>
  <c r="L55" i="2"/>
  <c r="M55" i="2"/>
  <c r="H78" i="3"/>
  <c r="L93" i="2"/>
  <c r="M93" i="2"/>
  <c r="L59" i="2"/>
  <c r="M59" i="2"/>
  <c r="L69" i="2"/>
  <c r="M69" i="2"/>
  <c r="H61" i="3"/>
  <c r="H51" i="3"/>
  <c r="L82" i="2"/>
  <c r="M82" i="2"/>
  <c r="H43" i="3"/>
  <c r="H83" i="3"/>
  <c r="H67" i="3"/>
  <c r="L46" i="2"/>
  <c r="M46" i="2"/>
  <c r="L87" i="2"/>
  <c r="M87" i="2"/>
  <c r="H73" i="3"/>
  <c r="H62" i="3"/>
  <c r="L67" i="2"/>
  <c r="M67" i="2"/>
  <c r="L86" i="2"/>
  <c r="M86" i="2"/>
  <c r="L92" i="2"/>
  <c r="M92" i="2"/>
  <c r="L91" i="2"/>
  <c r="M91" i="2"/>
  <c r="H33" i="3"/>
  <c r="H65" i="3"/>
  <c r="H40" i="3"/>
  <c r="L88" i="2"/>
  <c r="M88" i="2"/>
  <c r="C10" i="11"/>
  <c r="L74" i="2"/>
  <c r="M74" i="2"/>
  <c r="H45" i="3"/>
  <c r="L63" i="2"/>
  <c r="M63" i="2"/>
  <c r="H60" i="3"/>
  <c r="H49" i="3"/>
  <c r="H68" i="3"/>
  <c r="H37" i="3"/>
  <c r="H69" i="3"/>
  <c r="H57" i="3"/>
  <c r="L54" i="2"/>
  <c r="M54" i="2"/>
  <c r="H66" i="3"/>
  <c r="L66" i="2"/>
  <c r="M66" i="2"/>
  <c r="L95" i="2"/>
  <c r="M95" i="2"/>
  <c r="H58" i="3"/>
  <c r="L78" i="2"/>
  <c r="M78" i="2"/>
  <c r="L60" i="2"/>
  <c r="M60" i="2"/>
  <c r="L84" i="2"/>
  <c r="M84" i="2"/>
  <c r="H75" i="3"/>
  <c r="H80" i="3"/>
  <c r="H52" i="3"/>
  <c r="H84" i="3"/>
  <c r="H41" i="3"/>
  <c r="H46" i="3"/>
  <c r="L62" i="2"/>
  <c r="M62" i="2"/>
  <c r="L79" i="2"/>
  <c r="M79" i="2"/>
  <c r="L83" i="2"/>
  <c r="M83" i="2"/>
  <c r="H64" i="3"/>
  <c r="H44" i="3"/>
  <c r="L77" i="2"/>
  <c r="M77" i="2"/>
  <c r="H47" i="3"/>
  <c r="L64" i="2"/>
  <c r="M64" i="2"/>
  <c r="H82" i="3"/>
  <c r="H50" i="3"/>
  <c r="H36" i="3"/>
  <c r="L73" i="2"/>
  <c r="M73" i="2"/>
  <c r="D84" i="3"/>
  <c r="J84" i="3"/>
  <c r="R84" i="3"/>
  <c r="F85" i="3"/>
  <c r="S83" i="3"/>
  <c r="T83" i="3"/>
  <c r="U83" i="3"/>
  <c r="C11" i="4"/>
  <c r="C11" i="11"/>
  <c r="K83" i="3"/>
  <c r="L83" i="3"/>
  <c r="E51" i="4"/>
  <c r="F51" i="4"/>
  <c r="I51" i="3"/>
  <c r="D51" i="4"/>
  <c r="K51" i="3"/>
  <c r="L51" i="3"/>
  <c r="E30" i="4"/>
  <c r="F30" i="4"/>
  <c r="K30" i="3"/>
  <c r="L30" i="3"/>
  <c r="I30" i="3"/>
  <c r="D30" i="4"/>
  <c r="I33" i="3"/>
  <c r="D33" i="4"/>
  <c r="E33" i="4"/>
  <c r="F33" i="4"/>
  <c r="K33" i="3"/>
  <c r="L33" i="3"/>
  <c r="I38" i="3"/>
  <c r="D38" i="4"/>
  <c r="E38" i="4"/>
  <c r="F38" i="4"/>
  <c r="K38" i="3"/>
  <c r="L38" i="3"/>
  <c r="I79" i="3"/>
  <c r="D79" i="4"/>
  <c r="E79" i="4"/>
  <c r="F79" i="4"/>
  <c r="K79" i="3"/>
  <c r="L79" i="3"/>
  <c r="I74" i="3"/>
  <c r="D74" i="4"/>
  <c r="E74" i="4"/>
  <c r="F74" i="4"/>
  <c r="K74" i="3"/>
  <c r="L74" i="3"/>
  <c r="J85" i="3"/>
  <c r="F86" i="3"/>
  <c r="R85" i="3"/>
  <c r="D85" i="3"/>
  <c r="H85" i="3"/>
  <c r="I77" i="3"/>
  <c r="D77" i="4"/>
  <c r="E77" i="4"/>
  <c r="F77" i="4"/>
  <c r="K77" i="3"/>
  <c r="L77" i="3"/>
  <c r="E70" i="4"/>
  <c r="F70" i="4"/>
  <c r="I70" i="3"/>
  <c r="D70" i="4"/>
  <c r="K70" i="3"/>
  <c r="L70" i="3"/>
  <c r="E50" i="4"/>
  <c r="F50" i="4"/>
  <c r="I50" i="3"/>
  <c r="D50" i="4"/>
  <c r="K50" i="3"/>
  <c r="L50" i="3"/>
  <c r="I37" i="3"/>
  <c r="D37" i="4"/>
  <c r="E37" i="4"/>
  <c r="F37" i="4"/>
  <c r="K37" i="3"/>
  <c r="L37" i="3"/>
  <c r="K84" i="3"/>
  <c r="L84" i="3"/>
  <c r="E52" i="4"/>
  <c r="F52" i="4"/>
  <c r="I52" i="3"/>
  <c r="D52" i="4"/>
  <c r="K52" i="3"/>
  <c r="L52" i="3"/>
  <c r="E36" i="4"/>
  <c r="F36" i="4"/>
  <c r="I36" i="3"/>
  <c r="D36" i="4"/>
  <c r="K36" i="3"/>
  <c r="L36" i="3"/>
  <c r="I80" i="3"/>
  <c r="D80" i="4"/>
  <c r="E80" i="4"/>
  <c r="F80" i="4"/>
  <c r="K80" i="3"/>
  <c r="L80" i="3"/>
  <c r="E76" i="4"/>
  <c r="F76" i="4"/>
  <c r="I76" i="3"/>
  <c r="D76" i="4"/>
  <c r="K76" i="3"/>
  <c r="L76" i="3"/>
  <c r="E28" i="4"/>
  <c r="F28" i="4"/>
  <c r="I28" i="3"/>
  <c r="D28" i="4"/>
  <c r="K28" i="3"/>
  <c r="L28" i="3"/>
  <c r="P28" i="3"/>
  <c r="I31" i="3"/>
  <c r="D31" i="4"/>
  <c r="K31" i="3"/>
  <c r="L31" i="3"/>
  <c r="E31" i="4"/>
  <c r="F31" i="4"/>
  <c r="I62" i="3"/>
  <c r="D62" i="4"/>
  <c r="E62" i="4"/>
  <c r="F62" i="4"/>
  <c r="K62" i="3"/>
  <c r="L62" i="3"/>
  <c r="E72" i="4"/>
  <c r="F72" i="4"/>
  <c r="I72" i="3"/>
  <c r="D72" i="4"/>
  <c r="K72" i="3"/>
  <c r="L72" i="3"/>
  <c r="I57" i="3"/>
  <c r="D57" i="4"/>
  <c r="E57" i="4"/>
  <c r="F57" i="4"/>
  <c r="K57" i="3"/>
  <c r="L57" i="3"/>
  <c r="E69" i="4"/>
  <c r="F69" i="4"/>
  <c r="I69" i="3"/>
  <c r="D69" i="4"/>
  <c r="K69" i="3"/>
  <c r="L69" i="3"/>
  <c r="E61" i="4"/>
  <c r="F61" i="4"/>
  <c r="I61" i="3"/>
  <c r="D61" i="4"/>
  <c r="K61" i="3"/>
  <c r="L61" i="3"/>
  <c r="E29" i="4"/>
  <c r="F29" i="4"/>
  <c r="I29" i="3"/>
  <c r="K29" i="3"/>
  <c r="L29" i="3"/>
  <c r="P29" i="3"/>
  <c r="Q29" i="3"/>
  <c r="I45" i="3"/>
  <c r="D45" i="4"/>
  <c r="E45" i="4"/>
  <c r="F45" i="4"/>
  <c r="K45" i="3"/>
  <c r="L45" i="3"/>
  <c r="E73" i="4"/>
  <c r="F73" i="4"/>
  <c r="I73" i="3"/>
  <c r="D73" i="4"/>
  <c r="K73" i="3"/>
  <c r="L73" i="3"/>
  <c r="E48" i="4"/>
  <c r="F48" i="4"/>
  <c r="I48" i="3"/>
  <c r="D48" i="4"/>
  <c r="K48" i="3"/>
  <c r="L48" i="3"/>
  <c r="I68" i="3"/>
  <c r="D68" i="4"/>
  <c r="E68" i="4"/>
  <c r="F68" i="4"/>
  <c r="K68" i="3"/>
  <c r="L68" i="3"/>
  <c r="I49" i="3"/>
  <c r="D49" i="4"/>
  <c r="E49" i="4"/>
  <c r="F49" i="4"/>
  <c r="K49" i="3"/>
  <c r="L49" i="3"/>
  <c r="E42" i="4"/>
  <c r="F42" i="4"/>
  <c r="I42" i="3"/>
  <c r="D42" i="4"/>
  <c r="K42" i="3"/>
  <c r="L42" i="3"/>
  <c r="E54" i="4"/>
  <c r="F54" i="4"/>
  <c r="I54" i="3"/>
  <c r="D54" i="4"/>
  <c r="K54" i="3"/>
  <c r="L54" i="3"/>
  <c r="E39" i="4"/>
  <c r="F39" i="4"/>
  <c r="I39" i="3"/>
  <c r="D39" i="4"/>
  <c r="K39" i="3"/>
  <c r="L39" i="3"/>
  <c r="E71" i="4"/>
  <c r="F71" i="4"/>
  <c r="I71" i="3"/>
  <c r="D71" i="4"/>
  <c r="K71" i="3"/>
  <c r="L71" i="3"/>
  <c r="I65" i="3"/>
  <c r="D65" i="4"/>
  <c r="E65" i="4"/>
  <c r="F65" i="4"/>
  <c r="K65" i="3"/>
  <c r="L65" i="3"/>
  <c r="S84" i="3"/>
  <c r="T84" i="3"/>
  <c r="U84" i="3"/>
  <c r="E44" i="4"/>
  <c r="F44" i="4"/>
  <c r="I44" i="3"/>
  <c r="D44" i="4"/>
  <c r="K44" i="3"/>
  <c r="L44" i="3"/>
  <c r="E66" i="4"/>
  <c r="F66" i="4"/>
  <c r="I66" i="3"/>
  <c r="D66" i="4"/>
  <c r="K66" i="3"/>
  <c r="L66" i="3"/>
  <c r="Z15" i="11"/>
  <c r="C14" i="11"/>
  <c r="Y15" i="11"/>
  <c r="Y21" i="11"/>
  <c r="E56" i="4"/>
  <c r="F56" i="4"/>
  <c r="I56" i="3"/>
  <c r="D56" i="4"/>
  <c r="K56" i="3"/>
  <c r="L56" i="3"/>
  <c r="M96" i="2"/>
  <c r="J37" i="2"/>
  <c r="J36" i="2"/>
  <c r="J35" i="2"/>
  <c r="I81" i="3"/>
  <c r="D81" i="4"/>
  <c r="E81" i="4"/>
  <c r="F81" i="4"/>
  <c r="K81" i="3"/>
  <c r="L81" i="3"/>
  <c r="I84" i="3"/>
  <c r="D84" i="4"/>
  <c r="E84" i="4"/>
  <c r="F84" i="4"/>
  <c r="E64" i="4"/>
  <c r="F64" i="4"/>
  <c r="I64" i="3"/>
  <c r="D64" i="4"/>
  <c r="K64" i="3"/>
  <c r="L64" i="3"/>
  <c r="I46" i="3"/>
  <c r="D46" i="4"/>
  <c r="E46" i="4"/>
  <c r="F46" i="4"/>
  <c r="K46" i="3"/>
  <c r="L46" i="3"/>
  <c r="E67" i="4"/>
  <c r="F67" i="4"/>
  <c r="I67" i="3"/>
  <c r="D67" i="4"/>
  <c r="K67" i="3"/>
  <c r="L67" i="3"/>
  <c r="I59" i="3"/>
  <c r="D59" i="4"/>
  <c r="E59" i="4"/>
  <c r="F59" i="4"/>
  <c r="K59" i="3"/>
  <c r="L59" i="3"/>
  <c r="E41" i="4"/>
  <c r="F41" i="4"/>
  <c r="I41" i="3"/>
  <c r="D41" i="4"/>
  <c r="K41" i="3"/>
  <c r="L41" i="3"/>
  <c r="I40" i="3"/>
  <c r="D40" i="4"/>
  <c r="E40" i="4"/>
  <c r="F40" i="4"/>
  <c r="K40" i="3"/>
  <c r="L40" i="3"/>
  <c r="C15" i="11"/>
  <c r="C16" i="11"/>
  <c r="Z16" i="11"/>
  <c r="Y16" i="11"/>
  <c r="Y22" i="11"/>
  <c r="I35" i="3"/>
  <c r="D35" i="4"/>
  <c r="E35" i="4"/>
  <c r="F35" i="4"/>
  <c r="K35" i="3"/>
  <c r="L35" i="3"/>
  <c r="I60" i="3"/>
  <c r="D60" i="4"/>
  <c r="E60" i="4"/>
  <c r="F60" i="4"/>
  <c r="K60" i="3"/>
  <c r="L60" i="3"/>
  <c r="I58" i="3"/>
  <c r="D58" i="4"/>
  <c r="E58" i="4"/>
  <c r="F58" i="4"/>
  <c r="K58" i="3"/>
  <c r="L58" i="3"/>
  <c r="E32" i="4"/>
  <c r="F32" i="4"/>
  <c r="I32" i="3"/>
  <c r="D32" i="4"/>
  <c r="K32" i="3"/>
  <c r="L32" i="3"/>
  <c r="E83" i="4"/>
  <c r="F83" i="4"/>
  <c r="I83" i="3"/>
  <c r="D83" i="4"/>
  <c r="E34" i="4"/>
  <c r="F34" i="4"/>
  <c r="I34" i="3"/>
  <c r="D34" i="4"/>
  <c r="K34" i="3"/>
  <c r="L34" i="3"/>
  <c r="E47" i="4"/>
  <c r="F47" i="4"/>
  <c r="I47" i="3"/>
  <c r="D47" i="4"/>
  <c r="K47" i="3"/>
  <c r="L47" i="3"/>
  <c r="E82" i="4"/>
  <c r="F82" i="4"/>
  <c r="I82" i="3"/>
  <c r="D82" i="4"/>
  <c r="K82" i="3"/>
  <c r="L82" i="3"/>
  <c r="E78" i="4"/>
  <c r="F78" i="4"/>
  <c r="I78" i="3"/>
  <c r="D78" i="4"/>
  <c r="K78" i="3"/>
  <c r="L78" i="3"/>
  <c r="I63" i="3"/>
  <c r="D63" i="4"/>
  <c r="E63" i="4"/>
  <c r="F63" i="4"/>
  <c r="K63" i="3"/>
  <c r="L63" i="3"/>
  <c r="I75" i="3"/>
  <c r="D75" i="4"/>
  <c r="E75" i="4"/>
  <c r="F75" i="4"/>
  <c r="K75" i="3"/>
  <c r="L75" i="3"/>
  <c r="E43" i="4"/>
  <c r="F43" i="4"/>
  <c r="I43" i="3"/>
  <c r="D43" i="4"/>
  <c r="K43" i="3"/>
  <c r="L43" i="3"/>
  <c r="I55" i="3"/>
  <c r="D55" i="4"/>
  <c r="E55" i="4"/>
  <c r="F55" i="4"/>
  <c r="K55" i="3"/>
  <c r="L55" i="3"/>
  <c r="I53" i="3"/>
  <c r="D53" i="4"/>
  <c r="E53" i="4"/>
  <c r="F53" i="4"/>
  <c r="K53" i="3"/>
  <c r="L53" i="3"/>
  <c r="Z21" i="11"/>
  <c r="AA15" i="11"/>
  <c r="AA21" i="11"/>
  <c r="D86" i="3"/>
  <c r="H86" i="3"/>
  <c r="J86" i="3"/>
  <c r="F87" i="3"/>
  <c r="R86" i="3"/>
  <c r="Y24" i="11"/>
  <c r="Y28" i="11"/>
  <c r="Y25" i="11"/>
  <c r="Y29" i="11"/>
  <c r="AA16" i="11"/>
  <c r="AA22" i="11"/>
  <c r="Z22" i="11"/>
  <c r="S85" i="3"/>
  <c r="T85" i="3"/>
  <c r="U85" i="3"/>
  <c r="I85" i="3"/>
  <c r="D85" i="4"/>
  <c r="E85" i="4"/>
  <c r="F85" i="4"/>
  <c r="K85" i="3"/>
  <c r="L85" i="3"/>
  <c r="D29" i="4"/>
  <c r="AI29" i="3"/>
  <c r="L29" i="4"/>
  <c r="V29" i="3"/>
  <c r="D87" i="3"/>
  <c r="H87" i="3"/>
  <c r="J87" i="3"/>
  <c r="K87" i="3"/>
  <c r="L87" i="3"/>
  <c r="R87" i="3"/>
  <c r="F88" i="3"/>
  <c r="I86" i="3"/>
  <c r="D86" i="4"/>
  <c r="E86" i="4"/>
  <c r="F86" i="4"/>
  <c r="S86" i="3"/>
  <c r="T86" i="3"/>
  <c r="U86" i="3"/>
  <c r="W29" i="3"/>
  <c r="X29" i="3"/>
  <c r="Y29" i="3"/>
  <c r="Z29" i="3"/>
  <c r="AA29" i="3"/>
  <c r="AB29" i="3"/>
  <c r="K86" i="3"/>
  <c r="L86" i="3"/>
  <c r="Z25" i="11"/>
  <c r="Z24" i="11"/>
  <c r="AC29" i="3"/>
  <c r="C29" i="4"/>
  <c r="M30" i="3"/>
  <c r="J88" i="3"/>
  <c r="F89" i="3"/>
  <c r="R88" i="3"/>
  <c r="D88" i="3"/>
  <c r="H88" i="3"/>
  <c r="S87" i="3"/>
  <c r="T87" i="3"/>
  <c r="U87" i="3"/>
  <c r="E87" i="4"/>
  <c r="F87" i="4"/>
  <c r="I87" i="3"/>
  <c r="D87" i="4"/>
  <c r="J89" i="3"/>
  <c r="R89" i="3"/>
  <c r="F90" i="3"/>
  <c r="D89" i="3"/>
  <c r="H89" i="3"/>
  <c r="S88" i="3"/>
  <c r="T88" i="3"/>
  <c r="U88" i="3"/>
  <c r="O30" i="3"/>
  <c r="N30" i="3"/>
  <c r="P30" i="3"/>
  <c r="AI30" i="3"/>
  <c r="E88" i="4"/>
  <c r="F88" i="4"/>
  <c r="I88" i="3"/>
  <c r="D88" i="4"/>
  <c r="K88" i="3"/>
  <c r="L88" i="3"/>
  <c r="G29" i="4"/>
  <c r="I29" i="4"/>
  <c r="H29" i="4"/>
  <c r="AD29" i="3"/>
  <c r="J29" i="4"/>
  <c r="Q30" i="3"/>
  <c r="S89" i="3"/>
  <c r="T89" i="3"/>
  <c r="U89" i="3"/>
  <c r="F91" i="3"/>
  <c r="R90" i="3"/>
  <c r="J90" i="3"/>
  <c r="D90" i="3"/>
  <c r="H90" i="3"/>
  <c r="I89" i="3"/>
  <c r="D89" i="4"/>
  <c r="E89" i="4"/>
  <c r="F89" i="4"/>
  <c r="K89" i="3"/>
  <c r="L89" i="3"/>
  <c r="D91" i="3"/>
  <c r="H91" i="3"/>
  <c r="J91" i="3"/>
  <c r="K91" i="3"/>
  <c r="L91" i="3"/>
  <c r="R91" i="3"/>
  <c r="F92" i="3"/>
  <c r="S90" i="3"/>
  <c r="T90" i="3"/>
  <c r="U90" i="3"/>
  <c r="E90" i="4"/>
  <c r="F90" i="4"/>
  <c r="I90" i="3"/>
  <c r="D90" i="4"/>
  <c r="M29" i="4"/>
  <c r="K29" i="4"/>
  <c r="K90" i="3"/>
  <c r="L90" i="3"/>
  <c r="L30" i="4"/>
  <c r="V30" i="3"/>
  <c r="X30" i="3"/>
  <c r="Y30" i="3"/>
  <c r="Z30" i="3"/>
  <c r="AA30" i="3"/>
  <c r="AB30" i="3"/>
  <c r="W30" i="3"/>
  <c r="S91" i="3"/>
  <c r="T91" i="3"/>
  <c r="U91" i="3"/>
  <c r="F93" i="3"/>
  <c r="R92" i="3"/>
  <c r="J92" i="3"/>
  <c r="D92" i="3"/>
  <c r="H92" i="3"/>
  <c r="I91" i="3"/>
  <c r="D91" i="4"/>
  <c r="E91" i="4"/>
  <c r="F91" i="4"/>
  <c r="D93" i="3"/>
  <c r="H93" i="3"/>
  <c r="J93" i="3"/>
  <c r="K93" i="3"/>
  <c r="L93" i="3"/>
  <c r="R93" i="3"/>
  <c r="F94" i="3"/>
  <c r="E92" i="4"/>
  <c r="F92" i="4"/>
  <c r="I92" i="3"/>
  <c r="D92" i="4"/>
  <c r="K92" i="3"/>
  <c r="L92" i="3"/>
  <c r="C30" i="4"/>
  <c r="M31" i="3"/>
  <c r="AC30" i="3"/>
  <c r="S92" i="3"/>
  <c r="T92" i="3"/>
  <c r="U92" i="3"/>
  <c r="AD30" i="3"/>
  <c r="F95" i="3"/>
  <c r="R94" i="3"/>
  <c r="D94" i="3"/>
  <c r="H94" i="3"/>
  <c r="J94" i="3"/>
  <c r="K94" i="3"/>
  <c r="L94" i="3"/>
  <c r="S93" i="3"/>
  <c r="T93" i="3"/>
  <c r="U93" i="3"/>
  <c r="G30" i="4"/>
  <c r="I30" i="4"/>
  <c r="H30" i="4"/>
  <c r="O31" i="3"/>
  <c r="N31" i="3"/>
  <c r="P31" i="3"/>
  <c r="AI31" i="3"/>
  <c r="E93" i="4"/>
  <c r="F93" i="4"/>
  <c r="I93" i="3"/>
  <c r="D93" i="4"/>
  <c r="Q31" i="3"/>
  <c r="J30" i="4"/>
  <c r="F96" i="3"/>
  <c r="J95" i="3"/>
  <c r="K95" i="3"/>
  <c r="L95" i="3"/>
  <c r="R95" i="3"/>
  <c r="D95" i="3"/>
  <c r="H95" i="3"/>
  <c r="E94" i="4"/>
  <c r="F94" i="4"/>
  <c r="I94" i="3"/>
  <c r="D94" i="4"/>
  <c r="S94" i="3"/>
  <c r="T94" i="3"/>
  <c r="U94" i="3"/>
  <c r="E95" i="4"/>
  <c r="F95" i="4"/>
  <c r="I95" i="3"/>
  <c r="D95" i="4"/>
  <c r="S95" i="3"/>
  <c r="T95" i="3"/>
  <c r="U95" i="3"/>
  <c r="D96" i="3"/>
  <c r="H96" i="3"/>
  <c r="R96" i="3"/>
  <c r="J96" i="3"/>
  <c r="F97" i="3"/>
  <c r="M30" i="4"/>
  <c r="K30" i="4"/>
  <c r="L31" i="4"/>
  <c r="V31" i="3"/>
  <c r="K96" i="3"/>
  <c r="L96" i="3"/>
  <c r="J97" i="3"/>
  <c r="D97" i="3"/>
  <c r="H97" i="3"/>
  <c r="R97" i="3"/>
  <c r="F98" i="3"/>
  <c r="W31" i="3"/>
  <c r="X31" i="3"/>
  <c r="Y31" i="3"/>
  <c r="Z31" i="3"/>
  <c r="AA31" i="3"/>
  <c r="AB31" i="3"/>
  <c r="S96" i="3"/>
  <c r="T96" i="3"/>
  <c r="U96" i="3"/>
  <c r="I96" i="3"/>
  <c r="D96" i="4"/>
  <c r="E96" i="4"/>
  <c r="F96" i="4"/>
  <c r="C31" i="4"/>
  <c r="M32" i="3"/>
  <c r="AC31" i="3"/>
  <c r="E97" i="4"/>
  <c r="F97" i="4"/>
  <c r="I97" i="3"/>
  <c r="D97" i="4"/>
  <c r="K97" i="3"/>
  <c r="L97" i="3"/>
  <c r="D98" i="3"/>
  <c r="H98" i="3"/>
  <c r="J98" i="3"/>
  <c r="F99" i="3"/>
  <c r="R98" i="3"/>
  <c r="S97" i="3"/>
  <c r="T97" i="3"/>
  <c r="U97" i="3"/>
  <c r="R99" i="3"/>
  <c r="J99" i="3"/>
  <c r="K99" i="3"/>
  <c r="L99" i="3"/>
  <c r="F100" i="3"/>
  <c r="D99" i="3"/>
  <c r="H99" i="3"/>
  <c r="S98" i="3"/>
  <c r="T98" i="3"/>
  <c r="U98" i="3"/>
  <c r="I98" i="3"/>
  <c r="D98" i="4"/>
  <c r="E98" i="4"/>
  <c r="F98" i="4"/>
  <c r="N32" i="3"/>
  <c r="P32" i="3"/>
  <c r="O32" i="3"/>
  <c r="AI32" i="3"/>
  <c r="K98" i="3"/>
  <c r="L98" i="3"/>
  <c r="AD31" i="3"/>
  <c r="G31" i="4"/>
  <c r="I31" i="4"/>
  <c r="H31" i="4"/>
  <c r="Q32" i="3"/>
  <c r="J31" i="4"/>
  <c r="I99" i="3"/>
  <c r="D99" i="4"/>
  <c r="E99" i="4"/>
  <c r="F99" i="4"/>
  <c r="D100" i="3"/>
  <c r="H100" i="3"/>
  <c r="F101" i="3"/>
  <c r="R100" i="3"/>
  <c r="J100" i="3"/>
  <c r="S99" i="3"/>
  <c r="T99" i="3"/>
  <c r="U99" i="3"/>
  <c r="J101" i="3"/>
  <c r="R101" i="3"/>
  <c r="D101" i="3"/>
  <c r="H101" i="3"/>
  <c r="F102" i="3"/>
  <c r="S100" i="3"/>
  <c r="T100" i="3"/>
  <c r="U100" i="3"/>
  <c r="M31" i="4"/>
  <c r="K31" i="4"/>
  <c r="K100" i="3"/>
  <c r="L100" i="3"/>
  <c r="I100" i="3"/>
  <c r="D100" i="4"/>
  <c r="E100" i="4"/>
  <c r="F100" i="4"/>
  <c r="L32" i="4"/>
  <c r="V32" i="3"/>
  <c r="R102" i="3"/>
  <c r="D102" i="3"/>
  <c r="H102" i="3"/>
  <c r="F103" i="3"/>
  <c r="J102" i="3"/>
  <c r="K102" i="3"/>
  <c r="L102" i="3"/>
  <c r="S101" i="3"/>
  <c r="T101" i="3"/>
  <c r="U101" i="3"/>
  <c r="W32" i="3"/>
  <c r="X32" i="3"/>
  <c r="Y32" i="3"/>
  <c r="Z32" i="3"/>
  <c r="AA32" i="3"/>
  <c r="AB32" i="3"/>
  <c r="I101" i="3"/>
  <c r="D101" i="4"/>
  <c r="E101" i="4"/>
  <c r="F101" i="4"/>
  <c r="K101" i="3"/>
  <c r="L101" i="3"/>
  <c r="C32" i="4"/>
  <c r="AC32" i="3"/>
  <c r="M33" i="3"/>
  <c r="S102" i="3"/>
  <c r="T102" i="3"/>
  <c r="U102" i="3"/>
  <c r="E102" i="4"/>
  <c r="F102" i="4"/>
  <c r="I102" i="3"/>
  <c r="D102" i="4"/>
  <c r="J103" i="3"/>
  <c r="R103" i="3"/>
  <c r="D103" i="3"/>
  <c r="H103" i="3"/>
  <c r="F104" i="3"/>
  <c r="R104" i="3"/>
  <c r="J104" i="3"/>
  <c r="F105" i="3"/>
  <c r="D104" i="3"/>
  <c r="H104" i="3"/>
  <c r="S103" i="3"/>
  <c r="T103" i="3"/>
  <c r="U103" i="3"/>
  <c r="K103" i="3"/>
  <c r="L103" i="3"/>
  <c r="AD32" i="3"/>
  <c r="E103" i="4"/>
  <c r="F103" i="4"/>
  <c r="I103" i="3"/>
  <c r="D103" i="4"/>
  <c r="O33" i="3"/>
  <c r="N33" i="3"/>
  <c r="P33" i="3"/>
  <c r="Q33" i="3"/>
  <c r="AI33" i="3"/>
  <c r="G32" i="4"/>
  <c r="I32" i="4"/>
  <c r="H32" i="4"/>
  <c r="L33" i="4"/>
  <c r="V33" i="3"/>
  <c r="J32" i="4"/>
  <c r="K104" i="3"/>
  <c r="L104" i="3"/>
  <c r="E104" i="4"/>
  <c r="F104" i="4"/>
  <c r="I104" i="3"/>
  <c r="D104" i="4"/>
  <c r="F106" i="3"/>
  <c r="J105" i="3"/>
  <c r="R105" i="3"/>
  <c r="D105" i="3"/>
  <c r="H105" i="3"/>
  <c r="S104" i="3"/>
  <c r="T104" i="3"/>
  <c r="U104" i="3"/>
  <c r="R106" i="3"/>
  <c r="J106" i="3"/>
  <c r="F107" i="3"/>
  <c r="D106" i="3"/>
  <c r="H106" i="3"/>
  <c r="K105" i="3"/>
  <c r="L105" i="3"/>
  <c r="E105" i="4"/>
  <c r="F105" i="4"/>
  <c r="I105" i="3"/>
  <c r="D105" i="4"/>
  <c r="W33" i="3"/>
  <c r="X33" i="3"/>
  <c r="Y33" i="3"/>
  <c r="Z33" i="3"/>
  <c r="AA33" i="3"/>
  <c r="AB33" i="3"/>
  <c r="S105" i="3"/>
  <c r="T105" i="3"/>
  <c r="U105" i="3"/>
  <c r="M32" i="4"/>
  <c r="K32" i="4"/>
  <c r="M34" i="3"/>
  <c r="C33" i="4"/>
  <c r="AC33" i="3"/>
  <c r="AD33" i="3"/>
  <c r="J107" i="3"/>
  <c r="F108" i="3"/>
  <c r="D107" i="3"/>
  <c r="H107" i="3"/>
  <c r="R107" i="3"/>
  <c r="I106" i="3"/>
  <c r="D106" i="4"/>
  <c r="E106" i="4"/>
  <c r="F106" i="4"/>
  <c r="K106" i="3"/>
  <c r="L106" i="3"/>
  <c r="S106" i="3"/>
  <c r="T106" i="3"/>
  <c r="U106" i="3"/>
  <c r="S107" i="3"/>
  <c r="T107" i="3"/>
  <c r="U107" i="3"/>
  <c r="K107" i="3"/>
  <c r="L107" i="3"/>
  <c r="E107" i="4"/>
  <c r="F107" i="4"/>
  <c r="I107" i="3"/>
  <c r="D107" i="4"/>
  <c r="J108" i="3"/>
  <c r="R108" i="3"/>
  <c r="F109" i="3"/>
  <c r="D108" i="3"/>
  <c r="H108" i="3"/>
  <c r="G33" i="4"/>
  <c r="I33" i="4"/>
  <c r="H33" i="4"/>
  <c r="AI34" i="3"/>
  <c r="O34" i="3"/>
  <c r="N34" i="3"/>
  <c r="P34" i="3"/>
  <c r="Q34" i="3"/>
  <c r="L34" i="4"/>
  <c r="V34" i="3"/>
  <c r="E108" i="4"/>
  <c r="F108" i="4"/>
  <c r="I108" i="3"/>
  <c r="D108" i="4"/>
  <c r="S108" i="3"/>
  <c r="T108" i="3"/>
  <c r="U108" i="3"/>
  <c r="J33" i="4"/>
  <c r="J109" i="3"/>
  <c r="F110" i="3"/>
  <c r="D109" i="3"/>
  <c r="H109" i="3"/>
  <c r="R109" i="3"/>
  <c r="K108" i="3"/>
  <c r="L108" i="3"/>
  <c r="I109" i="3"/>
  <c r="D109" i="4"/>
  <c r="E109" i="4"/>
  <c r="F109" i="4"/>
  <c r="K109" i="3"/>
  <c r="L109" i="3"/>
  <c r="S109" i="3"/>
  <c r="T109" i="3"/>
  <c r="U109" i="3"/>
  <c r="J110" i="3"/>
  <c r="R110" i="3"/>
  <c r="D110" i="3"/>
  <c r="H110" i="3"/>
  <c r="F111" i="3"/>
  <c r="M33" i="4"/>
  <c r="K33" i="4"/>
  <c r="W34" i="3"/>
  <c r="X34" i="3"/>
  <c r="Y34" i="3"/>
  <c r="Z34" i="3"/>
  <c r="AA34" i="3"/>
  <c r="AB34" i="3"/>
  <c r="M35" i="3"/>
  <c r="C34" i="4"/>
  <c r="AC34" i="3"/>
  <c r="AD34" i="3"/>
  <c r="I110" i="3"/>
  <c r="D110" i="4"/>
  <c r="E110" i="4"/>
  <c r="F110" i="4"/>
  <c r="S110" i="3"/>
  <c r="T110" i="3"/>
  <c r="U110" i="3"/>
  <c r="F112" i="3"/>
  <c r="D111" i="3"/>
  <c r="H111" i="3"/>
  <c r="J111" i="3"/>
  <c r="K111" i="3"/>
  <c r="L111" i="3"/>
  <c r="R111" i="3"/>
  <c r="K110" i="3"/>
  <c r="L110" i="3"/>
  <c r="S111" i="3"/>
  <c r="T111" i="3"/>
  <c r="U111" i="3"/>
  <c r="E111" i="4"/>
  <c r="F111" i="4"/>
  <c r="I111" i="3"/>
  <c r="D111" i="4"/>
  <c r="D112" i="3"/>
  <c r="H112" i="3"/>
  <c r="R112" i="3"/>
  <c r="F113" i="3"/>
  <c r="J112" i="3"/>
  <c r="K112" i="3"/>
  <c r="L112" i="3"/>
  <c r="G34" i="4"/>
  <c r="I34" i="4"/>
  <c r="J34" i="4"/>
  <c r="H34" i="4"/>
  <c r="N35" i="3"/>
  <c r="P35" i="3"/>
  <c r="Q35" i="3"/>
  <c r="O35" i="3"/>
  <c r="AI35" i="3"/>
  <c r="R113" i="3"/>
  <c r="J113" i="3"/>
  <c r="F114" i="3"/>
  <c r="D113" i="3"/>
  <c r="H113" i="3"/>
  <c r="M34" i="4"/>
  <c r="K34" i="4"/>
  <c r="I112" i="3"/>
  <c r="D112" i="4"/>
  <c r="E112" i="4"/>
  <c r="F112" i="4"/>
  <c r="L35" i="4"/>
  <c r="V35" i="3"/>
  <c r="S112" i="3"/>
  <c r="T112" i="3"/>
  <c r="U112" i="3"/>
  <c r="K113" i="3"/>
  <c r="L113" i="3"/>
  <c r="W35" i="3"/>
  <c r="X35" i="3"/>
  <c r="Y35" i="3"/>
  <c r="Z35" i="3"/>
  <c r="AA35" i="3"/>
  <c r="AB35" i="3"/>
  <c r="E113" i="4"/>
  <c r="F113" i="4"/>
  <c r="I113" i="3"/>
  <c r="D113" i="4"/>
  <c r="J114" i="3"/>
  <c r="R114" i="3"/>
  <c r="F115" i="3"/>
  <c r="D114" i="3"/>
  <c r="H114" i="3"/>
  <c r="S113" i="3"/>
  <c r="T113" i="3"/>
  <c r="U113" i="3"/>
  <c r="K114" i="3"/>
  <c r="L114" i="3"/>
  <c r="AC35" i="3"/>
  <c r="AD35" i="3"/>
  <c r="M36" i="3"/>
  <c r="C35" i="4"/>
  <c r="E114" i="4"/>
  <c r="F114" i="4"/>
  <c r="I114" i="3"/>
  <c r="D114" i="4"/>
  <c r="S114" i="3"/>
  <c r="T114" i="3"/>
  <c r="U114" i="3"/>
  <c r="J115" i="3"/>
  <c r="R115" i="3"/>
  <c r="F116" i="3"/>
  <c r="D115" i="3"/>
  <c r="H115" i="3"/>
  <c r="S115" i="3"/>
  <c r="T115" i="3"/>
  <c r="U115" i="3"/>
  <c r="J116" i="3"/>
  <c r="F117" i="3"/>
  <c r="R116" i="3"/>
  <c r="D116" i="3"/>
  <c r="H116" i="3"/>
  <c r="E115" i="4"/>
  <c r="F115" i="4"/>
  <c r="I115" i="3"/>
  <c r="D115" i="4"/>
  <c r="AI36" i="3"/>
  <c r="N36" i="3"/>
  <c r="O36" i="3"/>
  <c r="K115" i="3"/>
  <c r="L115" i="3"/>
  <c r="G35" i="4"/>
  <c r="I35" i="4"/>
  <c r="J35" i="4"/>
  <c r="H35" i="4"/>
  <c r="M35" i="4"/>
  <c r="K35" i="4"/>
  <c r="I116" i="3"/>
  <c r="D116" i="4"/>
  <c r="E116" i="4"/>
  <c r="F116" i="4"/>
  <c r="S116" i="3"/>
  <c r="T116" i="3"/>
  <c r="U116" i="3"/>
  <c r="P36" i="3"/>
  <c r="Q36" i="3"/>
  <c r="D117" i="3"/>
  <c r="H117" i="3"/>
  <c r="J117" i="3"/>
  <c r="R117" i="3"/>
  <c r="F118" i="3"/>
  <c r="K116" i="3"/>
  <c r="L116" i="3"/>
  <c r="E117" i="4"/>
  <c r="F117" i="4"/>
  <c r="I117" i="3"/>
  <c r="D117" i="4"/>
  <c r="R118" i="3"/>
  <c r="J118" i="3"/>
  <c r="D118" i="3"/>
  <c r="H118" i="3"/>
  <c r="F119" i="3"/>
  <c r="L36" i="4"/>
  <c r="V36" i="3"/>
  <c r="S117" i="3"/>
  <c r="T117" i="3"/>
  <c r="U117" i="3"/>
  <c r="K117" i="3"/>
  <c r="L117" i="3"/>
  <c r="F120" i="3"/>
  <c r="D119" i="3"/>
  <c r="H119" i="3"/>
  <c r="R119" i="3"/>
  <c r="J119" i="3"/>
  <c r="K118" i="3"/>
  <c r="L118" i="3"/>
  <c r="W36" i="3"/>
  <c r="X36" i="3"/>
  <c r="Y36" i="3"/>
  <c r="Z36" i="3"/>
  <c r="AA36" i="3"/>
  <c r="AB36" i="3"/>
  <c r="E118" i="4"/>
  <c r="F118" i="4"/>
  <c r="I118" i="3"/>
  <c r="D118" i="4"/>
  <c r="S118" i="3"/>
  <c r="T118" i="3"/>
  <c r="U118" i="3"/>
  <c r="E119" i="4"/>
  <c r="F119" i="4"/>
  <c r="I119" i="3"/>
  <c r="D119" i="4"/>
  <c r="M37" i="3"/>
  <c r="AC36" i="3"/>
  <c r="AD36" i="3"/>
  <c r="C36" i="4"/>
  <c r="K119" i="3"/>
  <c r="L119" i="3"/>
  <c r="S119" i="3"/>
  <c r="T119" i="3"/>
  <c r="U119" i="3"/>
  <c r="J120" i="3"/>
  <c r="F121" i="3"/>
  <c r="D120" i="3"/>
  <c r="H120" i="3"/>
  <c r="R120" i="3"/>
  <c r="K120" i="3"/>
  <c r="L120" i="3"/>
  <c r="G36" i="4"/>
  <c r="I36" i="4"/>
  <c r="J36" i="4"/>
  <c r="H36" i="4"/>
  <c r="S120" i="3"/>
  <c r="T120" i="3"/>
  <c r="U120" i="3"/>
  <c r="J121" i="3"/>
  <c r="R121" i="3"/>
  <c r="D121" i="3"/>
  <c r="H121" i="3"/>
  <c r="F122" i="3"/>
  <c r="E120" i="4"/>
  <c r="F120" i="4"/>
  <c r="I120" i="3"/>
  <c r="D120" i="4"/>
  <c r="O37" i="3"/>
  <c r="N37" i="3"/>
  <c r="P37" i="3"/>
  <c r="Q37" i="3"/>
  <c r="AI37" i="3"/>
  <c r="K121" i="3"/>
  <c r="L121" i="3"/>
  <c r="I121" i="3"/>
  <c r="D121" i="4"/>
  <c r="E121" i="4"/>
  <c r="F121" i="4"/>
  <c r="J122" i="3"/>
  <c r="R122" i="3"/>
  <c r="D122" i="3"/>
  <c r="H122" i="3"/>
  <c r="F123" i="3"/>
  <c r="S121" i="3"/>
  <c r="T121" i="3"/>
  <c r="U121" i="3"/>
  <c r="M36" i="4"/>
  <c r="K36" i="4"/>
  <c r="L37" i="4"/>
  <c r="V37" i="3"/>
  <c r="K122" i="3"/>
  <c r="L122" i="3"/>
  <c r="E122" i="4"/>
  <c r="F122" i="4"/>
  <c r="I122" i="3"/>
  <c r="D122" i="4"/>
  <c r="W37" i="3"/>
  <c r="X37" i="3"/>
  <c r="Y37" i="3"/>
  <c r="Z37" i="3"/>
  <c r="AA37" i="3"/>
  <c r="AB37" i="3"/>
  <c r="R123" i="3"/>
  <c r="D123" i="3"/>
  <c r="H123" i="3"/>
  <c r="F124" i="3"/>
  <c r="J123" i="3"/>
  <c r="K123" i="3"/>
  <c r="L123" i="3"/>
  <c r="S122" i="3"/>
  <c r="T122" i="3"/>
  <c r="U122" i="3"/>
  <c r="M38" i="3"/>
  <c r="AC37" i="3"/>
  <c r="AD37" i="3"/>
  <c r="C37" i="4"/>
  <c r="S123" i="3"/>
  <c r="T123" i="3"/>
  <c r="U123" i="3"/>
  <c r="I123" i="3"/>
  <c r="D123" i="4"/>
  <c r="E123" i="4"/>
  <c r="F123" i="4"/>
  <c r="D124" i="3"/>
  <c r="H124" i="3"/>
  <c r="J124" i="3"/>
  <c r="F125" i="3"/>
  <c r="R124" i="3"/>
  <c r="E124" i="4"/>
  <c r="F124" i="4"/>
  <c r="I124" i="3"/>
  <c r="D124" i="4"/>
  <c r="S124" i="3"/>
  <c r="T124" i="3"/>
  <c r="U124" i="3"/>
  <c r="K124" i="3"/>
  <c r="L124" i="3"/>
  <c r="F126" i="3"/>
  <c r="R125" i="3"/>
  <c r="D125" i="3"/>
  <c r="H125" i="3"/>
  <c r="J125" i="3"/>
  <c r="G37" i="4"/>
  <c r="I37" i="4"/>
  <c r="J37" i="4"/>
  <c r="H37" i="4"/>
  <c r="AI38" i="3"/>
  <c r="O38" i="3"/>
  <c r="N38" i="3"/>
  <c r="P38" i="3"/>
  <c r="Q38" i="3"/>
  <c r="L38" i="4"/>
  <c r="V38" i="3"/>
  <c r="E125" i="4"/>
  <c r="F125" i="4"/>
  <c r="I125" i="3"/>
  <c r="D125" i="4"/>
  <c r="M37" i="4"/>
  <c r="K37" i="4"/>
  <c r="K125" i="3"/>
  <c r="L125" i="3"/>
  <c r="J126" i="3"/>
  <c r="F127" i="3"/>
  <c r="D126" i="3"/>
  <c r="H126" i="3"/>
  <c r="R126" i="3"/>
  <c r="S125" i="3"/>
  <c r="T125" i="3"/>
  <c r="U125" i="3"/>
  <c r="I126" i="3"/>
  <c r="D126" i="4"/>
  <c r="E126" i="4"/>
  <c r="F126" i="4"/>
  <c r="F128" i="3"/>
  <c r="J127" i="3"/>
  <c r="K127" i="3"/>
  <c r="L127" i="3"/>
  <c r="D127" i="3"/>
  <c r="H127" i="3"/>
  <c r="R127" i="3"/>
  <c r="K126" i="3"/>
  <c r="L126" i="3"/>
  <c r="S126" i="3"/>
  <c r="T126" i="3"/>
  <c r="U126" i="3"/>
  <c r="W38" i="3"/>
  <c r="X38" i="3"/>
  <c r="Y38" i="3"/>
  <c r="Z38" i="3"/>
  <c r="AA38" i="3"/>
  <c r="AB38" i="3"/>
  <c r="S127" i="3"/>
  <c r="T127" i="3"/>
  <c r="U127" i="3"/>
  <c r="M39" i="3"/>
  <c r="AC38" i="3"/>
  <c r="AD38" i="3"/>
  <c r="C38" i="4"/>
  <c r="E127" i="4"/>
  <c r="F127" i="4"/>
  <c r="I127" i="3"/>
  <c r="D127" i="4"/>
  <c r="R128" i="3"/>
  <c r="D128" i="3"/>
  <c r="H128" i="3"/>
  <c r="J128" i="3"/>
  <c r="K128" i="3"/>
  <c r="L128" i="3"/>
  <c r="F129" i="3"/>
  <c r="F130" i="3"/>
  <c r="J129" i="3"/>
  <c r="K129" i="3"/>
  <c r="L129" i="3"/>
  <c r="R129" i="3"/>
  <c r="D129" i="3"/>
  <c r="H129" i="3"/>
  <c r="S128" i="3"/>
  <c r="T128" i="3"/>
  <c r="U128" i="3"/>
  <c r="O39" i="3"/>
  <c r="N39" i="3"/>
  <c r="P39" i="3"/>
  <c r="Q39" i="3"/>
  <c r="AI39" i="3"/>
  <c r="I128" i="3"/>
  <c r="D128" i="4"/>
  <c r="E128" i="4"/>
  <c r="F128" i="4"/>
  <c r="G38" i="4"/>
  <c r="I38" i="4"/>
  <c r="J38" i="4"/>
  <c r="H38" i="4"/>
  <c r="L39" i="4"/>
  <c r="V39" i="3"/>
  <c r="K38" i="4"/>
  <c r="M38" i="4"/>
  <c r="S129" i="3"/>
  <c r="T129" i="3"/>
  <c r="U129" i="3"/>
  <c r="I129" i="3"/>
  <c r="D129" i="4"/>
  <c r="E129" i="4"/>
  <c r="F129" i="4"/>
  <c r="D130" i="3"/>
  <c r="H130" i="3"/>
  <c r="J130" i="3"/>
  <c r="F131" i="3"/>
  <c r="R130" i="3"/>
  <c r="K130" i="3"/>
  <c r="L130" i="3"/>
  <c r="E130" i="4"/>
  <c r="F130" i="4"/>
  <c r="I130" i="3"/>
  <c r="D130" i="4"/>
  <c r="S130" i="3"/>
  <c r="T130" i="3"/>
  <c r="U130" i="3"/>
  <c r="F132" i="3"/>
  <c r="J131" i="3"/>
  <c r="R131" i="3"/>
  <c r="D131" i="3"/>
  <c r="H131" i="3"/>
  <c r="W39" i="3"/>
  <c r="X39" i="3"/>
  <c r="Y39" i="3"/>
  <c r="Z39" i="3"/>
  <c r="AA39" i="3"/>
  <c r="AB39" i="3"/>
  <c r="AC39" i="3"/>
  <c r="AD39" i="3"/>
  <c r="M40" i="3"/>
  <c r="C39" i="4"/>
  <c r="S131" i="3"/>
  <c r="T131" i="3"/>
  <c r="U131" i="3"/>
  <c r="I131" i="3"/>
  <c r="D131" i="4"/>
  <c r="E131" i="4"/>
  <c r="F131" i="4"/>
  <c r="K131" i="3"/>
  <c r="L131" i="3"/>
  <c r="F133" i="3"/>
  <c r="R132" i="3"/>
  <c r="D132" i="3"/>
  <c r="H132" i="3"/>
  <c r="J132" i="3"/>
  <c r="K132" i="3"/>
  <c r="L132" i="3"/>
  <c r="R133" i="3"/>
  <c r="D133" i="3"/>
  <c r="H133" i="3"/>
  <c r="J133" i="3"/>
  <c r="K133" i="3"/>
  <c r="L133" i="3"/>
  <c r="F134" i="3"/>
  <c r="S132" i="3"/>
  <c r="T132" i="3"/>
  <c r="U132" i="3"/>
  <c r="AI40" i="3"/>
  <c r="N40" i="3"/>
  <c r="P40" i="3"/>
  <c r="Q40" i="3"/>
  <c r="O40" i="3"/>
  <c r="I132" i="3"/>
  <c r="D132" i="4"/>
  <c r="E132" i="4"/>
  <c r="F132" i="4"/>
  <c r="G39" i="4"/>
  <c r="I39" i="4"/>
  <c r="J39" i="4"/>
  <c r="H39" i="4"/>
  <c r="M39" i="4"/>
  <c r="K39" i="4"/>
  <c r="E133" i="4"/>
  <c r="F133" i="4"/>
  <c r="I133" i="3"/>
  <c r="D133" i="4"/>
  <c r="L40" i="4"/>
  <c r="V40" i="3"/>
  <c r="R134" i="3"/>
  <c r="J134" i="3"/>
  <c r="F135" i="3"/>
  <c r="D134" i="3"/>
  <c r="H134" i="3"/>
  <c r="S133" i="3"/>
  <c r="T133" i="3"/>
  <c r="U133" i="3"/>
  <c r="S134" i="3"/>
  <c r="T134" i="3"/>
  <c r="U134" i="3"/>
  <c r="I134" i="3"/>
  <c r="D134" i="4"/>
  <c r="E134" i="4"/>
  <c r="F134" i="4"/>
  <c r="W40" i="3"/>
  <c r="X40" i="3"/>
  <c r="Y40" i="3"/>
  <c r="Z40" i="3"/>
  <c r="AA40" i="3"/>
  <c r="AB40" i="3"/>
  <c r="K134" i="3"/>
  <c r="L134" i="3"/>
  <c r="F136" i="3"/>
  <c r="R135" i="3"/>
  <c r="J135" i="3"/>
  <c r="K135" i="3"/>
  <c r="L135" i="3"/>
  <c r="D135" i="3"/>
  <c r="H135" i="3"/>
  <c r="C40" i="4"/>
  <c r="M41" i="3"/>
  <c r="AC40" i="3"/>
  <c r="AD40" i="3"/>
  <c r="E135" i="4"/>
  <c r="F135" i="4"/>
  <c r="I135" i="3"/>
  <c r="D135" i="4"/>
  <c r="S135" i="3"/>
  <c r="T135" i="3"/>
  <c r="U135" i="3"/>
  <c r="F137" i="3"/>
  <c r="D136" i="3"/>
  <c r="H136" i="3"/>
  <c r="R136" i="3"/>
  <c r="J136" i="3"/>
  <c r="K136" i="3"/>
  <c r="L136" i="3"/>
  <c r="J137" i="3"/>
  <c r="D137" i="3"/>
  <c r="H137" i="3"/>
  <c r="R137" i="3"/>
  <c r="F138" i="3"/>
  <c r="S136" i="3"/>
  <c r="T136" i="3"/>
  <c r="U136" i="3"/>
  <c r="G40" i="4"/>
  <c r="I40" i="4"/>
  <c r="J40" i="4"/>
  <c r="H40" i="4"/>
  <c r="I136" i="3"/>
  <c r="D136" i="4"/>
  <c r="E136" i="4"/>
  <c r="F136" i="4"/>
  <c r="AI41" i="3"/>
  <c r="N41" i="3"/>
  <c r="O41" i="3"/>
  <c r="P41" i="3"/>
  <c r="Q41" i="3"/>
  <c r="I137" i="3"/>
  <c r="D137" i="4"/>
  <c r="E137" i="4"/>
  <c r="F137" i="4"/>
  <c r="M40" i="4"/>
  <c r="K40" i="4"/>
  <c r="R138" i="3"/>
  <c r="F139" i="3"/>
  <c r="J138" i="3"/>
  <c r="K138" i="3"/>
  <c r="L138" i="3"/>
  <c r="D138" i="3"/>
  <c r="H138" i="3"/>
  <c r="S137" i="3"/>
  <c r="T137" i="3"/>
  <c r="U137" i="3"/>
  <c r="K137" i="3"/>
  <c r="L137" i="3"/>
  <c r="I138" i="3"/>
  <c r="D138" i="4"/>
  <c r="E138" i="4"/>
  <c r="F138" i="4"/>
  <c r="S138" i="3"/>
  <c r="T138" i="3"/>
  <c r="U138" i="3"/>
  <c r="J139" i="3"/>
  <c r="R139" i="3"/>
  <c r="D139" i="3"/>
  <c r="H139" i="3"/>
  <c r="F140" i="3"/>
  <c r="L41" i="4"/>
  <c r="V41" i="3"/>
  <c r="W41" i="3"/>
  <c r="X41" i="3"/>
  <c r="Y41" i="3"/>
  <c r="Z41" i="3"/>
  <c r="AA41" i="3"/>
  <c r="AB41" i="3"/>
  <c r="S139" i="3"/>
  <c r="T139" i="3"/>
  <c r="U139" i="3"/>
  <c r="E139" i="4"/>
  <c r="F139" i="4"/>
  <c r="I139" i="3"/>
  <c r="D139" i="4"/>
  <c r="R140" i="3"/>
  <c r="D140" i="3"/>
  <c r="H140" i="3"/>
  <c r="F141" i="3"/>
  <c r="J140" i="3"/>
  <c r="K139" i="3"/>
  <c r="L139" i="3"/>
  <c r="AC41" i="3"/>
  <c r="AD41" i="3"/>
  <c r="M42" i="3"/>
  <c r="C41" i="4"/>
  <c r="E140" i="4"/>
  <c r="F140" i="4"/>
  <c r="I140" i="3"/>
  <c r="D140" i="4"/>
  <c r="S140" i="3"/>
  <c r="T140" i="3"/>
  <c r="U140" i="3"/>
  <c r="R141" i="3"/>
  <c r="J141" i="3"/>
  <c r="D141" i="3"/>
  <c r="H141" i="3"/>
  <c r="F142" i="3"/>
  <c r="K140" i="3"/>
  <c r="L140" i="3"/>
  <c r="K141" i="3"/>
  <c r="L141" i="3"/>
  <c r="S141" i="3"/>
  <c r="T141" i="3"/>
  <c r="U141" i="3"/>
  <c r="D142" i="3"/>
  <c r="H142" i="3"/>
  <c r="F143" i="3"/>
  <c r="R142" i="3"/>
  <c r="J142" i="3"/>
  <c r="K142" i="3"/>
  <c r="L142" i="3"/>
  <c r="AI42" i="3"/>
  <c r="O42" i="3"/>
  <c r="N42" i="3"/>
  <c r="P42" i="3"/>
  <c r="Q42" i="3"/>
  <c r="I141" i="3"/>
  <c r="D141" i="4"/>
  <c r="E141" i="4"/>
  <c r="F141" i="4"/>
  <c r="G41" i="4"/>
  <c r="I41" i="4"/>
  <c r="J41" i="4"/>
  <c r="H41" i="4"/>
  <c r="L42" i="4"/>
  <c r="V42" i="3"/>
  <c r="D143" i="3"/>
  <c r="H143" i="3"/>
  <c r="F144" i="3"/>
  <c r="J143" i="3"/>
  <c r="R143" i="3"/>
  <c r="M41" i="4"/>
  <c r="K41" i="4"/>
  <c r="S142" i="3"/>
  <c r="T142" i="3"/>
  <c r="U142" i="3"/>
  <c r="I142" i="3"/>
  <c r="D142" i="4"/>
  <c r="E142" i="4"/>
  <c r="F142" i="4"/>
  <c r="S143" i="3"/>
  <c r="T143" i="3"/>
  <c r="U143" i="3"/>
  <c r="I143" i="3"/>
  <c r="D143" i="4"/>
  <c r="E143" i="4"/>
  <c r="F143" i="4"/>
  <c r="K143" i="3"/>
  <c r="L143" i="3"/>
  <c r="F145" i="3"/>
  <c r="J144" i="3"/>
  <c r="D144" i="3"/>
  <c r="H144" i="3"/>
  <c r="R144" i="3"/>
  <c r="W42" i="3"/>
  <c r="X42" i="3"/>
  <c r="Y42" i="3"/>
  <c r="Z42" i="3"/>
  <c r="AA42" i="3"/>
  <c r="AB42" i="3"/>
  <c r="AC42" i="3"/>
  <c r="AD42" i="3"/>
  <c r="M43" i="3"/>
  <c r="C42" i="4"/>
  <c r="F146" i="3"/>
  <c r="R145" i="3"/>
  <c r="J145" i="3"/>
  <c r="D145" i="3"/>
  <c r="H145" i="3"/>
  <c r="E144" i="4"/>
  <c r="F144" i="4"/>
  <c r="I144" i="3"/>
  <c r="D144" i="4"/>
  <c r="K144" i="3"/>
  <c r="L144" i="3"/>
  <c r="S144" i="3"/>
  <c r="T144" i="3"/>
  <c r="U144" i="3"/>
  <c r="E145" i="4"/>
  <c r="F145" i="4"/>
  <c r="I145" i="3"/>
  <c r="D145" i="4"/>
  <c r="S145" i="3"/>
  <c r="T145" i="3"/>
  <c r="U145" i="3"/>
  <c r="K145" i="3"/>
  <c r="L145" i="3"/>
  <c r="F147" i="3"/>
  <c r="D146" i="3"/>
  <c r="H146" i="3"/>
  <c r="J146" i="3"/>
  <c r="K146" i="3"/>
  <c r="L146" i="3"/>
  <c r="R146" i="3"/>
  <c r="G42" i="4"/>
  <c r="I42" i="4"/>
  <c r="J42" i="4"/>
  <c r="H42" i="4"/>
  <c r="AI43" i="3"/>
  <c r="O43" i="3"/>
  <c r="N43" i="3"/>
  <c r="P43" i="3"/>
  <c r="Q43" i="3"/>
  <c r="L43" i="4"/>
  <c r="V43" i="3"/>
  <c r="K42" i="4"/>
  <c r="M42" i="4"/>
  <c r="R147" i="3"/>
  <c r="F148" i="3"/>
  <c r="D147" i="3"/>
  <c r="H147" i="3"/>
  <c r="J147" i="3"/>
  <c r="K147" i="3"/>
  <c r="L147" i="3"/>
  <c r="S146" i="3"/>
  <c r="T146" i="3"/>
  <c r="U146" i="3"/>
  <c r="E146" i="4"/>
  <c r="F146" i="4"/>
  <c r="I146" i="3"/>
  <c r="D146" i="4"/>
  <c r="J148" i="3"/>
  <c r="F149" i="3"/>
  <c r="R148" i="3"/>
  <c r="D148" i="3"/>
  <c r="H148" i="3"/>
  <c r="W43" i="3"/>
  <c r="X43" i="3"/>
  <c r="Y43" i="3"/>
  <c r="Z43" i="3"/>
  <c r="AA43" i="3"/>
  <c r="AB43" i="3"/>
  <c r="I147" i="3"/>
  <c r="D147" i="4"/>
  <c r="E147" i="4"/>
  <c r="F147" i="4"/>
  <c r="S147" i="3"/>
  <c r="T147" i="3"/>
  <c r="U147" i="3"/>
  <c r="C43" i="4"/>
  <c r="M44" i="3"/>
  <c r="AC43" i="3"/>
  <c r="AD43" i="3"/>
  <c r="S148" i="3"/>
  <c r="T148" i="3"/>
  <c r="U148" i="3"/>
  <c r="F150" i="3"/>
  <c r="D149" i="3"/>
  <c r="H149" i="3"/>
  <c r="R149" i="3"/>
  <c r="J149" i="3"/>
  <c r="K149" i="3"/>
  <c r="L149" i="3"/>
  <c r="I148" i="3"/>
  <c r="D148" i="4"/>
  <c r="E148" i="4"/>
  <c r="F148" i="4"/>
  <c r="K148" i="3"/>
  <c r="L148" i="3"/>
  <c r="S149" i="3"/>
  <c r="T149" i="3"/>
  <c r="U149" i="3"/>
  <c r="F151" i="3"/>
  <c r="D150" i="3"/>
  <c r="H150" i="3"/>
  <c r="R150" i="3"/>
  <c r="J150" i="3"/>
  <c r="N44" i="3"/>
  <c r="O44" i="3"/>
  <c r="AI44" i="3"/>
  <c r="I149" i="3"/>
  <c r="D149" i="4"/>
  <c r="E149" i="4"/>
  <c r="F149" i="4"/>
  <c r="G43" i="4"/>
  <c r="I43" i="4"/>
  <c r="J43" i="4"/>
  <c r="H43" i="4"/>
  <c r="S150" i="3"/>
  <c r="T150" i="3"/>
  <c r="U150" i="3"/>
  <c r="I150" i="3"/>
  <c r="D150" i="4"/>
  <c r="E150" i="4"/>
  <c r="F150" i="4"/>
  <c r="M43" i="4"/>
  <c r="K43" i="4"/>
  <c r="P44" i="3"/>
  <c r="Q44" i="3"/>
  <c r="K150" i="3"/>
  <c r="L150" i="3"/>
  <c r="F152" i="3"/>
  <c r="J151" i="3"/>
  <c r="R151" i="3"/>
  <c r="D151" i="3"/>
  <c r="H151" i="3"/>
  <c r="D152" i="3"/>
  <c r="H152" i="3"/>
  <c r="R152" i="3"/>
  <c r="F153" i="3"/>
  <c r="J152" i="3"/>
  <c r="K152" i="3"/>
  <c r="L152" i="3"/>
  <c r="S151" i="3"/>
  <c r="T151" i="3"/>
  <c r="U151" i="3"/>
  <c r="L44" i="4"/>
  <c r="V44" i="3"/>
  <c r="K151" i="3"/>
  <c r="L151" i="3"/>
  <c r="E151" i="4"/>
  <c r="F151" i="4"/>
  <c r="I151" i="3"/>
  <c r="D151" i="4"/>
  <c r="W44" i="3"/>
  <c r="X44" i="3"/>
  <c r="Y44" i="3"/>
  <c r="Z44" i="3"/>
  <c r="AA44" i="3"/>
  <c r="AB44" i="3"/>
  <c r="S152" i="3"/>
  <c r="T152" i="3"/>
  <c r="U152" i="3"/>
  <c r="F154" i="3"/>
  <c r="R153" i="3"/>
  <c r="D153" i="3"/>
  <c r="H153" i="3"/>
  <c r="J153" i="3"/>
  <c r="K153" i="3"/>
  <c r="L153" i="3"/>
  <c r="I152" i="3"/>
  <c r="D152" i="4"/>
  <c r="E152" i="4"/>
  <c r="F152" i="4"/>
  <c r="C44" i="4"/>
  <c r="AC44" i="3"/>
  <c r="AD44" i="3"/>
  <c r="M45" i="3"/>
  <c r="F155" i="3"/>
  <c r="J154" i="3"/>
  <c r="K154" i="3"/>
  <c r="L154" i="3"/>
  <c r="D154" i="3"/>
  <c r="H154" i="3"/>
  <c r="R154" i="3"/>
  <c r="I153" i="3"/>
  <c r="D153" i="4"/>
  <c r="E153" i="4"/>
  <c r="F153" i="4"/>
  <c r="S153" i="3"/>
  <c r="T153" i="3"/>
  <c r="U153" i="3"/>
  <c r="S154" i="3"/>
  <c r="T154" i="3"/>
  <c r="U154" i="3"/>
  <c r="E154" i="4"/>
  <c r="F154" i="4"/>
  <c r="I154" i="3"/>
  <c r="D154" i="4"/>
  <c r="D155" i="3"/>
  <c r="H155" i="3"/>
  <c r="J155" i="3"/>
  <c r="K155" i="3"/>
  <c r="L155" i="3"/>
  <c r="F156" i="3"/>
  <c r="R155" i="3"/>
  <c r="AI45" i="3"/>
  <c r="N45" i="3"/>
  <c r="P45" i="3"/>
  <c r="Q45" i="3"/>
  <c r="O45" i="3"/>
  <c r="G44" i="4"/>
  <c r="I44" i="4"/>
  <c r="J44" i="4"/>
  <c r="H44" i="4"/>
  <c r="K44" i="4"/>
  <c r="M44" i="4"/>
  <c r="L45" i="4"/>
  <c r="V45" i="3"/>
  <c r="S155" i="3"/>
  <c r="T155" i="3"/>
  <c r="U155" i="3"/>
  <c r="I155" i="3"/>
  <c r="D155" i="4"/>
  <c r="E155" i="4"/>
  <c r="F155" i="4"/>
  <c r="J156" i="3"/>
  <c r="K156" i="3"/>
  <c r="L156" i="3"/>
  <c r="D156" i="3"/>
  <c r="H156" i="3"/>
  <c r="F157" i="3"/>
  <c r="R156" i="3"/>
  <c r="S156" i="3"/>
  <c r="T156" i="3"/>
  <c r="U156" i="3"/>
  <c r="I156" i="3"/>
  <c r="D156" i="4"/>
  <c r="E156" i="4"/>
  <c r="F156" i="4"/>
  <c r="W45" i="3"/>
  <c r="X45" i="3"/>
  <c r="Y45" i="3"/>
  <c r="Z45" i="3"/>
  <c r="AA45" i="3"/>
  <c r="AB45" i="3"/>
  <c r="J157" i="3"/>
  <c r="R157" i="3"/>
  <c r="D157" i="3"/>
  <c r="H157" i="3"/>
  <c r="F158" i="3"/>
  <c r="J158" i="3"/>
  <c r="D158" i="3"/>
  <c r="H158" i="3"/>
  <c r="R158" i="3"/>
  <c r="F159" i="3"/>
  <c r="K157" i="3"/>
  <c r="L157" i="3"/>
  <c r="I157" i="3"/>
  <c r="D157" i="4"/>
  <c r="E157" i="4"/>
  <c r="F157" i="4"/>
  <c r="C45" i="4"/>
  <c r="AC45" i="3"/>
  <c r="AD45" i="3"/>
  <c r="M46" i="3"/>
  <c r="S157" i="3"/>
  <c r="T157" i="3"/>
  <c r="U157" i="3"/>
  <c r="G45" i="4"/>
  <c r="I45" i="4"/>
  <c r="J45" i="4"/>
  <c r="H45" i="4"/>
  <c r="S158" i="3"/>
  <c r="T158" i="3"/>
  <c r="U158" i="3"/>
  <c r="O46" i="3"/>
  <c r="N46" i="3"/>
  <c r="AI46" i="3"/>
  <c r="R159" i="3"/>
  <c r="F160" i="3"/>
  <c r="D159" i="3"/>
  <c r="H159" i="3"/>
  <c r="J159" i="3"/>
  <c r="E158" i="4"/>
  <c r="F158" i="4"/>
  <c r="I158" i="3"/>
  <c r="D158" i="4"/>
  <c r="K158" i="3"/>
  <c r="L158" i="3"/>
  <c r="J160" i="3"/>
  <c r="D160" i="3"/>
  <c r="H160" i="3"/>
  <c r="F161" i="3"/>
  <c r="R160" i="3"/>
  <c r="I159" i="3"/>
  <c r="D159" i="4"/>
  <c r="E159" i="4"/>
  <c r="F159" i="4"/>
  <c r="P46" i="3"/>
  <c r="Q46" i="3"/>
  <c r="K159" i="3"/>
  <c r="L159" i="3"/>
  <c r="S159" i="3"/>
  <c r="T159" i="3"/>
  <c r="U159" i="3"/>
  <c r="K45" i="4"/>
  <c r="M45" i="4"/>
  <c r="F162" i="3"/>
  <c r="R161" i="3"/>
  <c r="J161" i="3"/>
  <c r="K161" i="3"/>
  <c r="L161" i="3"/>
  <c r="D161" i="3"/>
  <c r="H161" i="3"/>
  <c r="I160" i="3"/>
  <c r="D160" i="4"/>
  <c r="E160" i="4"/>
  <c r="F160" i="4"/>
  <c r="L46" i="4"/>
  <c r="V46" i="3"/>
  <c r="S160" i="3"/>
  <c r="T160" i="3"/>
  <c r="U160" i="3"/>
  <c r="K160" i="3"/>
  <c r="L160" i="3"/>
  <c r="S161" i="3"/>
  <c r="T161" i="3"/>
  <c r="U161" i="3"/>
  <c r="W46" i="3"/>
  <c r="X46" i="3"/>
  <c r="Y46" i="3"/>
  <c r="Z46" i="3"/>
  <c r="AA46" i="3"/>
  <c r="AB46" i="3"/>
  <c r="E161" i="4"/>
  <c r="F161" i="4"/>
  <c r="I161" i="3"/>
  <c r="D161" i="4"/>
  <c r="D162" i="3"/>
  <c r="H162" i="3"/>
  <c r="J162" i="3"/>
  <c r="R162" i="3"/>
  <c r="F163" i="3"/>
  <c r="K162" i="3"/>
  <c r="L162" i="3"/>
  <c r="C46" i="4"/>
  <c r="AC46" i="3"/>
  <c r="AD46" i="3"/>
  <c r="M47" i="3"/>
  <c r="S162" i="3"/>
  <c r="T162" i="3"/>
  <c r="U162" i="3"/>
  <c r="E162" i="4"/>
  <c r="F162" i="4"/>
  <c r="I162" i="3"/>
  <c r="D162" i="4"/>
  <c r="R163" i="3"/>
  <c r="D163" i="3"/>
  <c r="H163" i="3"/>
  <c r="F164" i="3"/>
  <c r="J163" i="3"/>
  <c r="K163" i="3"/>
  <c r="L163" i="3"/>
  <c r="S163" i="3"/>
  <c r="T163" i="3"/>
  <c r="U163" i="3"/>
  <c r="F165" i="3"/>
  <c r="D164" i="3"/>
  <c r="H164" i="3"/>
  <c r="R164" i="3"/>
  <c r="J164" i="3"/>
  <c r="K164" i="3"/>
  <c r="L164" i="3"/>
  <c r="G46" i="4"/>
  <c r="I46" i="4"/>
  <c r="J46" i="4"/>
  <c r="H46" i="4"/>
  <c r="E163" i="4"/>
  <c r="F163" i="4"/>
  <c r="I163" i="3"/>
  <c r="D163" i="4"/>
  <c r="AI47" i="3"/>
  <c r="N47" i="3"/>
  <c r="O47" i="3"/>
  <c r="P47" i="3"/>
  <c r="Q47" i="3"/>
  <c r="D165" i="3"/>
  <c r="H165" i="3"/>
  <c r="R165" i="3"/>
  <c r="F166" i="3"/>
  <c r="J165" i="3"/>
  <c r="S164" i="3"/>
  <c r="T164" i="3"/>
  <c r="U164" i="3"/>
  <c r="K46" i="4"/>
  <c r="M46" i="4"/>
  <c r="I164" i="3"/>
  <c r="D164" i="4"/>
  <c r="E164" i="4"/>
  <c r="F164" i="4"/>
  <c r="E165" i="4"/>
  <c r="F165" i="4"/>
  <c r="I165" i="3"/>
  <c r="D165" i="4"/>
  <c r="K165" i="3"/>
  <c r="L165" i="3"/>
  <c r="F167" i="3"/>
  <c r="D166" i="3"/>
  <c r="H166" i="3"/>
  <c r="R166" i="3"/>
  <c r="J166" i="3"/>
  <c r="K166" i="3"/>
  <c r="L166" i="3"/>
  <c r="S165" i="3"/>
  <c r="T165" i="3"/>
  <c r="U165" i="3"/>
  <c r="L47" i="4"/>
  <c r="V47" i="3"/>
  <c r="S166" i="3"/>
  <c r="T166" i="3"/>
  <c r="U166" i="3"/>
  <c r="J167" i="3"/>
  <c r="F168" i="3"/>
  <c r="R167" i="3"/>
  <c r="D167" i="3"/>
  <c r="H167" i="3"/>
  <c r="W47" i="3"/>
  <c r="X47" i="3"/>
  <c r="Y47" i="3"/>
  <c r="Z47" i="3"/>
  <c r="AA47" i="3"/>
  <c r="AB47" i="3"/>
  <c r="I166" i="3"/>
  <c r="D166" i="4"/>
  <c r="E166" i="4"/>
  <c r="F166" i="4"/>
  <c r="AC47" i="3"/>
  <c r="AD47" i="3"/>
  <c r="C47" i="4"/>
  <c r="M48" i="3"/>
  <c r="K167" i="3"/>
  <c r="L167" i="3"/>
  <c r="S167" i="3"/>
  <c r="T167" i="3"/>
  <c r="U167" i="3"/>
  <c r="I167" i="3"/>
  <c r="D167" i="4"/>
  <c r="E167" i="4"/>
  <c r="F167" i="4"/>
  <c r="J168" i="3"/>
  <c r="K168" i="3"/>
  <c r="L168" i="3"/>
  <c r="F169" i="3"/>
  <c r="R168" i="3"/>
  <c r="D168" i="3"/>
  <c r="H168" i="3"/>
  <c r="S168" i="3"/>
  <c r="T168" i="3"/>
  <c r="U168" i="3"/>
  <c r="E168" i="4"/>
  <c r="F168" i="4"/>
  <c r="I168" i="3"/>
  <c r="D168" i="4"/>
  <c r="F170" i="3"/>
  <c r="R169" i="3"/>
  <c r="J169" i="3"/>
  <c r="K169" i="3"/>
  <c r="L169" i="3"/>
  <c r="D169" i="3"/>
  <c r="H169" i="3"/>
  <c r="O48" i="3"/>
  <c r="N48" i="3"/>
  <c r="AI48" i="3"/>
  <c r="G47" i="4"/>
  <c r="I47" i="4"/>
  <c r="J47" i="4"/>
  <c r="H47" i="4"/>
  <c r="P48" i="3"/>
  <c r="Q48" i="3"/>
  <c r="M47" i="4"/>
  <c r="K47" i="4"/>
  <c r="S169" i="3"/>
  <c r="T169" i="3"/>
  <c r="U169" i="3"/>
  <c r="E169" i="4"/>
  <c r="F169" i="4"/>
  <c r="I169" i="3"/>
  <c r="D169" i="4"/>
  <c r="D170" i="3"/>
  <c r="H170" i="3"/>
  <c r="J170" i="3"/>
  <c r="K170" i="3"/>
  <c r="L170" i="3"/>
  <c r="F171" i="3"/>
  <c r="R170" i="3"/>
  <c r="S170" i="3"/>
  <c r="T170" i="3"/>
  <c r="U170" i="3"/>
  <c r="I170" i="3"/>
  <c r="D170" i="4"/>
  <c r="E170" i="4"/>
  <c r="F170" i="4"/>
  <c r="F172" i="3"/>
  <c r="D171" i="3"/>
  <c r="H171" i="3"/>
  <c r="R171" i="3"/>
  <c r="J171" i="3"/>
  <c r="K171" i="3"/>
  <c r="L171" i="3"/>
  <c r="L48" i="4"/>
  <c r="V48" i="3"/>
  <c r="W48" i="3"/>
  <c r="X48" i="3"/>
  <c r="Y48" i="3"/>
  <c r="Z48" i="3"/>
  <c r="AA48" i="3"/>
  <c r="AB48" i="3"/>
  <c r="S171" i="3"/>
  <c r="T171" i="3"/>
  <c r="U171" i="3"/>
  <c r="D172" i="3"/>
  <c r="H172" i="3"/>
  <c r="J172" i="3"/>
  <c r="F173" i="3"/>
  <c r="R172" i="3"/>
  <c r="E171" i="4"/>
  <c r="F171" i="4"/>
  <c r="I171" i="3"/>
  <c r="D171" i="4"/>
  <c r="S172" i="3"/>
  <c r="T172" i="3"/>
  <c r="U172" i="3"/>
  <c r="E172" i="4"/>
  <c r="F172" i="4"/>
  <c r="I172" i="3"/>
  <c r="D172" i="4"/>
  <c r="J173" i="3"/>
  <c r="D173" i="3"/>
  <c r="H173" i="3"/>
  <c r="F174" i="3"/>
  <c r="R173" i="3"/>
  <c r="K172" i="3"/>
  <c r="L172" i="3"/>
  <c r="AC48" i="3"/>
  <c r="AD48" i="3"/>
  <c r="C48" i="4"/>
  <c r="M49" i="3"/>
  <c r="I173" i="3"/>
  <c r="D173" i="4"/>
  <c r="E173" i="4"/>
  <c r="F173" i="4"/>
  <c r="F175" i="3"/>
  <c r="J174" i="3"/>
  <c r="R174" i="3"/>
  <c r="D174" i="3"/>
  <c r="H174" i="3"/>
  <c r="AI49" i="3"/>
  <c r="N49" i="3"/>
  <c r="O49" i="3"/>
  <c r="G48" i="4"/>
  <c r="I48" i="4"/>
  <c r="J48" i="4"/>
  <c r="H48" i="4"/>
  <c r="S173" i="3"/>
  <c r="T173" i="3"/>
  <c r="U173" i="3"/>
  <c r="K173" i="3"/>
  <c r="L173" i="3"/>
  <c r="E174" i="4"/>
  <c r="F174" i="4"/>
  <c r="I174" i="3"/>
  <c r="D174" i="4"/>
  <c r="P49" i="3"/>
  <c r="Q49" i="3"/>
  <c r="J175" i="3"/>
  <c r="F176" i="3"/>
  <c r="D175" i="3"/>
  <c r="H175" i="3"/>
  <c r="R175" i="3"/>
  <c r="S174" i="3"/>
  <c r="T174" i="3"/>
  <c r="U174" i="3"/>
  <c r="M48" i="4"/>
  <c r="K48" i="4"/>
  <c r="K174" i="3"/>
  <c r="L174" i="3"/>
  <c r="S175" i="3"/>
  <c r="T175" i="3"/>
  <c r="U175" i="3"/>
  <c r="I175" i="3"/>
  <c r="D175" i="4"/>
  <c r="E175" i="4"/>
  <c r="F175" i="4"/>
  <c r="L49" i="4"/>
  <c r="V49" i="3"/>
  <c r="R176" i="3"/>
  <c r="F177" i="3"/>
  <c r="D176" i="3"/>
  <c r="H176" i="3"/>
  <c r="J176" i="3"/>
  <c r="K175" i="3"/>
  <c r="L175" i="3"/>
  <c r="E176" i="4"/>
  <c r="F176" i="4"/>
  <c r="I176" i="3"/>
  <c r="D176" i="4"/>
  <c r="K176" i="3"/>
  <c r="L176" i="3"/>
  <c r="S176" i="3"/>
  <c r="T176" i="3"/>
  <c r="U176" i="3"/>
  <c r="W49" i="3"/>
  <c r="X49" i="3"/>
  <c r="Y49" i="3"/>
  <c r="Z49" i="3"/>
  <c r="AA49" i="3"/>
  <c r="AB49" i="3"/>
  <c r="J177" i="3"/>
  <c r="F178" i="3"/>
  <c r="R177" i="3"/>
  <c r="D177" i="3"/>
  <c r="H177" i="3"/>
  <c r="AC49" i="3"/>
  <c r="AD49" i="3"/>
  <c r="M50" i="3"/>
  <c r="C49" i="4"/>
  <c r="E177" i="4"/>
  <c r="F177" i="4"/>
  <c r="I177" i="3"/>
  <c r="D177" i="4"/>
  <c r="J178" i="3"/>
  <c r="F179" i="3"/>
  <c r="R178" i="3"/>
  <c r="D178" i="3"/>
  <c r="H178" i="3"/>
  <c r="S177" i="3"/>
  <c r="T177" i="3"/>
  <c r="U177" i="3"/>
  <c r="K177" i="3"/>
  <c r="L177" i="3"/>
  <c r="S178" i="3"/>
  <c r="T178" i="3"/>
  <c r="U178" i="3"/>
  <c r="I178" i="3"/>
  <c r="D178" i="4"/>
  <c r="E178" i="4"/>
  <c r="F178" i="4"/>
  <c r="F180" i="3"/>
  <c r="D179" i="3"/>
  <c r="H179" i="3"/>
  <c r="J179" i="3"/>
  <c r="R179" i="3"/>
  <c r="K178" i="3"/>
  <c r="L178" i="3"/>
  <c r="G49" i="4"/>
  <c r="I49" i="4"/>
  <c r="J49" i="4"/>
  <c r="H49" i="4"/>
  <c r="N50" i="3"/>
  <c r="O50" i="3"/>
  <c r="AI50" i="3"/>
  <c r="M49" i="4"/>
  <c r="K49" i="4"/>
  <c r="S179" i="3"/>
  <c r="T179" i="3"/>
  <c r="U179" i="3"/>
  <c r="P50" i="3"/>
  <c r="Q50" i="3"/>
  <c r="E179" i="4"/>
  <c r="F179" i="4"/>
  <c r="I179" i="3"/>
  <c r="D179" i="4"/>
  <c r="K179" i="3"/>
  <c r="L179" i="3"/>
  <c r="J180" i="3"/>
  <c r="F181" i="3"/>
  <c r="R180" i="3"/>
  <c r="D180" i="3"/>
  <c r="H180" i="3"/>
  <c r="I180" i="3"/>
  <c r="D180" i="4"/>
  <c r="E180" i="4"/>
  <c r="F180" i="4"/>
  <c r="R181" i="3"/>
  <c r="J181" i="3"/>
  <c r="D181" i="3"/>
  <c r="H181" i="3"/>
  <c r="F182" i="3"/>
  <c r="K180" i="3"/>
  <c r="L180" i="3"/>
  <c r="L50" i="4"/>
  <c r="V50" i="3"/>
  <c r="S180" i="3"/>
  <c r="T180" i="3"/>
  <c r="U180" i="3"/>
  <c r="W50" i="3"/>
  <c r="X50" i="3"/>
  <c r="Y50" i="3"/>
  <c r="Z50" i="3"/>
  <c r="AA50" i="3"/>
  <c r="AB50" i="3"/>
  <c r="E181" i="4"/>
  <c r="F181" i="4"/>
  <c r="I181" i="3"/>
  <c r="D181" i="4"/>
  <c r="D182" i="3"/>
  <c r="H182" i="3"/>
  <c r="R182" i="3"/>
  <c r="J182" i="3"/>
  <c r="K182" i="3"/>
  <c r="L182" i="3"/>
  <c r="F183" i="3"/>
  <c r="K181" i="3"/>
  <c r="L181" i="3"/>
  <c r="S181" i="3"/>
  <c r="T181" i="3"/>
  <c r="U181" i="3"/>
  <c r="I182" i="3"/>
  <c r="D182" i="4"/>
  <c r="E182" i="4"/>
  <c r="F182" i="4"/>
  <c r="M51" i="3"/>
  <c r="C50" i="4"/>
  <c r="AC50" i="3"/>
  <c r="AD50" i="3"/>
  <c r="J183" i="3"/>
  <c r="F184" i="3"/>
  <c r="D183" i="3"/>
  <c r="H183" i="3"/>
  <c r="R183" i="3"/>
  <c r="S182" i="3"/>
  <c r="T182" i="3"/>
  <c r="U182" i="3"/>
  <c r="S183" i="3"/>
  <c r="T183" i="3"/>
  <c r="U183" i="3"/>
  <c r="I183" i="3"/>
  <c r="D183" i="4"/>
  <c r="E183" i="4"/>
  <c r="F183" i="4"/>
  <c r="O51" i="3"/>
  <c r="N51" i="3"/>
  <c r="P51" i="3"/>
  <c r="Q51" i="3"/>
  <c r="AI51" i="3"/>
  <c r="R184" i="3"/>
  <c r="F185" i="3"/>
  <c r="J184" i="3"/>
  <c r="D184" i="3"/>
  <c r="H184" i="3"/>
  <c r="G50" i="4"/>
  <c r="I50" i="4"/>
  <c r="J50" i="4"/>
  <c r="H50" i="4"/>
  <c r="K183" i="3"/>
  <c r="L183" i="3"/>
  <c r="K184" i="3"/>
  <c r="L184" i="3"/>
  <c r="E184" i="4"/>
  <c r="F184" i="4"/>
  <c r="I184" i="3"/>
  <c r="D184" i="4"/>
  <c r="S184" i="3"/>
  <c r="T184" i="3"/>
  <c r="U184" i="3"/>
  <c r="D185" i="3"/>
  <c r="H185" i="3"/>
  <c r="R185" i="3"/>
  <c r="J185" i="3"/>
  <c r="K185" i="3"/>
  <c r="L185" i="3"/>
  <c r="F186" i="3"/>
  <c r="M50" i="4"/>
  <c r="K50" i="4"/>
  <c r="L51" i="4"/>
  <c r="V51" i="3"/>
  <c r="W51" i="3"/>
  <c r="X51" i="3"/>
  <c r="Y51" i="3"/>
  <c r="Z51" i="3"/>
  <c r="AA51" i="3"/>
  <c r="AB51" i="3"/>
  <c r="S185" i="3"/>
  <c r="T185" i="3"/>
  <c r="U185" i="3"/>
  <c r="J186" i="3"/>
  <c r="R186" i="3"/>
  <c r="D186" i="3"/>
  <c r="H186" i="3"/>
  <c r="F187" i="3"/>
  <c r="E185" i="4"/>
  <c r="F185" i="4"/>
  <c r="I185" i="3"/>
  <c r="D185" i="4"/>
  <c r="J187" i="3"/>
  <c r="F188" i="3"/>
  <c r="R187" i="3"/>
  <c r="D187" i="3"/>
  <c r="H187" i="3"/>
  <c r="S186" i="3"/>
  <c r="T186" i="3"/>
  <c r="U186" i="3"/>
  <c r="I186" i="3"/>
  <c r="D186" i="4"/>
  <c r="E186" i="4"/>
  <c r="F186" i="4"/>
  <c r="C51" i="4"/>
  <c r="AC51" i="3"/>
  <c r="AD51" i="3"/>
  <c r="M52" i="3"/>
  <c r="K186" i="3"/>
  <c r="L186" i="3"/>
  <c r="AI52" i="3"/>
  <c r="O52" i="3"/>
  <c r="N52" i="3"/>
  <c r="G51" i="4"/>
  <c r="I51" i="4"/>
  <c r="J51" i="4"/>
  <c r="H51" i="4"/>
  <c r="F189" i="3"/>
  <c r="R188" i="3"/>
  <c r="J188" i="3"/>
  <c r="D188" i="3"/>
  <c r="H188" i="3"/>
  <c r="I187" i="3"/>
  <c r="D187" i="4"/>
  <c r="E187" i="4"/>
  <c r="F187" i="4"/>
  <c r="S187" i="3"/>
  <c r="T187" i="3"/>
  <c r="U187" i="3"/>
  <c r="K187" i="3"/>
  <c r="L187" i="3"/>
  <c r="E188" i="4"/>
  <c r="F188" i="4"/>
  <c r="I188" i="3"/>
  <c r="D188" i="4"/>
  <c r="F190" i="3"/>
  <c r="D189" i="3"/>
  <c r="H189" i="3"/>
  <c r="J189" i="3"/>
  <c r="K189" i="3"/>
  <c r="L189" i="3"/>
  <c r="R189" i="3"/>
  <c r="K51" i="4"/>
  <c r="M51" i="4"/>
  <c r="K188" i="3"/>
  <c r="L188" i="3"/>
  <c r="S188" i="3"/>
  <c r="T188" i="3"/>
  <c r="U188" i="3"/>
  <c r="P52" i="3"/>
  <c r="Q52" i="3"/>
  <c r="L52" i="4"/>
  <c r="V52" i="3"/>
  <c r="E189" i="4"/>
  <c r="F189" i="4"/>
  <c r="I189" i="3"/>
  <c r="D189" i="4"/>
  <c r="S189" i="3"/>
  <c r="T189" i="3"/>
  <c r="U189" i="3"/>
  <c r="D190" i="3"/>
  <c r="H190" i="3"/>
  <c r="R190" i="3"/>
  <c r="J190" i="3"/>
  <c r="F191" i="3"/>
  <c r="F192" i="3"/>
  <c r="J191" i="3"/>
  <c r="D191" i="3"/>
  <c r="H191" i="3"/>
  <c r="R191" i="3"/>
  <c r="S190" i="3"/>
  <c r="T190" i="3"/>
  <c r="U190" i="3"/>
  <c r="I190" i="3"/>
  <c r="D190" i="4"/>
  <c r="E190" i="4"/>
  <c r="F190" i="4"/>
  <c r="W52" i="3"/>
  <c r="X52" i="3"/>
  <c r="Y52" i="3"/>
  <c r="Z52" i="3"/>
  <c r="AA52" i="3"/>
  <c r="AB52" i="3"/>
  <c r="K190" i="3"/>
  <c r="L190" i="3"/>
  <c r="AC52" i="3"/>
  <c r="AD52" i="3"/>
  <c r="M53" i="3"/>
  <c r="C52" i="4"/>
  <c r="K191" i="3"/>
  <c r="L191" i="3"/>
  <c r="S191" i="3"/>
  <c r="T191" i="3"/>
  <c r="U191" i="3"/>
  <c r="E191" i="4"/>
  <c r="F191" i="4"/>
  <c r="I191" i="3"/>
  <c r="D191" i="4"/>
  <c r="R192" i="3"/>
  <c r="D192" i="3"/>
  <c r="H192" i="3"/>
  <c r="F193" i="3"/>
  <c r="J192" i="3"/>
  <c r="E192" i="4"/>
  <c r="F192" i="4"/>
  <c r="I192" i="3"/>
  <c r="D192" i="4"/>
  <c r="K192" i="3"/>
  <c r="L192" i="3"/>
  <c r="S192" i="3"/>
  <c r="T192" i="3"/>
  <c r="U192" i="3"/>
  <c r="G52" i="4"/>
  <c r="I52" i="4"/>
  <c r="J52" i="4"/>
  <c r="H52" i="4"/>
  <c r="N53" i="3"/>
  <c r="P53" i="3"/>
  <c r="Q53" i="3"/>
  <c r="AI53" i="3"/>
  <c r="O53" i="3"/>
  <c r="F194" i="3"/>
  <c r="D193" i="3"/>
  <c r="H193" i="3"/>
  <c r="R193" i="3"/>
  <c r="J193" i="3"/>
  <c r="I193" i="3"/>
  <c r="D193" i="4"/>
  <c r="E193" i="4"/>
  <c r="F193" i="4"/>
  <c r="L53" i="4"/>
  <c r="V53" i="3"/>
  <c r="K52" i="4"/>
  <c r="M52" i="4"/>
  <c r="K193" i="3"/>
  <c r="L193" i="3"/>
  <c r="S193" i="3"/>
  <c r="T193" i="3"/>
  <c r="U193" i="3"/>
  <c r="F195" i="3"/>
  <c r="D194" i="3"/>
  <c r="H194" i="3"/>
  <c r="R194" i="3"/>
  <c r="J194" i="3"/>
  <c r="K194" i="3"/>
  <c r="L194" i="3"/>
  <c r="J195" i="3"/>
  <c r="R195" i="3"/>
  <c r="D195" i="3"/>
  <c r="H195" i="3"/>
  <c r="F196" i="3"/>
  <c r="E194" i="4"/>
  <c r="F194" i="4"/>
  <c r="I194" i="3"/>
  <c r="D194" i="4"/>
  <c r="S194" i="3"/>
  <c r="T194" i="3"/>
  <c r="U194" i="3"/>
  <c r="W53" i="3"/>
  <c r="X53" i="3"/>
  <c r="Y53" i="3"/>
  <c r="Z53" i="3"/>
  <c r="AA53" i="3"/>
  <c r="AB53" i="3"/>
  <c r="M54" i="3"/>
  <c r="C53" i="4"/>
  <c r="AC53" i="3"/>
  <c r="AD53" i="3"/>
  <c r="R196" i="3"/>
  <c r="D196" i="3"/>
  <c r="H196" i="3"/>
  <c r="J196" i="3"/>
  <c r="F197" i="3"/>
  <c r="S195" i="3"/>
  <c r="T195" i="3"/>
  <c r="U195" i="3"/>
  <c r="I195" i="3"/>
  <c r="D195" i="4"/>
  <c r="E195" i="4"/>
  <c r="F195" i="4"/>
  <c r="K195" i="3"/>
  <c r="L195" i="3"/>
  <c r="R197" i="3"/>
  <c r="D197" i="3"/>
  <c r="H197" i="3"/>
  <c r="F198" i="3"/>
  <c r="J197" i="3"/>
  <c r="K197" i="3"/>
  <c r="L197" i="3"/>
  <c r="E196" i="4"/>
  <c r="F196" i="4"/>
  <c r="I196" i="3"/>
  <c r="D196" i="4"/>
  <c r="G53" i="4"/>
  <c r="I53" i="4"/>
  <c r="J53" i="4"/>
  <c r="H53" i="4"/>
  <c r="K196" i="3"/>
  <c r="L196" i="3"/>
  <c r="S196" i="3"/>
  <c r="T196" i="3"/>
  <c r="U196" i="3"/>
  <c r="N54" i="3"/>
  <c r="O54" i="3"/>
  <c r="AI54" i="3"/>
  <c r="P54" i="3"/>
  <c r="Q54" i="3"/>
  <c r="E197" i="4"/>
  <c r="F197" i="4"/>
  <c r="I197" i="3"/>
  <c r="D197" i="4"/>
  <c r="K53" i="4"/>
  <c r="M53" i="4"/>
  <c r="F199" i="3"/>
  <c r="R198" i="3"/>
  <c r="D198" i="3"/>
  <c r="H198" i="3"/>
  <c r="J198" i="3"/>
  <c r="S197" i="3"/>
  <c r="T197" i="3"/>
  <c r="U197" i="3"/>
  <c r="K198" i="3"/>
  <c r="L198" i="3"/>
  <c r="F200" i="3"/>
  <c r="R199" i="3"/>
  <c r="J199" i="3"/>
  <c r="D199" i="3"/>
  <c r="H199" i="3"/>
  <c r="S198" i="3"/>
  <c r="T198" i="3"/>
  <c r="U198" i="3"/>
  <c r="I198" i="3"/>
  <c r="D198" i="4"/>
  <c r="E198" i="4"/>
  <c r="F198" i="4"/>
  <c r="L54" i="4"/>
  <c r="V54" i="3"/>
  <c r="W54" i="3"/>
  <c r="X54" i="3"/>
  <c r="Y54" i="3"/>
  <c r="Z54" i="3"/>
  <c r="AA54" i="3"/>
  <c r="AB54" i="3"/>
  <c r="R200" i="3"/>
  <c r="D200" i="3"/>
  <c r="H200" i="3"/>
  <c r="F201" i="3"/>
  <c r="J200" i="3"/>
  <c r="K199" i="3"/>
  <c r="L199" i="3"/>
  <c r="I199" i="3"/>
  <c r="D199" i="4"/>
  <c r="E199" i="4"/>
  <c r="F199" i="4"/>
  <c r="S199" i="3"/>
  <c r="T199" i="3"/>
  <c r="U199" i="3"/>
  <c r="I200" i="3"/>
  <c r="D200" i="4"/>
  <c r="E200" i="4"/>
  <c r="F200" i="4"/>
  <c r="AC54" i="3"/>
  <c r="AD54" i="3"/>
  <c r="M55" i="3"/>
  <c r="C54" i="4"/>
  <c r="K200" i="3"/>
  <c r="L200" i="3"/>
  <c r="D201" i="3"/>
  <c r="H201" i="3"/>
  <c r="J201" i="3"/>
  <c r="F202" i="3"/>
  <c r="R201" i="3"/>
  <c r="S200" i="3"/>
  <c r="T200" i="3"/>
  <c r="U200" i="3"/>
  <c r="E201" i="4"/>
  <c r="F201" i="4"/>
  <c r="I201" i="3"/>
  <c r="D201" i="4"/>
  <c r="N55" i="3"/>
  <c r="AI55" i="3"/>
  <c r="O55" i="3"/>
  <c r="K201" i="3"/>
  <c r="L201" i="3"/>
  <c r="G54" i="4"/>
  <c r="I54" i="4"/>
  <c r="J54" i="4"/>
  <c r="H54" i="4"/>
  <c r="S201" i="3"/>
  <c r="T201" i="3"/>
  <c r="U201" i="3"/>
  <c r="F203" i="3"/>
  <c r="J202" i="3"/>
  <c r="R202" i="3"/>
  <c r="D202" i="3"/>
  <c r="H202" i="3"/>
  <c r="S202" i="3"/>
  <c r="T202" i="3"/>
  <c r="U202" i="3"/>
  <c r="J203" i="3"/>
  <c r="D203" i="3"/>
  <c r="H203" i="3"/>
  <c r="F204" i="3"/>
  <c r="R203" i="3"/>
  <c r="K54" i="4"/>
  <c r="M54" i="4"/>
  <c r="I202" i="3"/>
  <c r="D202" i="4"/>
  <c r="E202" i="4"/>
  <c r="F202" i="4"/>
  <c r="K202" i="3"/>
  <c r="L202" i="3"/>
  <c r="P55" i="3"/>
  <c r="Q55" i="3"/>
  <c r="L55" i="4"/>
  <c r="V55" i="3"/>
  <c r="I203" i="3"/>
  <c r="D203" i="4"/>
  <c r="E203" i="4"/>
  <c r="F203" i="4"/>
  <c r="S203" i="3"/>
  <c r="T203" i="3"/>
  <c r="U203" i="3"/>
  <c r="J204" i="3"/>
  <c r="R204" i="3"/>
  <c r="F205" i="3"/>
  <c r="D204" i="3"/>
  <c r="H204" i="3"/>
  <c r="K203" i="3"/>
  <c r="L203" i="3"/>
  <c r="R205" i="3"/>
  <c r="J205" i="3"/>
  <c r="F206" i="3"/>
  <c r="D205" i="3"/>
  <c r="H205" i="3"/>
  <c r="I204" i="3"/>
  <c r="D204" i="4"/>
  <c r="E204" i="4"/>
  <c r="F204" i="4"/>
  <c r="S204" i="3"/>
  <c r="T204" i="3"/>
  <c r="U204" i="3"/>
  <c r="W55" i="3"/>
  <c r="X55" i="3"/>
  <c r="Y55" i="3"/>
  <c r="Z55" i="3"/>
  <c r="AA55" i="3"/>
  <c r="AB55" i="3"/>
  <c r="K204" i="3"/>
  <c r="L204" i="3"/>
  <c r="C55" i="4"/>
  <c r="M56" i="3"/>
  <c r="AC55" i="3"/>
  <c r="AD55" i="3"/>
  <c r="E205" i="4"/>
  <c r="F205" i="4"/>
  <c r="I205" i="3"/>
  <c r="D205" i="4"/>
  <c r="F207" i="3"/>
  <c r="R206" i="3"/>
  <c r="J206" i="3"/>
  <c r="K206" i="3"/>
  <c r="L206" i="3"/>
  <c r="D206" i="3"/>
  <c r="H206" i="3"/>
  <c r="K205" i="3"/>
  <c r="L205" i="3"/>
  <c r="S205" i="3"/>
  <c r="T205" i="3"/>
  <c r="U205" i="3"/>
  <c r="I206" i="3"/>
  <c r="D206" i="4"/>
  <c r="E206" i="4"/>
  <c r="F206" i="4"/>
  <c r="O56" i="3"/>
  <c r="N56" i="3"/>
  <c r="P56" i="3"/>
  <c r="Q56" i="3"/>
  <c r="AI56" i="3"/>
  <c r="S206" i="3"/>
  <c r="T206" i="3"/>
  <c r="U206" i="3"/>
  <c r="F208" i="3"/>
  <c r="J207" i="3"/>
  <c r="R207" i="3"/>
  <c r="D207" i="3"/>
  <c r="H207" i="3"/>
  <c r="G55" i="4"/>
  <c r="I55" i="4"/>
  <c r="J55" i="4"/>
  <c r="H55" i="4"/>
  <c r="K207" i="3"/>
  <c r="L207" i="3"/>
  <c r="E207" i="4"/>
  <c r="F207" i="4"/>
  <c r="I207" i="3"/>
  <c r="D207" i="4"/>
  <c r="L56" i="4"/>
  <c r="V56" i="3"/>
  <c r="M55" i="4"/>
  <c r="K55" i="4"/>
  <c r="S207" i="3"/>
  <c r="T207" i="3"/>
  <c r="U207" i="3"/>
  <c r="R208" i="3"/>
  <c r="F209" i="3"/>
  <c r="J208" i="3"/>
  <c r="D208" i="3"/>
  <c r="H208" i="3"/>
  <c r="I208" i="3"/>
  <c r="D208" i="4"/>
  <c r="E208" i="4"/>
  <c r="F208" i="4"/>
  <c r="K208" i="3"/>
  <c r="L208" i="3"/>
  <c r="S208" i="3"/>
  <c r="T208" i="3"/>
  <c r="U208" i="3"/>
  <c r="W56" i="3"/>
  <c r="X56" i="3"/>
  <c r="Y56" i="3"/>
  <c r="Z56" i="3"/>
  <c r="AA56" i="3"/>
  <c r="AB56" i="3"/>
  <c r="F210" i="3"/>
  <c r="J209" i="3"/>
  <c r="D209" i="3"/>
  <c r="H209" i="3"/>
  <c r="R209" i="3"/>
  <c r="E209" i="4"/>
  <c r="F209" i="4"/>
  <c r="I209" i="3"/>
  <c r="D209" i="4"/>
  <c r="K209" i="3"/>
  <c r="L209" i="3"/>
  <c r="S209" i="3"/>
  <c r="T209" i="3"/>
  <c r="U209" i="3"/>
  <c r="R210" i="3"/>
  <c r="D210" i="3"/>
  <c r="H210" i="3"/>
  <c r="J210" i="3"/>
  <c r="K210" i="3"/>
  <c r="L210" i="3"/>
  <c r="F211" i="3"/>
  <c r="M57" i="3"/>
  <c r="AC56" i="3"/>
  <c r="AD56" i="3"/>
  <c r="C56" i="4"/>
  <c r="G56" i="4"/>
  <c r="I56" i="4"/>
  <c r="J56" i="4"/>
  <c r="H56" i="4"/>
  <c r="E210" i="4"/>
  <c r="F210" i="4"/>
  <c r="I210" i="3"/>
  <c r="D210" i="4"/>
  <c r="F212" i="3"/>
  <c r="J211" i="3"/>
  <c r="R211" i="3"/>
  <c r="D211" i="3"/>
  <c r="H211" i="3"/>
  <c r="O57" i="3"/>
  <c r="AI57" i="3"/>
  <c r="N57" i="3"/>
  <c r="P57" i="3"/>
  <c r="Q57" i="3"/>
  <c r="S210" i="3"/>
  <c r="T210" i="3"/>
  <c r="U210" i="3"/>
  <c r="L57" i="4"/>
  <c r="V57" i="3"/>
  <c r="S211" i="3"/>
  <c r="T211" i="3"/>
  <c r="U211" i="3"/>
  <c r="K211" i="3"/>
  <c r="L211" i="3"/>
  <c r="I211" i="3"/>
  <c r="D211" i="4"/>
  <c r="E211" i="4"/>
  <c r="F211" i="4"/>
  <c r="D212" i="3"/>
  <c r="H212" i="3"/>
  <c r="F213" i="3"/>
  <c r="R212" i="3"/>
  <c r="J212" i="3"/>
  <c r="K212" i="3"/>
  <c r="L212" i="3"/>
  <c r="K56" i="4"/>
  <c r="M56" i="4"/>
  <c r="R213" i="3"/>
  <c r="J213" i="3"/>
  <c r="F214" i="3"/>
  <c r="D213" i="3"/>
  <c r="H213" i="3"/>
  <c r="E212" i="4"/>
  <c r="F212" i="4"/>
  <c r="I212" i="3"/>
  <c r="D212" i="4"/>
  <c r="W57" i="3"/>
  <c r="X57" i="3"/>
  <c r="Y57" i="3"/>
  <c r="Z57" i="3"/>
  <c r="AA57" i="3"/>
  <c r="AB57" i="3"/>
  <c r="S212" i="3"/>
  <c r="T212" i="3"/>
  <c r="U212" i="3"/>
  <c r="C57" i="4"/>
  <c r="M58" i="3"/>
  <c r="AC57" i="3"/>
  <c r="AD57" i="3"/>
  <c r="E213" i="4"/>
  <c r="F213" i="4"/>
  <c r="I213" i="3"/>
  <c r="D213" i="4"/>
  <c r="K213" i="3"/>
  <c r="L213" i="3"/>
  <c r="D214" i="3"/>
  <c r="H214" i="3"/>
  <c r="F215" i="3"/>
  <c r="R214" i="3"/>
  <c r="J214" i="3"/>
  <c r="K214" i="3"/>
  <c r="L214" i="3"/>
  <c r="S213" i="3"/>
  <c r="T213" i="3"/>
  <c r="U213" i="3"/>
  <c r="F216" i="3"/>
  <c r="J215" i="3"/>
  <c r="D215" i="3"/>
  <c r="H215" i="3"/>
  <c r="R215" i="3"/>
  <c r="E214" i="4"/>
  <c r="F214" i="4"/>
  <c r="I214" i="3"/>
  <c r="D214" i="4"/>
  <c r="AI58" i="3"/>
  <c r="O58" i="3"/>
  <c r="N58" i="3"/>
  <c r="S214" i="3"/>
  <c r="T214" i="3"/>
  <c r="U214" i="3"/>
  <c r="G57" i="4"/>
  <c r="I57" i="4"/>
  <c r="J57" i="4"/>
  <c r="H57" i="4"/>
  <c r="K57" i="4"/>
  <c r="M57" i="4"/>
  <c r="S215" i="3"/>
  <c r="T215" i="3"/>
  <c r="U215" i="3"/>
  <c r="P58" i="3"/>
  <c r="Q58" i="3"/>
  <c r="K215" i="3"/>
  <c r="L215" i="3"/>
  <c r="E215" i="4"/>
  <c r="F215" i="4"/>
  <c r="I215" i="3"/>
  <c r="D215" i="4"/>
  <c r="D216" i="3"/>
  <c r="H216" i="3"/>
  <c r="F217" i="3"/>
  <c r="J216" i="3"/>
  <c r="K216" i="3"/>
  <c r="L216" i="3"/>
  <c r="R216" i="3"/>
  <c r="S216" i="3"/>
  <c r="T216" i="3"/>
  <c r="U216" i="3"/>
  <c r="F218" i="3"/>
  <c r="R217" i="3"/>
  <c r="J217" i="3"/>
  <c r="D217" i="3"/>
  <c r="H217" i="3"/>
  <c r="L58" i="4"/>
  <c r="V58" i="3"/>
  <c r="E216" i="4"/>
  <c r="F216" i="4"/>
  <c r="I216" i="3"/>
  <c r="D216" i="4"/>
  <c r="I217" i="3"/>
  <c r="D217" i="4"/>
  <c r="E217" i="4"/>
  <c r="F217" i="4"/>
  <c r="W58" i="3"/>
  <c r="X58" i="3"/>
  <c r="Y58" i="3"/>
  <c r="Z58" i="3"/>
  <c r="AA58" i="3"/>
  <c r="AB58" i="3"/>
  <c r="F219" i="3"/>
  <c r="R218" i="3"/>
  <c r="D218" i="3"/>
  <c r="H218" i="3"/>
  <c r="J218" i="3"/>
  <c r="K218" i="3"/>
  <c r="L218" i="3"/>
  <c r="K217" i="3"/>
  <c r="L217" i="3"/>
  <c r="S217" i="3"/>
  <c r="T217" i="3"/>
  <c r="U217" i="3"/>
  <c r="M59" i="3"/>
  <c r="AC58" i="3"/>
  <c r="AD58" i="3"/>
  <c r="C58" i="4"/>
  <c r="S218" i="3"/>
  <c r="T218" i="3"/>
  <c r="U218" i="3"/>
  <c r="E218" i="4"/>
  <c r="F218" i="4"/>
  <c r="I218" i="3"/>
  <c r="D218" i="4"/>
  <c r="F220" i="3"/>
  <c r="D219" i="3"/>
  <c r="H219" i="3"/>
  <c r="R219" i="3"/>
  <c r="J219" i="3"/>
  <c r="K219" i="3"/>
  <c r="L219" i="3"/>
  <c r="R220" i="3"/>
  <c r="D220" i="3"/>
  <c r="H220" i="3"/>
  <c r="J220" i="3"/>
  <c r="F221" i="3"/>
  <c r="E219" i="4"/>
  <c r="F219" i="4"/>
  <c r="I219" i="3"/>
  <c r="D219" i="4"/>
  <c r="S219" i="3"/>
  <c r="T219" i="3"/>
  <c r="U219" i="3"/>
  <c r="G58" i="4"/>
  <c r="I58" i="4"/>
  <c r="J58" i="4"/>
  <c r="H58" i="4"/>
  <c r="AI59" i="3"/>
  <c r="N59" i="3"/>
  <c r="P59" i="3"/>
  <c r="Q59" i="3"/>
  <c r="O59" i="3"/>
  <c r="L59" i="4"/>
  <c r="V59" i="3"/>
  <c r="M58" i="4"/>
  <c r="K58" i="4"/>
  <c r="J221" i="3"/>
  <c r="F222" i="3"/>
  <c r="D221" i="3"/>
  <c r="H221" i="3"/>
  <c r="R221" i="3"/>
  <c r="E220" i="4"/>
  <c r="F220" i="4"/>
  <c r="I220" i="3"/>
  <c r="D220" i="4"/>
  <c r="K220" i="3"/>
  <c r="L220" i="3"/>
  <c r="S220" i="3"/>
  <c r="T220" i="3"/>
  <c r="U220" i="3"/>
  <c r="S221" i="3"/>
  <c r="T221" i="3"/>
  <c r="U221" i="3"/>
  <c r="J222" i="3"/>
  <c r="F223" i="3"/>
  <c r="D222" i="3"/>
  <c r="H222" i="3"/>
  <c r="R222" i="3"/>
  <c r="E221" i="4"/>
  <c r="F221" i="4"/>
  <c r="I221" i="3"/>
  <c r="D221" i="4"/>
  <c r="W59" i="3"/>
  <c r="X59" i="3"/>
  <c r="Y59" i="3"/>
  <c r="Z59" i="3"/>
  <c r="AA59" i="3"/>
  <c r="AB59" i="3"/>
  <c r="K221" i="3"/>
  <c r="L221" i="3"/>
  <c r="C59" i="4"/>
  <c r="AC59" i="3"/>
  <c r="AD59" i="3"/>
  <c r="M60" i="3"/>
  <c r="K222" i="3"/>
  <c r="L222" i="3"/>
  <c r="S222" i="3"/>
  <c r="T222" i="3"/>
  <c r="U222" i="3"/>
  <c r="E222" i="4"/>
  <c r="F222" i="4"/>
  <c r="I222" i="3"/>
  <c r="D222" i="4"/>
  <c r="F224" i="3"/>
  <c r="R223" i="3"/>
  <c r="J223" i="3"/>
  <c r="K223" i="3"/>
  <c r="L223" i="3"/>
  <c r="D223" i="3"/>
  <c r="H223" i="3"/>
  <c r="D224" i="3"/>
  <c r="H224" i="3"/>
  <c r="F225" i="3"/>
  <c r="J224" i="3"/>
  <c r="K224" i="3"/>
  <c r="L224" i="3"/>
  <c r="R224" i="3"/>
  <c r="N60" i="3"/>
  <c r="AI60" i="3"/>
  <c r="O60" i="3"/>
  <c r="E223" i="4"/>
  <c r="F223" i="4"/>
  <c r="I223" i="3"/>
  <c r="D223" i="4"/>
  <c r="S223" i="3"/>
  <c r="T223" i="3"/>
  <c r="U223" i="3"/>
  <c r="G59" i="4"/>
  <c r="I59" i="4"/>
  <c r="J59" i="4"/>
  <c r="H59" i="4"/>
  <c r="K59" i="4"/>
  <c r="M59" i="4"/>
  <c r="P60" i="3"/>
  <c r="Q60" i="3"/>
  <c r="R225" i="3"/>
  <c r="F226" i="3"/>
  <c r="D225" i="3"/>
  <c r="H225" i="3"/>
  <c r="J225" i="3"/>
  <c r="K225" i="3"/>
  <c r="L225" i="3"/>
  <c r="S224" i="3"/>
  <c r="T224" i="3"/>
  <c r="U224" i="3"/>
  <c r="I224" i="3"/>
  <c r="D224" i="4"/>
  <c r="E224" i="4"/>
  <c r="F224" i="4"/>
  <c r="R226" i="3"/>
  <c r="J226" i="3"/>
  <c r="D226" i="3"/>
  <c r="H226" i="3"/>
  <c r="F227" i="3"/>
  <c r="I225" i="3"/>
  <c r="D225" i="4"/>
  <c r="E225" i="4"/>
  <c r="F225" i="4"/>
  <c r="S225" i="3"/>
  <c r="T225" i="3"/>
  <c r="U225" i="3"/>
  <c r="L60" i="4"/>
  <c r="V60" i="3"/>
  <c r="W60" i="3"/>
  <c r="X60" i="3"/>
  <c r="Y60" i="3"/>
  <c r="Z60" i="3"/>
  <c r="AA60" i="3"/>
  <c r="AB60" i="3"/>
  <c r="J227" i="3"/>
  <c r="D227" i="3"/>
  <c r="H227" i="3"/>
  <c r="F228" i="3"/>
  <c r="R227" i="3"/>
  <c r="E226" i="4"/>
  <c r="F226" i="4"/>
  <c r="I226" i="3"/>
  <c r="D226" i="4"/>
  <c r="S226" i="3"/>
  <c r="T226" i="3"/>
  <c r="U226" i="3"/>
  <c r="K226" i="3"/>
  <c r="L226" i="3"/>
  <c r="AC60" i="3"/>
  <c r="AD60" i="3"/>
  <c r="C60" i="4"/>
  <c r="M61" i="3"/>
  <c r="J228" i="3"/>
  <c r="D228" i="3"/>
  <c r="H228" i="3"/>
  <c r="R228" i="3"/>
  <c r="F229" i="3"/>
  <c r="S227" i="3"/>
  <c r="T227" i="3"/>
  <c r="U227" i="3"/>
  <c r="K227" i="3"/>
  <c r="L227" i="3"/>
  <c r="E227" i="4"/>
  <c r="F227" i="4"/>
  <c r="I227" i="3"/>
  <c r="D227" i="4"/>
  <c r="K228" i="3"/>
  <c r="L228" i="3"/>
  <c r="I228" i="3"/>
  <c r="D228" i="4"/>
  <c r="E228" i="4"/>
  <c r="F228" i="4"/>
  <c r="O61" i="3"/>
  <c r="AI61" i="3"/>
  <c r="N61" i="3"/>
  <c r="P61" i="3"/>
  <c r="Q61" i="3"/>
  <c r="D229" i="3"/>
  <c r="H229" i="3"/>
  <c r="R229" i="3"/>
  <c r="F230" i="3"/>
  <c r="J229" i="3"/>
  <c r="K229" i="3"/>
  <c r="L229" i="3"/>
  <c r="S228" i="3"/>
  <c r="T228" i="3"/>
  <c r="U228" i="3"/>
  <c r="G60" i="4"/>
  <c r="I60" i="4"/>
  <c r="J60" i="4"/>
  <c r="H60" i="4"/>
  <c r="M60" i="4"/>
  <c r="K60" i="4"/>
  <c r="F231" i="3"/>
  <c r="J230" i="3"/>
  <c r="D230" i="3"/>
  <c r="H230" i="3"/>
  <c r="R230" i="3"/>
  <c r="S229" i="3"/>
  <c r="T229" i="3"/>
  <c r="U229" i="3"/>
  <c r="L61" i="4"/>
  <c r="V61" i="3"/>
  <c r="E229" i="4"/>
  <c r="F229" i="4"/>
  <c r="I229" i="3"/>
  <c r="D229" i="4"/>
  <c r="E230" i="4"/>
  <c r="F230" i="4"/>
  <c r="I230" i="3"/>
  <c r="D230" i="4"/>
  <c r="K230" i="3"/>
  <c r="L230" i="3"/>
  <c r="W61" i="3"/>
  <c r="X61" i="3"/>
  <c r="Y61" i="3"/>
  <c r="Z61" i="3"/>
  <c r="AA61" i="3"/>
  <c r="AB61" i="3"/>
  <c r="S230" i="3"/>
  <c r="T230" i="3"/>
  <c r="U230" i="3"/>
  <c r="J231" i="3"/>
  <c r="R231" i="3"/>
  <c r="F232" i="3"/>
  <c r="D231" i="3"/>
  <c r="H231" i="3"/>
  <c r="M62" i="3"/>
  <c r="AC61" i="3"/>
  <c r="AD61" i="3"/>
  <c r="C61" i="4"/>
  <c r="E231" i="4"/>
  <c r="F231" i="4"/>
  <c r="I231" i="3"/>
  <c r="D231" i="4"/>
  <c r="R232" i="3"/>
  <c r="D232" i="3"/>
  <c r="H232" i="3"/>
  <c r="J232" i="3"/>
  <c r="F233" i="3"/>
  <c r="S231" i="3"/>
  <c r="T231" i="3"/>
  <c r="U231" i="3"/>
  <c r="K231" i="3"/>
  <c r="L231" i="3"/>
  <c r="J233" i="3"/>
  <c r="R233" i="3"/>
  <c r="D233" i="3"/>
  <c r="H233" i="3"/>
  <c r="F234" i="3"/>
  <c r="K232" i="3"/>
  <c r="L232" i="3"/>
  <c r="I232" i="3"/>
  <c r="D232" i="4"/>
  <c r="E232" i="4"/>
  <c r="F232" i="4"/>
  <c r="G61" i="4"/>
  <c r="I61" i="4"/>
  <c r="J61" i="4"/>
  <c r="H61" i="4"/>
  <c r="S232" i="3"/>
  <c r="T232" i="3"/>
  <c r="U232" i="3"/>
  <c r="O62" i="3"/>
  <c r="N62" i="3"/>
  <c r="AI62" i="3"/>
  <c r="P62" i="3"/>
  <c r="Q62" i="3"/>
  <c r="E233" i="4"/>
  <c r="F233" i="4"/>
  <c r="I233" i="3"/>
  <c r="D233" i="4"/>
  <c r="K61" i="4"/>
  <c r="M61" i="4"/>
  <c r="F235" i="3"/>
  <c r="R234" i="3"/>
  <c r="D234" i="3"/>
  <c r="H234" i="3"/>
  <c r="J234" i="3"/>
  <c r="K234" i="3"/>
  <c r="L234" i="3"/>
  <c r="S233" i="3"/>
  <c r="T233" i="3"/>
  <c r="U233" i="3"/>
  <c r="K233" i="3"/>
  <c r="L233" i="3"/>
  <c r="I234" i="3"/>
  <c r="D234" i="4"/>
  <c r="E234" i="4"/>
  <c r="F234" i="4"/>
  <c r="S234" i="3"/>
  <c r="T234" i="3"/>
  <c r="U234" i="3"/>
  <c r="F236" i="3"/>
  <c r="R235" i="3"/>
  <c r="J235" i="3"/>
  <c r="D235" i="3"/>
  <c r="H235" i="3"/>
  <c r="L62" i="4"/>
  <c r="V62" i="3"/>
  <c r="E235" i="4"/>
  <c r="F235" i="4"/>
  <c r="I235" i="3"/>
  <c r="D235" i="4"/>
  <c r="S235" i="3"/>
  <c r="T235" i="3"/>
  <c r="U235" i="3"/>
  <c r="K235" i="3"/>
  <c r="L235" i="3"/>
  <c r="R236" i="3"/>
  <c r="F237" i="3"/>
  <c r="D236" i="3"/>
  <c r="H236" i="3"/>
  <c r="J236" i="3"/>
  <c r="W62" i="3"/>
  <c r="X62" i="3"/>
  <c r="Y62" i="3"/>
  <c r="Z62" i="3"/>
  <c r="AA62" i="3"/>
  <c r="AB62" i="3"/>
  <c r="M63" i="3"/>
  <c r="C62" i="4"/>
  <c r="AC62" i="3"/>
  <c r="AD62" i="3"/>
  <c r="I236" i="3"/>
  <c r="D236" i="4"/>
  <c r="E236" i="4"/>
  <c r="F236" i="4"/>
  <c r="S236" i="3"/>
  <c r="T236" i="3"/>
  <c r="U236" i="3"/>
  <c r="K236" i="3"/>
  <c r="L236" i="3"/>
  <c r="D237" i="3"/>
  <c r="H237" i="3"/>
  <c r="J237" i="3"/>
  <c r="F238" i="3"/>
  <c r="R237" i="3"/>
  <c r="I237" i="3"/>
  <c r="D237" i="4"/>
  <c r="E237" i="4"/>
  <c r="F237" i="4"/>
  <c r="S237" i="3"/>
  <c r="T237" i="3"/>
  <c r="U237" i="3"/>
  <c r="R238" i="3"/>
  <c r="D238" i="3"/>
  <c r="H238" i="3"/>
  <c r="J238" i="3"/>
  <c r="F239" i="3"/>
  <c r="K237" i="3"/>
  <c r="L237" i="3"/>
  <c r="G62" i="4"/>
  <c r="I62" i="4"/>
  <c r="J62" i="4"/>
  <c r="H62" i="4"/>
  <c r="AI63" i="3"/>
  <c r="O63" i="3"/>
  <c r="N63" i="3"/>
  <c r="P63" i="3"/>
  <c r="Q63" i="3"/>
  <c r="L63" i="4"/>
  <c r="V63" i="3"/>
  <c r="I238" i="3"/>
  <c r="D238" i="4"/>
  <c r="E238" i="4"/>
  <c r="F238" i="4"/>
  <c r="M62" i="4"/>
  <c r="K62" i="4"/>
  <c r="R239" i="3"/>
  <c r="D239" i="3"/>
  <c r="H239" i="3"/>
  <c r="J239" i="3"/>
  <c r="K239" i="3"/>
  <c r="L239" i="3"/>
  <c r="F240" i="3"/>
  <c r="K238" i="3"/>
  <c r="L238" i="3"/>
  <c r="S238" i="3"/>
  <c r="T238" i="3"/>
  <c r="U238" i="3"/>
  <c r="I239" i="3"/>
  <c r="D239" i="4"/>
  <c r="E239" i="4"/>
  <c r="F239" i="4"/>
  <c r="W63" i="3"/>
  <c r="X63" i="3"/>
  <c r="Y63" i="3"/>
  <c r="Z63" i="3"/>
  <c r="AA63" i="3"/>
  <c r="AB63" i="3"/>
  <c r="J240" i="3"/>
  <c r="D240" i="3"/>
  <c r="H240" i="3"/>
  <c r="R240" i="3"/>
  <c r="F241" i="3"/>
  <c r="S239" i="3"/>
  <c r="T239" i="3"/>
  <c r="U239" i="3"/>
  <c r="C63" i="4"/>
  <c r="AC63" i="3"/>
  <c r="AD63" i="3"/>
  <c r="M64" i="3"/>
  <c r="D241" i="3"/>
  <c r="H241" i="3"/>
  <c r="R241" i="3"/>
  <c r="J241" i="3"/>
  <c r="K241" i="3"/>
  <c r="L241" i="3"/>
  <c r="F242" i="3"/>
  <c r="S240" i="3"/>
  <c r="T240" i="3"/>
  <c r="U240" i="3"/>
  <c r="I240" i="3"/>
  <c r="D240" i="4"/>
  <c r="E240" i="4"/>
  <c r="F240" i="4"/>
  <c r="K240" i="3"/>
  <c r="L240" i="3"/>
  <c r="R242" i="3"/>
  <c r="F243" i="3"/>
  <c r="J242" i="3"/>
  <c r="D242" i="3"/>
  <c r="H242" i="3"/>
  <c r="S241" i="3"/>
  <c r="T241" i="3"/>
  <c r="U241" i="3"/>
  <c r="E241" i="4"/>
  <c r="F241" i="4"/>
  <c r="I241" i="3"/>
  <c r="D241" i="4"/>
  <c r="AI64" i="3"/>
  <c r="O64" i="3"/>
  <c r="N64" i="3"/>
  <c r="P64" i="3"/>
  <c r="Q64" i="3"/>
  <c r="G63" i="4"/>
  <c r="I63" i="4"/>
  <c r="J63" i="4"/>
  <c r="H63" i="4"/>
  <c r="L64" i="4"/>
  <c r="V64" i="3"/>
  <c r="K242" i="3"/>
  <c r="L242" i="3"/>
  <c r="K63" i="4"/>
  <c r="M63" i="4"/>
  <c r="S242" i="3"/>
  <c r="T242" i="3"/>
  <c r="U242" i="3"/>
  <c r="E242" i="4"/>
  <c r="F242" i="4"/>
  <c r="I242" i="3"/>
  <c r="D242" i="4"/>
  <c r="D243" i="3"/>
  <c r="H243" i="3"/>
  <c r="R243" i="3"/>
  <c r="F244" i="3"/>
  <c r="J243" i="3"/>
  <c r="K243" i="3"/>
  <c r="L243" i="3"/>
  <c r="S243" i="3"/>
  <c r="T243" i="3"/>
  <c r="U243" i="3"/>
  <c r="F245" i="3"/>
  <c r="R244" i="3"/>
  <c r="D244" i="3"/>
  <c r="H244" i="3"/>
  <c r="J244" i="3"/>
  <c r="K244" i="3"/>
  <c r="L244" i="3"/>
  <c r="W64" i="3"/>
  <c r="X64" i="3"/>
  <c r="Y64" i="3"/>
  <c r="Z64" i="3"/>
  <c r="AA64" i="3"/>
  <c r="AB64" i="3"/>
  <c r="I243" i="3"/>
  <c r="D243" i="4"/>
  <c r="E243" i="4"/>
  <c r="F243" i="4"/>
  <c r="AC64" i="3"/>
  <c r="AD64" i="3"/>
  <c r="C64" i="4"/>
  <c r="M65" i="3"/>
  <c r="S244" i="3"/>
  <c r="T244" i="3"/>
  <c r="U244" i="3"/>
  <c r="E244" i="4"/>
  <c r="F244" i="4"/>
  <c r="I244" i="3"/>
  <c r="D244" i="4"/>
  <c r="D245" i="3"/>
  <c r="H245" i="3"/>
  <c r="R245" i="3"/>
  <c r="F246" i="3"/>
  <c r="J245" i="3"/>
  <c r="R246" i="3"/>
  <c r="D246" i="3"/>
  <c r="H246" i="3"/>
  <c r="F247" i="3"/>
  <c r="J246" i="3"/>
  <c r="K246" i="3"/>
  <c r="L246" i="3"/>
  <c r="I245" i="3"/>
  <c r="D245" i="4"/>
  <c r="E245" i="4"/>
  <c r="F245" i="4"/>
  <c r="O65" i="3"/>
  <c r="N65" i="3"/>
  <c r="P65" i="3"/>
  <c r="Q65" i="3"/>
  <c r="AI65" i="3"/>
  <c r="K245" i="3"/>
  <c r="L245" i="3"/>
  <c r="S245" i="3"/>
  <c r="T245" i="3"/>
  <c r="U245" i="3"/>
  <c r="G64" i="4"/>
  <c r="I64" i="4"/>
  <c r="J64" i="4"/>
  <c r="H64" i="4"/>
  <c r="M64" i="4"/>
  <c r="K64" i="4"/>
  <c r="L65" i="4"/>
  <c r="V65" i="3"/>
  <c r="F248" i="3"/>
  <c r="R247" i="3"/>
  <c r="J247" i="3"/>
  <c r="K247" i="3"/>
  <c r="L247" i="3"/>
  <c r="D247" i="3"/>
  <c r="H247" i="3"/>
  <c r="I246" i="3"/>
  <c r="D246" i="4"/>
  <c r="E246" i="4"/>
  <c r="F246" i="4"/>
  <c r="S246" i="3"/>
  <c r="T246" i="3"/>
  <c r="U246" i="3"/>
  <c r="D248" i="3"/>
  <c r="H248" i="3"/>
  <c r="R248" i="3"/>
  <c r="F249" i="3"/>
  <c r="J248" i="3"/>
  <c r="K248" i="3"/>
  <c r="L248" i="3"/>
  <c r="I247" i="3"/>
  <c r="D247" i="4"/>
  <c r="E247" i="4"/>
  <c r="F247" i="4"/>
  <c r="S247" i="3"/>
  <c r="T247" i="3"/>
  <c r="U247" i="3"/>
  <c r="W65" i="3"/>
  <c r="X65" i="3"/>
  <c r="Y65" i="3"/>
  <c r="Z65" i="3"/>
  <c r="AA65" i="3"/>
  <c r="AB65" i="3"/>
  <c r="AC65" i="3"/>
  <c r="AD65" i="3"/>
  <c r="M66" i="3"/>
  <c r="C65" i="4"/>
  <c r="R249" i="3"/>
  <c r="D249" i="3"/>
  <c r="H249" i="3"/>
  <c r="J249" i="3"/>
  <c r="K249" i="3"/>
  <c r="L249" i="3"/>
  <c r="F250" i="3"/>
  <c r="S248" i="3"/>
  <c r="T248" i="3"/>
  <c r="U248" i="3"/>
  <c r="E248" i="4"/>
  <c r="F248" i="4"/>
  <c r="I248" i="3"/>
  <c r="D248" i="4"/>
  <c r="J250" i="3"/>
  <c r="F251" i="3"/>
  <c r="R250" i="3"/>
  <c r="D250" i="3"/>
  <c r="H250" i="3"/>
  <c r="S249" i="3"/>
  <c r="T249" i="3"/>
  <c r="U249" i="3"/>
  <c r="AI66" i="3"/>
  <c r="O66" i="3"/>
  <c r="N66" i="3"/>
  <c r="P66" i="3"/>
  <c r="Q66" i="3"/>
  <c r="E249" i="4"/>
  <c r="F249" i="4"/>
  <c r="I249" i="3"/>
  <c r="D249" i="4"/>
  <c r="G65" i="4"/>
  <c r="I65" i="4"/>
  <c r="J65" i="4"/>
  <c r="H65" i="4"/>
  <c r="M65" i="4"/>
  <c r="K65" i="4"/>
  <c r="L66" i="4"/>
  <c r="V66" i="3"/>
  <c r="I250" i="3"/>
  <c r="D250" i="4"/>
  <c r="E250" i="4"/>
  <c r="F250" i="4"/>
  <c r="R251" i="3"/>
  <c r="F252" i="3"/>
  <c r="J251" i="3"/>
  <c r="D251" i="3"/>
  <c r="H251" i="3"/>
  <c r="S250" i="3"/>
  <c r="T250" i="3"/>
  <c r="U250" i="3"/>
  <c r="K250" i="3"/>
  <c r="L250" i="3"/>
  <c r="S251" i="3"/>
  <c r="T251" i="3"/>
  <c r="U251" i="3"/>
  <c r="R252" i="3"/>
  <c r="J252" i="3"/>
  <c r="D252" i="3"/>
  <c r="H252" i="3"/>
  <c r="F253" i="3"/>
  <c r="I251" i="3"/>
  <c r="D251" i="4"/>
  <c r="E251" i="4"/>
  <c r="F251" i="4"/>
  <c r="W66" i="3"/>
  <c r="X66" i="3"/>
  <c r="Y66" i="3"/>
  <c r="Z66" i="3"/>
  <c r="AA66" i="3"/>
  <c r="AB66" i="3"/>
  <c r="K251" i="3"/>
  <c r="L251" i="3"/>
  <c r="M67" i="3"/>
  <c r="C66" i="4"/>
  <c r="AC66" i="3"/>
  <c r="AD66" i="3"/>
  <c r="J253" i="3"/>
  <c r="R253" i="3"/>
  <c r="F254" i="3"/>
  <c r="D253" i="3"/>
  <c r="H253" i="3"/>
  <c r="S252" i="3"/>
  <c r="T252" i="3"/>
  <c r="U252" i="3"/>
  <c r="E252" i="4"/>
  <c r="F252" i="4"/>
  <c r="I252" i="3"/>
  <c r="D252" i="4"/>
  <c r="K252" i="3"/>
  <c r="L252" i="3"/>
  <c r="S253" i="3"/>
  <c r="T253" i="3"/>
  <c r="U253" i="3"/>
  <c r="I253" i="3"/>
  <c r="D253" i="4"/>
  <c r="E253" i="4"/>
  <c r="F253" i="4"/>
  <c r="F255" i="3"/>
  <c r="J254" i="3"/>
  <c r="D254" i="3"/>
  <c r="H254" i="3"/>
  <c r="R254" i="3"/>
  <c r="K253" i="3"/>
  <c r="L253" i="3"/>
  <c r="G66" i="4"/>
  <c r="I66" i="4"/>
  <c r="J66" i="4"/>
  <c r="H66" i="4"/>
  <c r="O67" i="3"/>
  <c r="N67" i="3"/>
  <c r="P67" i="3"/>
  <c r="Q67" i="3"/>
  <c r="AI67" i="3"/>
  <c r="I254" i="3"/>
  <c r="D254" i="4"/>
  <c r="E254" i="4"/>
  <c r="F254" i="4"/>
  <c r="K66" i="4"/>
  <c r="M66" i="4"/>
  <c r="F256" i="3"/>
  <c r="R255" i="3"/>
  <c r="J255" i="3"/>
  <c r="K255" i="3"/>
  <c r="L255" i="3"/>
  <c r="D255" i="3"/>
  <c r="H255" i="3"/>
  <c r="S254" i="3"/>
  <c r="T254" i="3"/>
  <c r="U254" i="3"/>
  <c r="K254" i="3"/>
  <c r="L254" i="3"/>
  <c r="L67" i="4"/>
  <c r="V67" i="3"/>
  <c r="F257" i="3"/>
  <c r="R256" i="3"/>
  <c r="D256" i="3"/>
  <c r="H256" i="3"/>
  <c r="J256" i="3"/>
  <c r="E255" i="4"/>
  <c r="F255" i="4"/>
  <c r="I255" i="3"/>
  <c r="D255" i="4"/>
  <c r="W67" i="3"/>
  <c r="X67" i="3"/>
  <c r="Y67" i="3"/>
  <c r="Z67" i="3"/>
  <c r="AA67" i="3"/>
  <c r="AB67" i="3"/>
  <c r="S255" i="3"/>
  <c r="T255" i="3"/>
  <c r="U255" i="3"/>
  <c r="M68" i="3"/>
  <c r="AC67" i="3"/>
  <c r="AD67" i="3"/>
  <c r="C67" i="4"/>
  <c r="I256" i="3"/>
  <c r="D256" i="4"/>
  <c r="E256" i="4"/>
  <c r="F256" i="4"/>
  <c r="K256" i="3"/>
  <c r="L256" i="3"/>
  <c r="D257" i="3"/>
  <c r="H257" i="3"/>
  <c r="F258" i="3"/>
  <c r="J257" i="3"/>
  <c r="K257" i="3"/>
  <c r="L257" i="3"/>
  <c r="R257" i="3"/>
  <c r="S256" i="3"/>
  <c r="T256" i="3"/>
  <c r="U256" i="3"/>
  <c r="S257" i="3"/>
  <c r="T257" i="3"/>
  <c r="U257" i="3"/>
  <c r="E257" i="4"/>
  <c r="F257" i="4"/>
  <c r="I257" i="3"/>
  <c r="D257" i="4"/>
  <c r="G67" i="4"/>
  <c r="I67" i="4"/>
  <c r="J67" i="4"/>
  <c r="H67" i="4"/>
  <c r="J258" i="3"/>
  <c r="D258" i="3"/>
  <c r="H258" i="3"/>
  <c r="F259" i="3"/>
  <c r="R258" i="3"/>
  <c r="O68" i="3"/>
  <c r="AI68" i="3"/>
  <c r="N68" i="3"/>
  <c r="P68" i="3"/>
  <c r="Q68" i="3"/>
  <c r="L68" i="4"/>
  <c r="V68" i="3"/>
  <c r="S258" i="3"/>
  <c r="T258" i="3"/>
  <c r="U258" i="3"/>
  <c r="I258" i="3"/>
  <c r="D258" i="4"/>
  <c r="E258" i="4"/>
  <c r="F258" i="4"/>
  <c r="M67" i="4"/>
  <c r="K67" i="4"/>
  <c r="F260" i="3"/>
  <c r="J259" i="3"/>
  <c r="D259" i="3"/>
  <c r="H259" i="3"/>
  <c r="R259" i="3"/>
  <c r="K258" i="3"/>
  <c r="L258" i="3"/>
  <c r="F261" i="3"/>
  <c r="D260" i="3"/>
  <c r="H260" i="3"/>
  <c r="J260" i="3"/>
  <c r="R260" i="3"/>
  <c r="S259" i="3"/>
  <c r="T259" i="3"/>
  <c r="U259" i="3"/>
  <c r="I259" i="3"/>
  <c r="D259" i="4"/>
  <c r="E259" i="4"/>
  <c r="F259" i="4"/>
  <c r="W68" i="3"/>
  <c r="X68" i="3"/>
  <c r="Y68" i="3"/>
  <c r="Z68" i="3"/>
  <c r="AA68" i="3"/>
  <c r="AB68" i="3"/>
  <c r="K259" i="3"/>
  <c r="L259" i="3"/>
  <c r="M69" i="3"/>
  <c r="AC68" i="3"/>
  <c r="AD68" i="3"/>
  <c r="C68" i="4"/>
  <c r="S260" i="3"/>
  <c r="T260" i="3"/>
  <c r="U260" i="3"/>
  <c r="E260" i="4"/>
  <c r="F260" i="4"/>
  <c r="I260" i="3"/>
  <c r="D260" i="4"/>
  <c r="K260" i="3"/>
  <c r="L260" i="3"/>
  <c r="R261" i="3"/>
  <c r="D261" i="3"/>
  <c r="H261" i="3"/>
  <c r="F262" i="3"/>
  <c r="J261" i="3"/>
  <c r="K261" i="3"/>
  <c r="L261" i="3"/>
  <c r="S261" i="3"/>
  <c r="T261" i="3"/>
  <c r="U261" i="3"/>
  <c r="F263" i="3"/>
  <c r="J262" i="3"/>
  <c r="K262" i="3"/>
  <c r="L262" i="3"/>
  <c r="D262" i="3"/>
  <c r="H262" i="3"/>
  <c r="R262" i="3"/>
  <c r="E261" i="4"/>
  <c r="F261" i="4"/>
  <c r="I261" i="3"/>
  <c r="D261" i="4"/>
  <c r="G68" i="4"/>
  <c r="I68" i="4"/>
  <c r="J68" i="4"/>
  <c r="H68" i="4"/>
  <c r="O69" i="3"/>
  <c r="AI69" i="3"/>
  <c r="N69" i="3"/>
  <c r="P69" i="3"/>
  <c r="Q69" i="3"/>
  <c r="K68" i="4"/>
  <c r="M68" i="4"/>
  <c r="S262" i="3"/>
  <c r="T262" i="3"/>
  <c r="U262" i="3"/>
  <c r="L69" i="4"/>
  <c r="V69" i="3"/>
  <c r="I262" i="3"/>
  <c r="D262" i="4"/>
  <c r="E262" i="4"/>
  <c r="F262" i="4"/>
  <c r="R263" i="3"/>
  <c r="D263" i="3"/>
  <c r="H263" i="3"/>
  <c r="J263" i="3"/>
  <c r="K263" i="3"/>
  <c r="L263" i="3"/>
  <c r="F264" i="3"/>
  <c r="J264" i="3"/>
  <c r="R264" i="3"/>
  <c r="F265" i="3"/>
  <c r="D264" i="3"/>
  <c r="H264" i="3"/>
  <c r="S263" i="3"/>
  <c r="T263" i="3"/>
  <c r="U263" i="3"/>
  <c r="I263" i="3"/>
  <c r="D263" i="4"/>
  <c r="E263" i="4"/>
  <c r="F263" i="4"/>
  <c r="W69" i="3"/>
  <c r="X69" i="3"/>
  <c r="Y69" i="3"/>
  <c r="Z69" i="3"/>
  <c r="AA69" i="3"/>
  <c r="AB69" i="3"/>
  <c r="AC69" i="3"/>
  <c r="AD69" i="3"/>
  <c r="C69" i="4"/>
  <c r="M70" i="3"/>
  <c r="I264" i="3"/>
  <c r="D264" i="4"/>
  <c r="E264" i="4"/>
  <c r="F264" i="4"/>
  <c r="S264" i="3"/>
  <c r="T264" i="3"/>
  <c r="U264" i="3"/>
  <c r="F266" i="3"/>
  <c r="R265" i="3"/>
  <c r="J265" i="3"/>
  <c r="D265" i="3"/>
  <c r="H265" i="3"/>
  <c r="K264" i="3"/>
  <c r="L264" i="3"/>
  <c r="E265" i="4"/>
  <c r="F265" i="4"/>
  <c r="I265" i="3"/>
  <c r="D265" i="4"/>
  <c r="D266" i="3"/>
  <c r="H266" i="3"/>
  <c r="R266" i="3"/>
  <c r="F267" i="3"/>
  <c r="J266" i="3"/>
  <c r="K266" i="3"/>
  <c r="L266" i="3"/>
  <c r="N70" i="3"/>
  <c r="AI70" i="3"/>
  <c r="O70" i="3"/>
  <c r="K265" i="3"/>
  <c r="L265" i="3"/>
  <c r="S265" i="3"/>
  <c r="T265" i="3"/>
  <c r="U265" i="3"/>
  <c r="G69" i="4"/>
  <c r="I69" i="4"/>
  <c r="J69" i="4"/>
  <c r="H69" i="4"/>
  <c r="R267" i="3"/>
  <c r="D267" i="3"/>
  <c r="H267" i="3"/>
  <c r="F268" i="3"/>
  <c r="J267" i="3"/>
  <c r="P70" i="3"/>
  <c r="Q70" i="3"/>
  <c r="S266" i="3"/>
  <c r="T266" i="3"/>
  <c r="U266" i="3"/>
  <c r="M69" i="4"/>
  <c r="K69" i="4"/>
  <c r="I266" i="3"/>
  <c r="D266" i="4"/>
  <c r="E266" i="4"/>
  <c r="F266" i="4"/>
  <c r="L70" i="4"/>
  <c r="C25" i="5"/>
  <c r="N25" i="5"/>
  <c r="V70" i="3"/>
  <c r="D268" i="3"/>
  <c r="H268" i="3"/>
  <c r="R268" i="3"/>
  <c r="J268" i="3"/>
  <c r="K268" i="3"/>
  <c r="L268" i="3"/>
  <c r="F269" i="3"/>
  <c r="E267" i="4"/>
  <c r="F267" i="4"/>
  <c r="I267" i="3"/>
  <c r="D267" i="4"/>
  <c r="K267" i="3"/>
  <c r="L267" i="3"/>
  <c r="S267" i="3"/>
  <c r="T267" i="3"/>
  <c r="U267" i="3"/>
  <c r="S268" i="3"/>
  <c r="T268" i="3"/>
  <c r="U268" i="3"/>
  <c r="I268" i="3"/>
  <c r="D268" i="4"/>
  <c r="E268" i="4"/>
  <c r="F268" i="4"/>
  <c r="W70" i="3"/>
  <c r="X70" i="3"/>
  <c r="Y70" i="3"/>
  <c r="Z70" i="3"/>
  <c r="AA70" i="3"/>
  <c r="AB70" i="3"/>
  <c r="R269" i="3"/>
  <c r="J269" i="3"/>
  <c r="K269" i="3"/>
  <c r="L269" i="3"/>
  <c r="F270" i="3"/>
  <c r="D269" i="3"/>
  <c r="H269" i="3"/>
  <c r="AC70" i="3"/>
  <c r="AD70" i="3"/>
  <c r="M71" i="3"/>
  <c r="C70" i="4"/>
  <c r="F271" i="3"/>
  <c r="D270" i="3"/>
  <c r="H270" i="3"/>
  <c r="J270" i="3"/>
  <c r="R270" i="3"/>
  <c r="E269" i="4"/>
  <c r="F269" i="4"/>
  <c r="I269" i="3"/>
  <c r="D269" i="4"/>
  <c r="S269" i="3"/>
  <c r="T269" i="3"/>
  <c r="U269" i="3"/>
  <c r="E270" i="4"/>
  <c r="F270" i="4"/>
  <c r="I270" i="3"/>
  <c r="D270" i="4"/>
  <c r="K270" i="3"/>
  <c r="L270" i="3"/>
  <c r="G70" i="4"/>
  <c r="I70" i="4"/>
  <c r="J70" i="4"/>
  <c r="H70" i="4"/>
  <c r="O71" i="3"/>
  <c r="N71" i="3"/>
  <c r="P71" i="3"/>
  <c r="Q71" i="3"/>
  <c r="AI71" i="3"/>
  <c r="S270" i="3"/>
  <c r="T270" i="3"/>
  <c r="U270" i="3"/>
  <c r="J271" i="3"/>
  <c r="F272" i="3"/>
  <c r="D271" i="3"/>
  <c r="H271" i="3"/>
  <c r="R271" i="3"/>
  <c r="E271" i="4"/>
  <c r="F271" i="4"/>
  <c r="I271" i="3"/>
  <c r="D271" i="4"/>
  <c r="L71" i="4"/>
  <c r="C26" i="5"/>
  <c r="N26" i="5"/>
  <c r="V71" i="3"/>
  <c r="M70" i="4"/>
  <c r="K70" i="4"/>
  <c r="E25" i="5"/>
  <c r="D25" i="5"/>
  <c r="F273" i="3"/>
  <c r="R272" i="3"/>
  <c r="J272" i="3"/>
  <c r="D272" i="3"/>
  <c r="H272" i="3"/>
  <c r="S271" i="3"/>
  <c r="T271" i="3"/>
  <c r="U271" i="3"/>
  <c r="K271" i="3"/>
  <c r="L271" i="3"/>
  <c r="I272" i="3"/>
  <c r="D272" i="4"/>
  <c r="E272" i="4"/>
  <c r="F272" i="4"/>
  <c r="J273" i="3"/>
  <c r="D273" i="3"/>
  <c r="H273" i="3"/>
  <c r="F274" i="3"/>
  <c r="R273" i="3"/>
  <c r="W71" i="3"/>
  <c r="X71" i="3"/>
  <c r="Y71" i="3"/>
  <c r="Z71" i="3"/>
  <c r="AA71" i="3"/>
  <c r="AB71" i="3"/>
  <c r="K272" i="3"/>
  <c r="L272" i="3"/>
  <c r="S272" i="3"/>
  <c r="T272" i="3"/>
  <c r="U272" i="3"/>
  <c r="AC71" i="3"/>
  <c r="AD71" i="3"/>
  <c r="C71" i="4"/>
  <c r="M72" i="3"/>
  <c r="D274" i="3"/>
  <c r="H274" i="3"/>
  <c r="J274" i="3"/>
  <c r="K274" i="3"/>
  <c r="L274" i="3"/>
  <c r="F275" i="3"/>
  <c r="R274" i="3"/>
  <c r="I273" i="3"/>
  <c r="D273" i="4"/>
  <c r="E273" i="4"/>
  <c r="F273" i="4"/>
  <c r="S273" i="3"/>
  <c r="T273" i="3"/>
  <c r="U273" i="3"/>
  <c r="K273" i="3"/>
  <c r="L273" i="3"/>
  <c r="J275" i="3"/>
  <c r="F276" i="3"/>
  <c r="R275" i="3"/>
  <c r="D275" i="3"/>
  <c r="H275" i="3"/>
  <c r="G71" i="4"/>
  <c r="I71" i="4"/>
  <c r="J71" i="4"/>
  <c r="H71" i="4"/>
  <c r="S274" i="3"/>
  <c r="T274" i="3"/>
  <c r="U274" i="3"/>
  <c r="I274" i="3"/>
  <c r="D274" i="4"/>
  <c r="E274" i="4"/>
  <c r="F274" i="4"/>
  <c r="O72" i="3"/>
  <c r="AI72" i="3"/>
  <c r="N72" i="3"/>
  <c r="S275" i="3"/>
  <c r="T275" i="3"/>
  <c r="U275" i="3"/>
  <c r="P72" i="3"/>
  <c r="Q72" i="3"/>
  <c r="I275" i="3"/>
  <c r="D275" i="4"/>
  <c r="E275" i="4"/>
  <c r="F275" i="4"/>
  <c r="R276" i="3"/>
  <c r="J276" i="3"/>
  <c r="D276" i="3"/>
  <c r="H276" i="3"/>
  <c r="F277" i="3"/>
  <c r="M71" i="4"/>
  <c r="K71" i="4"/>
  <c r="E26" i="5"/>
  <c r="D26" i="5"/>
  <c r="K275" i="3"/>
  <c r="L275" i="3"/>
  <c r="F278" i="3"/>
  <c r="J277" i="3"/>
  <c r="D277" i="3"/>
  <c r="H277" i="3"/>
  <c r="R277" i="3"/>
  <c r="E276" i="4"/>
  <c r="F276" i="4"/>
  <c r="I276" i="3"/>
  <c r="D276" i="4"/>
  <c r="K276" i="3"/>
  <c r="L276" i="3"/>
  <c r="S276" i="3"/>
  <c r="T276" i="3"/>
  <c r="U276" i="3"/>
  <c r="L72" i="4"/>
  <c r="V72" i="3"/>
  <c r="W72" i="3"/>
  <c r="X72" i="3"/>
  <c r="Y72" i="3"/>
  <c r="Z72" i="3"/>
  <c r="AA72" i="3"/>
  <c r="AB72" i="3"/>
  <c r="I277" i="3"/>
  <c r="D277" i="4"/>
  <c r="E277" i="4"/>
  <c r="F277" i="4"/>
  <c r="S277" i="3"/>
  <c r="T277" i="3"/>
  <c r="U277" i="3"/>
  <c r="K277" i="3"/>
  <c r="L277" i="3"/>
  <c r="J278" i="3"/>
  <c r="K278" i="3"/>
  <c r="L278" i="3"/>
  <c r="R278" i="3"/>
  <c r="F279" i="3"/>
  <c r="D278" i="3"/>
  <c r="H278" i="3"/>
  <c r="AC72" i="3"/>
  <c r="AD72" i="3"/>
  <c r="M73" i="3"/>
  <c r="C72" i="4"/>
  <c r="J279" i="3"/>
  <c r="F280" i="3"/>
  <c r="D279" i="3"/>
  <c r="H279" i="3"/>
  <c r="R279" i="3"/>
  <c r="I278" i="3"/>
  <c r="D278" i="4"/>
  <c r="E278" i="4"/>
  <c r="F278" i="4"/>
  <c r="S278" i="3"/>
  <c r="T278" i="3"/>
  <c r="U278" i="3"/>
  <c r="D280" i="3"/>
  <c r="H280" i="3"/>
  <c r="R280" i="3"/>
  <c r="F281" i="3"/>
  <c r="J280" i="3"/>
  <c r="K280" i="3"/>
  <c r="L280" i="3"/>
  <c r="K279" i="3"/>
  <c r="L279" i="3"/>
  <c r="O73" i="3"/>
  <c r="AI73" i="3"/>
  <c r="N73" i="3"/>
  <c r="S279" i="3"/>
  <c r="T279" i="3"/>
  <c r="U279" i="3"/>
  <c r="I279" i="3"/>
  <c r="D279" i="4"/>
  <c r="E279" i="4"/>
  <c r="F279" i="4"/>
  <c r="G72" i="4"/>
  <c r="I72" i="4"/>
  <c r="J72" i="4"/>
  <c r="H72" i="4"/>
  <c r="K72" i="4"/>
  <c r="M72" i="4"/>
  <c r="J281" i="3"/>
  <c r="D281" i="3"/>
  <c r="H281" i="3"/>
  <c r="F282" i="3"/>
  <c r="R281" i="3"/>
  <c r="S280" i="3"/>
  <c r="T280" i="3"/>
  <c r="U280" i="3"/>
  <c r="P73" i="3"/>
  <c r="Q73" i="3"/>
  <c r="E280" i="4"/>
  <c r="F280" i="4"/>
  <c r="I280" i="3"/>
  <c r="D280" i="4"/>
  <c r="L73" i="4"/>
  <c r="V73" i="3"/>
  <c r="S281" i="3"/>
  <c r="T281" i="3"/>
  <c r="U281" i="3"/>
  <c r="I281" i="3"/>
  <c r="D281" i="4"/>
  <c r="E281" i="4"/>
  <c r="F281" i="4"/>
  <c r="F283" i="3"/>
  <c r="J282" i="3"/>
  <c r="D282" i="3"/>
  <c r="H282" i="3"/>
  <c r="R282" i="3"/>
  <c r="K281" i="3"/>
  <c r="L281" i="3"/>
  <c r="E282" i="4"/>
  <c r="F282" i="4"/>
  <c r="I282" i="3"/>
  <c r="D282" i="4"/>
  <c r="K282" i="3"/>
  <c r="L282" i="3"/>
  <c r="S282" i="3"/>
  <c r="T282" i="3"/>
  <c r="U282" i="3"/>
  <c r="W73" i="3"/>
  <c r="X73" i="3"/>
  <c r="Y73" i="3"/>
  <c r="Z73" i="3"/>
  <c r="AA73" i="3"/>
  <c r="AB73" i="3"/>
  <c r="F284" i="3"/>
  <c r="R283" i="3"/>
  <c r="D283" i="3"/>
  <c r="H283" i="3"/>
  <c r="J283" i="3"/>
  <c r="K283" i="3"/>
  <c r="L283" i="3"/>
  <c r="AC73" i="3"/>
  <c r="AD73" i="3"/>
  <c r="C73" i="4"/>
  <c r="M74" i="3"/>
  <c r="S283" i="3"/>
  <c r="T283" i="3"/>
  <c r="U283" i="3"/>
  <c r="E283" i="4"/>
  <c r="F283" i="4"/>
  <c r="I283" i="3"/>
  <c r="D283" i="4"/>
  <c r="F285" i="3"/>
  <c r="R284" i="3"/>
  <c r="J284" i="3"/>
  <c r="D284" i="3"/>
  <c r="H284" i="3"/>
  <c r="K284" i="3"/>
  <c r="L284" i="3"/>
  <c r="S284" i="3"/>
  <c r="T284" i="3"/>
  <c r="U284" i="3"/>
  <c r="AI74" i="3"/>
  <c r="N74" i="3"/>
  <c r="P74" i="3"/>
  <c r="Q74" i="3"/>
  <c r="O74" i="3"/>
  <c r="J285" i="3"/>
  <c r="F286" i="3"/>
  <c r="R285" i="3"/>
  <c r="D285" i="3"/>
  <c r="H285" i="3"/>
  <c r="E284" i="4"/>
  <c r="F284" i="4"/>
  <c r="I284" i="3"/>
  <c r="D284" i="4"/>
  <c r="G73" i="4"/>
  <c r="I73" i="4"/>
  <c r="J73" i="4"/>
  <c r="H73" i="4"/>
  <c r="K285" i="3"/>
  <c r="L285" i="3"/>
  <c r="K73" i="4"/>
  <c r="M73" i="4"/>
  <c r="I285" i="3"/>
  <c r="D285" i="4"/>
  <c r="E285" i="4"/>
  <c r="F285" i="4"/>
  <c r="L74" i="4"/>
  <c r="V74" i="3"/>
  <c r="S285" i="3"/>
  <c r="T285" i="3"/>
  <c r="U285" i="3"/>
  <c r="D286" i="3"/>
  <c r="H286" i="3"/>
  <c r="F287" i="3"/>
  <c r="R286" i="3"/>
  <c r="J286" i="3"/>
  <c r="K286" i="3"/>
  <c r="L286" i="3"/>
  <c r="D287" i="3"/>
  <c r="H287" i="3"/>
  <c r="J287" i="3"/>
  <c r="K287" i="3"/>
  <c r="L287" i="3"/>
  <c r="F288" i="3"/>
  <c r="R287" i="3"/>
  <c r="I286" i="3"/>
  <c r="D286" i="4"/>
  <c r="E286" i="4"/>
  <c r="F286" i="4"/>
  <c r="S286" i="3"/>
  <c r="T286" i="3"/>
  <c r="U286" i="3"/>
  <c r="W74" i="3"/>
  <c r="X74" i="3"/>
  <c r="Y74" i="3"/>
  <c r="Z74" i="3"/>
  <c r="AA74" i="3"/>
  <c r="AB74" i="3"/>
  <c r="C74" i="4"/>
  <c r="AC74" i="3"/>
  <c r="AD74" i="3"/>
  <c r="M75" i="3"/>
  <c r="S287" i="3"/>
  <c r="T287" i="3"/>
  <c r="U287" i="3"/>
  <c r="R288" i="3"/>
  <c r="D288" i="3"/>
  <c r="H288" i="3"/>
  <c r="F289" i="3"/>
  <c r="J288" i="3"/>
  <c r="K288" i="3"/>
  <c r="L288" i="3"/>
  <c r="I287" i="3"/>
  <c r="D287" i="4"/>
  <c r="E287" i="4"/>
  <c r="F287" i="4"/>
  <c r="S288" i="3"/>
  <c r="T288" i="3"/>
  <c r="U288" i="3"/>
  <c r="J289" i="3"/>
  <c r="R289" i="3"/>
  <c r="D289" i="3"/>
  <c r="H289" i="3"/>
  <c r="F290" i="3"/>
  <c r="I288" i="3"/>
  <c r="D288" i="4"/>
  <c r="E288" i="4"/>
  <c r="F288" i="4"/>
  <c r="AI75" i="3"/>
  <c r="O75" i="3"/>
  <c r="N75" i="3"/>
  <c r="P75" i="3"/>
  <c r="Q75" i="3"/>
  <c r="G74" i="4"/>
  <c r="I74" i="4"/>
  <c r="J74" i="4"/>
  <c r="H74" i="4"/>
  <c r="K74" i="4"/>
  <c r="M74" i="4"/>
  <c r="E289" i="4"/>
  <c r="F289" i="4"/>
  <c r="I289" i="3"/>
  <c r="D289" i="4"/>
  <c r="L75" i="4"/>
  <c r="V75" i="3"/>
  <c r="R290" i="3"/>
  <c r="F291" i="3"/>
  <c r="J290" i="3"/>
  <c r="D290" i="3"/>
  <c r="H290" i="3"/>
  <c r="S289" i="3"/>
  <c r="T289" i="3"/>
  <c r="U289" i="3"/>
  <c r="K289" i="3"/>
  <c r="L289" i="3"/>
  <c r="J291" i="3"/>
  <c r="D291" i="3"/>
  <c r="H291" i="3"/>
  <c r="F292" i="3"/>
  <c r="R291" i="3"/>
  <c r="S290" i="3"/>
  <c r="T290" i="3"/>
  <c r="U290" i="3"/>
  <c r="K290" i="3"/>
  <c r="L290" i="3"/>
  <c r="W75" i="3"/>
  <c r="X75" i="3"/>
  <c r="Y75" i="3"/>
  <c r="Z75" i="3"/>
  <c r="AA75" i="3"/>
  <c r="AB75" i="3"/>
  <c r="I290" i="3"/>
  <c r="D290" i="4"/>
  <c r="E290" i="4"/>
  <c r="F290" i="4"/>
  <c r="AC75" i="3"/>
  <c r="AD75" i="3"/>
  <c r="M76" i="3"/>
  <c r="C75" i="4"/>
  <c r="S291" i="3"/>
  <c r="T291" i="3"/>
  <c r="U291" i="3"/>
  <c r="I291" i="3"/>
  <c r="D291" i="4"/>
  <c r="E291" i="4"/>
  <c r="F291" i="4"/>
  <c r="F293" i="3"/>
  <c r="R292" i="3"/>
  <c r="D292" i="3"/>
  <c r="H292" i="3"/>
  <c r="J292" i="3"/>
  <c r="K292" i="3"/>
  <c r="L292" i="3"/>
  <c r="K291" i="3"/>
  <c r="L291" i="3"/>
  <c r="S292" i="3"/>
  <c r="T292" i="3"/>
  <c r="U292" i="3"/>
  <c r="I292" i="3"/>
  <c r="D292" i="4"/>
  <c r="E292" i="4"/>
  <c r="F292" i="4"/>
  <c r="F294" i="3"/>
  <c r="R293" i="3"/>
  <c r="J293" i="3"/>
  <c r="D293" i="3"/>
  <c r="H293" i="3"/>
  <c r="G75" i="4"/>
  <c r="I75" i="4"/>
  <c r="J75" i="4"/>
  <c r="H75" i="4"/>
  <c r="N76" i="3"/>
  <c r="P76" i="3"/>
  <c r="Q76" i="3"/>
  <c r="AI76" i="3"/>
  <c r="O76" i="3"/>
  <c r="L76" i="4"/>
  <c r="V76" i="3"/>
  <c r="K75" i="4"/>
  <c r="M75" i="4"/>
  <c r="I293" i="3"/>
  <c r="D293" i="4"/>
  <c r="E293" i="4"/>
  <c r="F293" i="4"/>
  <c r="K293" i="3"/>
  <c r="L293" i="3"/>
  <c r="S293" i="3"/>
  <c r="T293" i="3"/>
  <c r="U293" i="3"/>
  <c r="F295" i="3"/>
  <c r="R294" i="3"/>
  <c r="D294" i="3"/>
  <c r="H294" i="3"/>
  <c r="J294" i="3"/>
  <c r="R295" i="3"/>
  <c r="D295" i="3"/>
  <c r="H295" i="3"/>
  <c r="J295" i="3"/>
  <c r="F296" i="3"/>
  <c r="I294" i="3"/>
  <c r="D294" i="4"/>
  <c r="E294" i="4"/>
  <c r="F294" i="4"/>
  <c r="S294" i="3"/>
  <c r="T294" i="3"/>
  <c r="U294" i="3"/>
  <c r="W76" i="3"/>
  <c r="X76" i="3"/>
  <c r="Y76" i="3"/>
  <c r="Z76" i="3"/>
  <c r="AA76" i="3"/>
  <c r="AB76" i="3"/>
  <c r="K294" i="3"/>
  <c r="L294" i="3"/>
  <c r="M77" i="3"/>
  <c r="C76" i="4"/>
  <c r="AC76" i="3"/>
  <c r="AD76" i="3"/>
  <c r="J296" i="3"/>
  <c r="R296" i="3"/>
  <c r="D296" i="3"/>
  <c r="H296" i="3"/>
  <c r="F297" i="3"/>
  <c r="K295" i="3"/>
  <c r="L295" i="3"/>
  <c r="I295" i="3"/>
  <c r="D295" i="4"/>
  <c r="E295" i="4"/>
  <c r="F295" i="4"/>
  <c r="S295" i="3"/>
  <c r="T295" i="3"/>
  <c r="U295" i="3"/>
  <c r="S296" i="3"/>
  <c r="T296" i="3"/>
  <c r="U296" i="3"/>
  <c r="I296" i="3"/>
  <c r="D296" i="4"/>
  <c r="E296" i="4"/>
  <c r="F296" i="4"/>
  <c r="D297" i="3"/>
  <c r="H297" i="3"/>
  <c r="J297" i="3"/>
  <c r="K297" i="3"/>
  <c r="L297" i="3"/>
  <c r="F298" i="3"/>
  <c r="R297" i="3"/>
  <c r="K296" i="3"/>
  <c r="L296" i="3"/>
  <c r="G76" i="4"/>
  <c r="I76" i="4"/>
  <c r="J76" i="4"/>
  <c r="H76" i="4"/>
  <c r="N77" i="3"/>
  <c r="AI77" i="3"/>
  <c r="O77" i="3"/>
  <c r="M76" i="4"/>
  <c r="K76" i="4"/>
  <c r="P77" i="3"/>
  <c r="Q77" i="3"/>
  <c r="S297" i="3"/>
  <c r="T297" i="3"/>
  <c r="U297" i="3"/>
  <c r="I297" i="3"/>
  <c r="D297" i="4"/>
  <c r="E297" i="4"/>
  <c r="F297" i="4"/>
  <c r="F299" i="3"/>
  <c r="J298" i="3"/>
  <c r="K298" i="3"/>
  <c r="L298" i="3"/>
  <c r="R298" i="3"/>
  <c r="D298" i="3"/>
  <c r="H298" i="3"/>
  <c r="S298" i="3"/>
  <c r="T298" i="3"/>
  <c r="U298" i="3"/>
  <c r="L77" i="4"/>
  <c r="V77" i="3"/>
  <c r="E298" i="4"/>
  <c r="F298" i="4"/>
  <c r="I298" i="3"/>
  <c r="D298" i="4"/>
  <c r="F300" i="3"/>
  <c r="R299" i="3"/>
  <c r="J299" i="3"/>
  <c r="D299" i="3"/>
  <c r="H299" i="3"/>
  <c r="S299" i="3"/>
  <c r="T299" i="3"/>
  <c r="U299" i="3"/>
  <c r="E299" i="4"/>
  <c r="F299" i="4"/>
  <c r="I299" i="3"/>
  <c r="D299" i="4"/>
  <c r="D300" i="3"/>
  <c r="H300" i="3"/>
  <c r="J300" i="3"/>
  <c r="K300" i="3"/>
  <c r="L300" i="3"/>
  <c r="R300" i="3"/>
  <c r="F301" i="3"/>
  <c r="K299" i="3"/>
  <c r="L299" i="3"/>
  <c r="W77" i="3"/>
  <c r="X77" i="3"/>
  <c r="Y77" i="3"/>
  <c r="Z77" i="3"/>
  <c r="AA77" i="3"/>
  <c r="AB77" i="3"/>
  <c r="C77" i="4"/>
  <c r="M78" i="3"/>
  <c r="AC77" i="3"/>
  <c r="AD77" i="3"/>
  <c r="F302" i="3"/>
  <c r="R301" i="3"/>
  <c r="J301" i="3"/>
  <c r="D301" i="3"/>
  <c r="H301" i="3"/>
  <c r="S300" i="3"/>
  <c r="T300" i="3"/>
  <c r="U300" i="3"/>
  <c r="I300" i="3"/>
  <c r="D300" i="4"/>
  <c r="E300" i="4"/>
  <c r="F300" i="4"/>
  <c r="K301" i="3"/>
  <c r="L301" i="3"/>
  <c r="E301" i="4"/>
  <c r="F301" i="4"/>
  <c r="I301" i="3"/>
  <c r="D301" i="4"/>
  <c r="S301" i="3"/>
  <c r="T301" i="3"/>
  <c r="U301" i="3"/>
  <c r="AI78" i="3"/>
  <c r="O78" i="3"/>
  <c r="N78" i="3"/>
  <c r="P78" i="3"/>
  <c r="Q78" i="3"/>
  <c r="F303" i="3"/>
  <c r="D302" i="3"/>
  <c r="H302" i="3"/>
  <c r="R302" i="3"/>
  <c r="J302" i="3"/>
  <c r="G77" i="4"/>
  <c r="I77" i="4"/>
  <c r="J77" i="4"/>
  <c r="H77" i="4"/>
  <c r="E302" i="4"/>
  <c r="F302" i="4"/>
  <c r="I302" i="3"/>
  <c r="D302" i="4"/>
  <c r="L78" i="4"/>
  <c r="V78" i="3"/>
  <c r="K302" i="3"/>
  <c r="L302" i="3"/>
  <c r="K77" i="4"/>
  <c r="M77" i="4"/>
  <c r="S302" i="3"/>
  <c r="T302" i="3"/>
  <c r="U302" i="3"/>
  <c r="F304" i="3"/>
  <c r="R303" i="3"/>
  <c r="J303" i="3"/>
  <c r="D303" i="3"/>
  <c r="H303" i="3"/>
  <c r="R304" i="3"/>
  <c r="J304" i="3"/>
  <c r="K304" i="3"/>
  <c r="L304" i="3"/>
  <c r="F305" i="3"/>
  <c r="D304" i="3"/>
  <c r="H304" i="3"/>
  <c r="K303" i="3"/>
  <c r="L303" i="3"/>
  <c r="S303" i="3"/>
  <c r="T303" i="3"/>
  <c r="U303" i="3"/>
  <c r="E303" i="4"/>
  <c r="F303" i="4"/>
  <c r="I303" i="3"/>
  <c r="D303" i="4"/>
  <c r="W78" i="3"/>
  <c r="X78" i="3"/>
  <c r="Y78" i="3"/>
  <c r="Z78" i="3"/>
  <c r="AA78" i="3"/>
  <c r="AB78" i="3"/>
  <c r="M79" i="3"/>
  <c r="C78" i="4"/>
  <c r="AC78" i="3"/>
  <c r="AD78" i="3"/>
  <c r="E304" i="4"/>
  <c r="F304" i="4"/>
  <c r="I304" i="3"/>
  <c r="D304" i="4"/>
  <c r="R305" i="3"/>
  <c r="D305" i="3"/>
  <c r="H305" i="3"/>
  <c r="F306" i="3"/>
  <c r="J305" i="3"/>
  <c r="K305" i="3"/>
  <c r="L305" i="3"/>
  <c r="S304" i="3"/>
  <c r="T304" i="3"/>
  <c r="U304" i="3"/>
  <c r="E305" i="4"/>
  <c r="F305" i="4"/>
  <c r="I305" i="3"/>
  <c r="D305" i="4"/>
  <c r="D306" i="3"/>
  <c r="H306" i="3"/>
  <c r="J306" i="3"/>
  <c r="F307" i="3"/>
  <c r="R306" i="3"/>
  <c r="S305" i="3"/>
  <c r="T305" i="3"/>
  <c r="U305" i="3"/>
  <c r="G78" i="4"/>
  <c r="I78" i="4"/>
  <c r="J78" i="4"/>
  <c r="H78" i="4"/>
  <c r="O79" i="3"/>
  <c r="AI79" i="3"/>
  <c r="N79" i="3"/>
  <c r="P79" i="3"/>
  <c r="Q79" i="3"/>
  <c r="K78" i="4"/>
  <c r="M78" i="4"/>
  <c r="K306" i="3"/>
  <c r="L306" i="3"/>
  <c r="E306" i="4"/>
  <c r="F306" i="4"/>
  <c r="I306" i="3"/>
  <c r="D306" i="4"/>
  <c r="L79" i="4"/>
  <c r="V79" i="3"/>
  <c r="R307" i="3"/>
  <c r="D307" i="3"/>
  <c r="H307" i="3"/>
  <c r="J307" i="3"/>
  <c r="F308" i="3"/>
  <c r="S306" i="3"/>
  <c r="T306" i="3"/>
  <c r="U306" i="3"/>
  <c r="F309" i="3"/>
  <c r="J308" i="3"/>
  <c r="R308" i="3"/>
  <c r="D308" i="3"/>
  <c r="H308" i="3"/>
  <c r="S307" i="3"/>
  <c r="T307" i="3"/>
  <c r="U307" i="3"/>
  <c r="I307" i="3"/>
  <c r="D307" i="4"/>
  <c r="E307" i="4"/>
  <c r="F307" i="4"/>
  <c r="K307" i="3"/>
  <c r="L307" i="3"/>
  <c r="W79" i="3"/>
  <c r="X79" i="3"/>
  <c r="Y79" i="3"/>
  <c r="Z79" i="3"/>
  <c r="AA79" i="3"/>
  <c r="AB79" i="3"/>
  <c r="AC79" i="3"/>
  <c r="AD79" i="3"/>
  <c r="M80" i="3"/>
  <c r="C79" i="4"/>
  <c r="E308" i="4"/>
  <c r="F308" i="4"/>
  <c r="I308" i="3"/>
  <c r="D308" i="4"/>
  <c r="S308" i="3"/>
  <c r="T308" i="3"/>
  <c r="U308" i="3"/>
  <c r="K308" i="3"/>
  <c r="L308" i="3"/>
  <c r="F310" i="3"/>
  <c r="R309" i="3"/>
  <c r="D309" i="3"/>
  <c r="H309" i="3"/>
  <c r="J309" i="3"/>
  <c r="K309" i="3"/>
  <c r="L309" i="3"/>
  <c r="F311" i="3"/>
  <c r="J310" i="3"/>
  <c r="D310" i="3"/>
  <c r="H310" i="3"/>
  <c r="R310" i="3"/>
  <c r="S309" i="3"/>
  <c r="T309" i="3"/>
  <c r="U309" i="3"/>
  <c r="AI80" i="3"/>
  <c r="O80" i="3"/>
  <c r="N80" i="3"/>
  <c r="E309" i="4"/>
  <c r="F309" i="4"/>
  <c r="I309" i="3"/>
  <c r="D309" i="4"/>
  <c r="G79" i="4"/>
  <c r="I79" i="4"/>
  <c r="J79" i="4"/>
  <c r="H79" i="4"/>
  <c r="S310" i="3"/>
  <c r="T310" i="3"/>
  <c r="U310" i="3"/>
  <c r="P80" i="3"/>
  <c r="Q80" i="3"/>
  <c r="K310" i="3"/>
  <c r="L310" i="3"/>
  <c r="M79" i="4"/>
  <c r="K79" i="4"/>
  <c r="I310" i="3"/>
  <c r="D310" i="4"/>
  <c r="E310" i="4"/>
  <c r="F310" i="4"/>
  <c r="R311" i="3"/>
  <c r="F312" i="3"/>
  <c r="J311" i="3"/>
  <c r="D311" i="3"/>
  <c r="H311" i="3"/>
  <c r="K311" i="3"/>
  <c r="L311" i="3"/>
  <c r="L80" i="4"/>
  <c r="V80" i="3"/>
  <c r="F313" i="3"/>
  <c r="J312" i="3"/>
  <c r="R312" i="3"/>
  <c r="D312" i="3"/>
  <c r="H312" i="3"/>
  <c r="E311" i="4"/>
  <c r="F311" i="4"/>
  <c r="I311" i="3"/>
  <c r="D311" i="4"/>
  <c r="S311" i="3"/>
  <c r="T311" i="3"/>
  <c r="U311" i="3"/>
  <c r="R313" i="3"/>
  <c r="F314" i="3"/>
  <c r="D313" i="3"/>
  <c r="H313" i="3"/>
  <c r="J313" i="3"/>
  <c r="K313" i="3"/>
  <c r="L313" i="3"/>
  <c r="K312" i="3"/>
  <c r="L312" i="3"/>
  <c r="W80" i="3"/>
  <c r="X80" i="3"/>
  <c r="Y80" i="3"/>
  <c r="Z80" i="3"/>
  <c r="AA80" i="3"/>
  <c r="AB80" i="3"/>
  <c r="E312" i="4"/>
  <c r="F312" i="4"/>
  <c r="I312" i="3"/>
  <c r="D312" i="4"/>
  <c r="S312" i="3"/>
  <c r="T312" i="3"/>
  <c r="U312" i="3"/>
  <c r="M81" i="3"/>
  <c r="C80" i="4"/>
  <c r="AC80" i="3"/>
  <c r="AD80" i="3"/>
  <c r="J314" i="3"/>
  <c r="R314" i="3"/>
  <c r="F315" i="3"/>
  <c r="D314" i="3"/>
  <c r="H314" i="3"/>
  <c r="E313" i="4"/>
  <c r="F313" i="4"/>
  <c r="I313" i="3"/>
  <c r="D313" i="4"/>
  <c r="S313" i="3"/>
  <c r="T313" i="3"/>
  <c r="U313" i="3"/>
  <c r="R315" i="3"/>
  <c r="F316" i="3"/>
  <c r="J315" i="3"/>
  <c r="D315" i="3"/>
  <c r="H315" i="3"/>
  <c r="K314" i="3"/>
  <c r="L314" i="3"/>
  <c r="E314" i="4"/>
  <c r="F314" i="4"/>
  <c r="I314" i="3"/>
  <c r="D314" i="4"/>
  <c r="S314" i="3"/>
  <c r="T314" i="3"/>
  <c r="U314" i="3"/>
  <c r="G80" i="4"/>
  <c r="I80" i="4"/>
  <c r="J80" i="4"/>
  <c r="H80" i="4"/>
  <c r="O81" i="3"/>
  <c r="AI81" i="3"/>
  <c r="N81" i="3"/>
  <c r="P81" i="3"/>
  <c r="Q81" i="3"/>
  <c r="E315" i="4"/>
  <c r="F315" i="4"/>
  <c r="I315" i="3"/>
  <c r="D315" i="4"/>
  <c r="L81" i="4"/>
  <c r="V81" i="3"/>
  <c r="J316" i="3"/>
  <c r="R316" i="3"/>
  <c r="F317" i="3"/>
  <c r="D316" i="3"/>
  <c r="H316" i="3"/>
  <c r="K80" i="4"/>
  <c r="M80" i="4"/>
  <c r="K315" i="3"/>
  <c r="L315" i="3"/>
  <c r="S315" i="3"/>
  <c r="T315" i="3"/>
  <c r="U315" i="3"/>
  <c r="D317" i="3"/>
  <c r="H317" i="3"/>
  <c r="R317" i="3"/>
  <c r="F318" i="3"/>
  <c r="J317" i="3"/>
  <c r="K317" i="3"/>
  <c r="L317" i="3"/>
  <c r="I316" i="3"/>
  <c r="D316" i="4"/>
  <c r="E316" i="4"/>
  <c r="F316" i="4"/>
  <c r="K316" i="3"/>
  <c r="L316" i="3"/>
  <c r="S316" i="3"/>
  <c r="T316" i="3"/>
  <c r="U316" i="3"/>
  <c r="W81" i="3"/>
  <c r="X81" i="3"/>
  <c r="Y81" i="3"/>
  <c r="Z81" i="3"/>
  <c r="AA81" i="3"/>
  <c r="AB81" i="3"/>
  <c r="C81" i="4"/>
  <c r="M82" i="3"/>
  <c r="AC81" i="3"/>
  <c r="AD81" i="3"/>
  <c r="J318" i="3"/>
  <c r="D318" i="3"/>
  <c r="H318" i="3"/>
  <c r="F319" i="3"/>
  <c r="R318" i="3"/>
  <c r="S317" i="3"/>
  <c r="T317" i="3"/>
  <c r="U317" i="3"/>
  <c r="E317" i="4"/>
  <c r="F317" i="4"/>
  <c r="I317" i="3"/>
  <c r="D317" i="4"/>
  <c r="S318" i="3"/>
  <c r="T318" i="3"/>
  <c r="U318" i="3"/>
  <c r="J319" i="3"/>
  <c r="D319" i="3"/>
  <c r="H319" i="3"/>
  <c r="R319" i="3"/>
  <c r="F320" i="3"/>
  <c r="E318" i="4"/>
  <c r="F318" i="4"/>
  <c r="I318" i="3"/>
  <c r="D318" i="4"/>
  <c r="O82" i="3"/>
  <c r="N82" i="3"/>
  <c r="P82" i="3"/>
  <c r="Q82" i="3"/>
  <c r="AI82" i="3"/>
  <c r="K318" i="3"/>
  <c r="L318" i="3"/>
  <c r="G81" i="4"/>
  <c r="I81" i="4"/>
  <c r="J81" i="4"/>
  <c r="H81" i="4"/>
  <c r="E319" i="4"/>
  <c r="F319" i="4"/>
  <c r="I319" i="3"/>
  <c r="D319" i="4"/>
  <c r="L82" i="4"/>
  <c r="V82" i="3"/>
  <c r="M81" i="4"/>
  <c r="K81" i="4"/>
  <c r="D320" i="3"/>
  <c r="H320" i="3"/>
  <c r="F321" i="3"/>
  <c r="R320" i="3"/>
  <c r="J320" i="3"/>
  <c r="S319" i="3"/>
  <c r="T319" i="3"/>
  <c r="U319" i="3"/>
  <c r="K319" i="3"/>
  <c r="L319" i="3"/>
  <c r="K320" i="3"/>
  <c r="L320" i="3"/>
  <c r="E320" i="4"/>
  <c r="F320" i="4"/>
  <c r="I320" i="3"/>
  <c r="D320" i="4"/>
  <c r="S320" i="3"/>
  <c r="T320" i="3"/>
  <c r="U320" i="3"/>
  <c r="R321" i="3"/>
  <c r="D321" i="3"/>
  <c r="H321" i="3"/>
  <c r="F322" i="3"/>
  <c r="J321" i="3"/>
  <c r="W82" i="3"/>
  <c r="X82" i="3"/>
  <c r="Y82" i="3"/>
  <c r="Z82" i="3"/>
  <c r="AA82" i="3"/>
  <c r="AB82" i="3"/>
  <c r="R322" i="3"/>
  <c r="F323" i="3"/>
  <c r="J322" i="3"/>
  <c r="D322" i="3"/>
  <c r="H322" i="3"/>
  <c r="K321" i="3"/>
  <c r="L321" i="3"/>
  <c r="S321" i="3"/>
  <c r="T321" i="3"/>
  <c r="U321" i="3"/>
  <c r="E321" i="4"/>
  <c r="F321" i="4"/>
  <c r="I321" i="3"/>
  <c r="D321" i="4"/>
  <c r="AC82" i="3"/>
  <c r="AD82" i="3"/>
  <c r="M83" i="3"/>
  <c r="C82" i="4"/>
  <c r="N83" i="3"/>
  <c r="P83" i="3"/>
  <c r="Q83" i="3"/>
  <c r="O83" i="3"/>
  <c r="AI83" i="3"/>
  <c r="G82" i="4"/>
  <c r="I82" i="4"/>
  <c r="J82" i="4"/>
  <c r="H82" i="4"/>
  <c r="E322" i="4"/>
  <c r="F322" i="4"/>
  <c r="I322" i="3"/>
  <c r="D322" i="4"/>
  <c r="K322" i="3"/>
  <c r="L322" i="3"/>
  <c r="R323" i="3"/>
  <c r="D323" i="3"/>
  <c r="H323" i="3"/>
  <c r="F324" i="3"/>
  <c r="J323" i="3"/>
  <c r="S322" i="3"/>
  <c r="T322" i="3"/>
  <c r="U322" i="3"/>
  <c r="I323" i="3"/>
  <c r="D323" i="4"/>
  <c r="E323" i="4"/>
  <c r="F323" i="4"/>
  <c r="K82" i="4"/>
  <c r="M82" i="4"/>
  <c r="R324" i="3"/>
  <c r="J324" i="3"/>
  <c r="F325" i="3"/>
  <c r="D324" i="3"/>
  <c r="H324" i="3"/>
  <c r="S323" i="3"/>
  <c r="T323" i="3"/>
  <c r="U323" i="3"/>
  <c r="K323" i="3"/>
  <c r="L323" i="3"/>
  <c r="L83" i="4"/>
  <c r="V83" i="3"/>
  <c r="W83" i="3"/>
  <c r="X83" i="3"/>
  <c r="Y83" i="3"/>
  <c r="Z83" i="3"/>
  <c r="AA83" i="3"/>
  <c r="AB83" i="3"/>
  <c r="I324" i="3"/>
  <c r="D324" i="4"/>
  <c r="E324" i="4"/>
  <c r="F324" i="4"/>
  <c r="S324" i="3"/>
  <c r="T324" i="3"/>
  <c r="U324" i="3"/>
  <c r="J325" i="3"/>
  <c r="D325" i="3"/>
  <c r="H325" i="3"/>
  <c r="F326" i="3"/>
  <c r="R325" i="3"/>
  <c r="K324" i="3"/>
  <c r="L324" i="3"/>
  <c r="M84" i="3"/>
  <c r="AC83" i="3"/>
  <c r="AD83" i="3"/>
  <c r="C83" i="4"/>
  <c r="E325" i="4"/>
  <c r="F325" i="4"/>
  <c r="I325" i="3"/>
  <c r="D325" i="4"/>
  <c r="K325" i="3"/>
  <c r="L325" i="3"/>
  <c r="S325" i="3"/>
  <c r="T325" i="3"/>
  <c r="U325" i="3"/>
  <c r="D326" i="3"/>
  <c r="H326" i="3"/>
  <c r="R326" i="3"/>
  <c r="F327" i="3"/>
  <c r="J326" i="3"/>
  <c r="K326" i="3"/>
  <c r="L326" i="3"/>
  <c r="R327" i="3"/>
  <c r="J327" i="3"/>
  <c r="F328" i="3"/>
  <c r="D327" i="3"/>
  <c r="H327" i="3"/>
  <c r="I326" i="3"/>
  <c r="D326" i="4"/>
  <c r="E326" i="4"/>
  <c r="F326" i="4"/>
  <c r="AI84" i="3"/>
  <c r="O84" i="3"/>
  <c r="N84" i="3"/>
  <c r="S326" i="3"/>
  <c r="T326" i="3"/>
  <c r="U326" i="3"/>
  <c r="G83" i="4"/>
  <c r="I83" i="4"/>
  <c r="J83" i="4"/>
  <c r="H83" i="4"/>
  <c r="P84" i="3"/>
  <c r="Q84" i="3"/>
  <c r="I327" i="3"/>
  <c r="D327" i="4"/>
  <c r="E327" i="4"/>
  <c r="F327" i="4"/>
  <c r="K327" i="3"/>
  <c r="L327" i="3"/>
  <c r="M83" i="4"/>
  <c r="K83" i="4"/>
  <c r="R328" i="3"/>
  <c r="D328" i="3"/>
  <c r="H328" i="3"/>
  <c r="J328" i="3"/>
  <c r="F329" i="3"/>
  <c r="S327" i="3"/>
  <c r="T327" i="3"/>
  <c r="U327" i="3"/>
  <c r="F330" i="3"/>
  <c r="R329" i="3"/>
  <c r="D329" i="3"/>
  <c r="H329" i="3"/>
  <c r="J329" i="3"/>
  <c r="K329" i="3"/>
  <c r="L329" i="3"/>
  <c r="S328" i="3"/>
  <c r="T328" i="3"/>
  <c r="U328" i="3"/>
  <c r="K328" i="3"/>
  <c r="L328" i="3"/>
  <c r="I328" i="3"/>
  <c r="D328" i="4"/>
  <c r="E328" i="4"/>
  <c r="F328" i="4"/>
  <c r="L84" i="4"/>
  <c r="V84" i="3"/>
  <c r="S329" i="3"/>
  <c r="T329" i="3"/>
  <c r="U329" i="3"/>
  <c r="W84" i="3"/>
  <c r="X84" i="3"/>
  <c r="Y84" i="3"/>
  <c r="Z84" i="3"/>
  <c r="AA84" i="3"/>
  <c r="AB84" i="3"/>
  <c r="E329" i="4"/>
  <c r="F329" i="4"/>
  <c r="I329" i="3"/>
  <c r="D329" i="4"/>
  <c r="J330" i="3"/>
  <c r="F331" i="3"/>
  <c r="D330" i="3"/>
  <c r="H330" i="3"/>
  <c r="R330" i="3"/>
  <c r="S330" i="3"/>
  <c r="T330" i="3"/>
  <c r="U330" i="3"/>
  <c r="E330" i="4"/>
  <c r="F330" i="4"/>
  <c r="I330" i="3"/>
  <c r="D330" i="4"/>
  <c r="K330" i="3"/>
  <c r="L330" i="3"/>
  <c r="J331" i="3"/>
  <c r="F332" i="3"/>
  <c r="R331" i="3"/>
  <c r="D331" i="3"/>
  <c r="H331" i="3"/>
  <c r="C84" i="4"/>
  <c r="M85" i="3"/>
  <c r="AC84" i="3"/>
  <c r="AD84" i="3"/>
  <c r="N85" i="3"/>
  <c r="P85" i="3"/>
  <c r="Q85" i="3"/>
  <c r="O85" i="3"/>
  <c r="AI85" i="3"/>
  <c r="K331" i="3"/>
  <c r="L331" i="3"/>
  <c r="G84" i="4"/>
  <c r="I84" i="4"/>
  <c r="J84" i="4"/>
  <c r="H84" i="4"/>
  <c r="S331" i="3"/>
  <c r="T331" i="3"/>
  <c r="U331" i="3"/>
  <c r="E331" i="4"/>
  <c r="F331" i="4"/>
  <c r="I331" i="3"/>
  <c r="D331" i="4"/>
  <c r="D332" i="3"/>
  <c r="H332" i="3"/>
  <c r="F333" i="3"/>
  <c r="R332" i="3"/>
  <c r="J332" i="3"/>
  <c r="K332" i="3"/>
  <c r="L332" i="3"/>
  <c r="E332" i="4"/>
  <c r="F332" i="4"/>
  <c r="I332" i="3"/>
  <c r="D332" i="4"/>
  <c r="J333" i="3"/>
  <c r="D333" i="3"/>
  <c r="H333" i="3"/>
  <c r="F334" i="3"/>
  <c r="R333" i="3"/>
  <c r="S332" i="3"/>
  <c r="T332" i="3"/>
  <c r="U332" i="3"/>
  <c r="M84" i="4"/>
  <c r="K84" i="4"/>
  <c r="L85" i="4"/>
  <c r="V85" i="3"/>
  <c r="D334" i="3"/>
  <c r="H334" i="3"/>
  <c r="F335" i="3"/>
  <c r="J334" i="3"/>
  <c r="R334" i="3"/>
  <c r="I333" i="3"/>
  <c r="D333" i="4"/>
  <c r="E333" i="4"/>
  <c r="F333" i="4"/>
  <c r="S333" i="3"/>
  <c r="T333" i="3"/>
  <c r="U333" i="3"/>
  <c r="W85" i="3"/>
  <c r="X85" i="3"/>
  <c r="Y85" i="3"/>
  <c r="Z85" i="3"/>
  <c r="AA85" i="3"/>
  <c r="AB85" i="3"/>
  <c r="K333" i="3"/>
  <c r="L333" i="3"/>
  <c r="C85" i="4"/>
  <c r="AC85" i="3"/>
  <c r="AD85" i="3"/>
  <c r="M86" i="3"/>
  <c r="S334" i="3"/>
  <c r="T334" i="3"/>
  <c r="U334" i="3"/>
  <c r="K334" i="3"/>
  <c r="L334" i="3"/>
  <c r="F336" i="3"/>
  <c r="R335" i="3"/>
  <c r="D335" i="3"/>
  <c r="H335" i="3"/>
  <c r="J335" i="3"/>
  <c r="K335" i="3"/>
  <c r="L335" i="3"/>
  <c r="E334" i="4"/>
  <c r="F334" i="4"/>
  <c r="I334" i="3"/>
  <c r="D334" i="4"/>
  <c r="S335" i="3"/>
  <c r="T335" i="3"/>
  <c r="U335" i="3"/>
  <c r="I335" i="3"/>
  <c r="D335" i="4"/>
  <c r="E335" i="4"/>
  <c r="F335" i="4"/>
  <c r="D336" i="3"/>
  <c r="H336" i="3"/>
  <c r="R336" i="3"/>
  <c r="J336" i="3"/>
  <c r="F337" i="3"/>
  <c r="O86" i="3"/>
  <c r="N86" i="3"/>
  <c r="P86" i="3"/>
  <c r="Q86" i="3"/>
  <c r="AI86" i="3"/>
  <c r="G85" i="4"/>
  <c r="I85" i="4"/>
  <c r="J85" i="4"/>
  <c r="H85" i="4"/>
  <c r="S336" i="3"/>
  <c r="T336" i="3"/>
  <c r="U336" i="3"/>
  <c r="E336" i="4"/>
  <c r="F336" i="4"/>
  <c r="I336" i="3"/>
  <c r="D336" i="4"/>
  <c r="L86" i="4"/>
  <c r="V86" i="3"/>
  <c r="R337" i="3"/>
  <c r="D337" i="3"/>
  <c r="H337" i="3"/>
  <c r="J337" i="3"/>
  <c r="F338" i="3"/>
  <c r="K85" i="4"/>
  <c r="M85" i="4"/>
  <c r="K336" i="3"/>
  <c r="L336" i="3"/>
  <c r="D338" i="3"/>
  <c r="H338" i="3"/>
  <c r="F339" i="3"/>
  <c r="J338" i="3"/>
  <c r="K338" i="3"/>
  <c r="L338" i="3"/>
  <c r="R338" i="3"/>
  <c r="S337" i="3"/>
  <c r="T337" i="3"/>
  <c r="U337" i="3"/>
  <c r="K337" i="3"/>
  <c r="L337" i="3"/>
  <c r="E337" i="4"/>
  <c r="F337" i="4"/>
  <c r="I337" i="3"/>
  <c r="D337" i="4"/>
  <c r="W86" i="3"/>
  <c r="X86" i="3"/>
  <c r="Y86" i="3"/>
  <c r="Z86" i="3"/>
  <c r="AA86" i="3"/>
  <c r="AB86" i="3"/>
  <c r="C86" i="4"/>
  <c r="M87" i="3"/>
  <c r="AC86" i="3"/>
  <c r="AD86" i="3"/>
  <c r="J339" i="3"/>
  <c r="R339" i="3"/>
  <c r="D339" i="3"/>
  <c r="H339" i="3"/>
  <c r="F340" i="3"/>
  <c r="S338" i="3"/>
  <c r="T338" i="3"/>
  <c r="U338" i="3"/>
  <c r="I338" i="3"/>
  <c r="D338" i="4"/>
  <c r="E338" i="4"/>
  <c r="F338" i="4"/>
  <c r="D340" i="3"/>
  <c r="H340" i="3"/>
  <c r="R340" i="3"/>
  <c r="J340" i="3"/>
  <c r="F341" i="3"/>
  <c r="I339" i="3"/>
  <c r="D339" i="4"/>
  <c r="E339" i="4"/>
  <c r="F339" i="4"/>
  <c r="S339" i="3"/>
  <c r="T339" i="3"/>
  <c r="U339" i="3"/>
  <c r="O87" i="3"/>
  <c r="AI87" i="3"/>
  <c r="N87" i="3"/>
  <c r="P87" i="3"/>
  <c r="Q87" i="3"/>
  <c r="K339" i="3"/>
  <c r="L339" i="3"/>
  <c r="G86" i="4"/>
  <c r="I86" i="4"/>
  <c r="J86" i="4"/>
  <c r="H86" i="4"/>
  <c r="M86" i="4"/>
  <c r="K86" i="4"/>
  <c r="K340" i="3"/>
  <c r="L340" i="3"/>
  <c r="L87" i="4"/>
  <c r="V87" i="3"/>
  <c r="R341" i="3"/>
  <c r="J341" i="3"/>
  <c r="K341" i="3"/>
  <c r="L341" i="3"/>
  <c r="F342" i="3"/>
  <c r="D341" i="3"/>
  <c r="H341" i="3"/>
  <c r="S340" i="3"/>
  <c r="T340" i="3"/>
  <c r="U340" i="3"/>
  <c r="I340" i="3"/>
  <c r="D340" i="4"/>
  <c r="E340" i="4"/>
  <c r="F340" i="4"/>
  <c r="I341" i="3"/>
  <c r="D341" i="4"/>
  <c r="E341" i="4"/>
  <c r="F341" i="4"/>
  <c r="S341" i="3"/>
  <c r="T341" i="3"/>
  <c r="U341" i="3"/>
  <c r="R342" i="3"/>
  <c r="D342" i="3"/>
  <c r="H342" i="3"/>
  <c r="F343" i="3"/>
  <c r="J342" i="3"/>
  <c r="K342" i="3"/>
  <c r="L342" i="3"/>
  <c r="W87" i="3"/>
  <c r="X87" i="3"/>
  <c r="Y87" i="3"/>
  <c r="Z87" i="3"/>
  <c r="AA87" i="3"/>
  <c r="AB87" i="3"/>
  <c r="J343" i="3"/>
  <c r="R343" i="3"/>
  <c r="F344" i="3"/>
  <c r="D343" i="3"/>
  <c r="H343" i="3"/>
  <c r="S342" i="3"/>
  <c r="T342" i="3"/>
  <c r="U342" i="3"/>
  <c r="I342" i="3"/>
  <c r="D342" i="4"/>
  <c r="E342" i="4"/>
  <c r="F342" i="4"/>
  <c r="AC87" i="3"/>
  <c r="AD87" i="3"/>
  <c r="M88" i="3"/>
  <c r="C87" i="4"/>
  <c r="R344" i="3"/>
  <c r="F345" i="3"/>
  <c r="J344" i="3"/>
  <c r="K344" i="3"/>
  <c r="L344" i="3"/>
  <c r="D344" i="3"/>
  <c r="H344" i="3"/>
  <c r="S343" i="3"/>
  <c r="T343" i="3"/>
  <c r="U343" i="3"/>
  <c r="G87" i="4"/>
  <c r="I87" i="4"/>
  <c r="J87" i="4"/>
  <c r="H87" i="4"/>
  <c r="O88" i="3"/>
  <c r="N88" i="3"/>
  <c r="P88" i="3"/>
  <c r="Q88" i="3"/>
  <c r="AI88" i="3"/>
  <c r="E343" i="4"/>
  <c r="F343" i="4"/>
  <c r="I343" i="3"/>
  <c r="D343" i="4"/>
  <c r="K343" i="3"/>
  <c r="L343" i="3"/>
  <c r="L88" i="4"/>
  <c r="V88" i="3"/>
  <c r="M87" i="4"/>
  <c r="K87" i="4"/>
  <c r="S344" i="3"/>
  <c r="T344" i="3"/>
  <c r="U344" i="3"/>
  <c r="I344" i="3"/>
  <c r="D344" i="4"/>
  <c r="E344" i="4"/>
  <c r="F344" i="4"/>
  <c r="F346" i="3"/>
  <c r="D345" i="3"/>
  <c r="H345" i="3"/>
  <c r="R345" i="3"/>
  <c r="J345" i="3"/>
  <c r="K345" i="3"/>
  <c r="L345" i="3"/>
  <c r="S345" i="3"/>
  <c r="T345" i="3"/>
  <c r="U345" i="3"/>
  <c r="R346" i="3"/>
  <c r="D346" i="3"/>
  <c r="H346" i="3"/>
  <c r="J346" i="3"/>
  <c r="K346" i="3"/>
  <c r="L346" i="3"/>
  <c r="F347" i="3"/>
  <c r="E345" i="4"/>
  <c r="F345" i="4"/>
  <c r="I345" i="3"/>
  <c r="D345" i="4"/>
  <c r="W88" i="3"/>
  <c r="X88" i="3"/>
  <c r="Y88" i="3"/>
  <c r="Z88" i="3"/>
  <c r="AA88" i="3"/>
  <c r="AB88" i="3"/>
  <c r="F348" i="3"/>
  <c r="R347" i="3"/>
  <c r="J347" i="3"/>
  <c r="D347" i="3"/>
  <c r="H347" i="3"/>
  <c r="S346" i="3"/>
  <c r="T346" i="3"/>
  <c r="U346" i="3"/>
  <c r="AC88" i="3"/>
  <c r="AD88" i="3"/>
  <c r="C88" i="4"/>
  <c r="M89" i="3"/>
  <c r="E346" i="4"/>
  <c r="F346" i="4"/>
  <c r="I346" i="3"/>
  <c r="D346" i="4"/>
  <c r="N89" i="3"/>
  <c r="AI89" i="3"/>
  <c r="O89" i="3"/>
  <c r="E347" i="4"/>
  <c r="F347" i="4"/>
  <c r="I347" i="3"/>
  <c r="D347" i="4"/>
  <c r="S347" i="3"/>
  <c r="T347" i="3"/>
  <c r="U347" i="3"/>
  <c r="G88" i="4"/>
  <c r="I88" i="4"/>
  <c r="J88" i="4"/>
  <c r="H88" i="4"/>
  <c r="K347" i="3"/>
  <c r="L347" i="3"/>
  <c r="J348" i="3"/>
  <c r="R348" i="3"/>
  <c r="F349" i="3"/>
  <c r="D348" i="3"/>
  <c r="H348" i="3"/>
  <c r="K88" i="4"/>
  <c r="M88" i="4"/>
  <c r="E348" i="4"/>
  <c r="F348" i="4"/>
  <c r="I348" i="3"/>
  <c r="D348" i="4"/>
  <c r="S348" i="3"/>
  <c r="T348" i="3"/>
  <c r="U348" i="3"/>
  <c r="K348" i="3"/>
  <c r="L348" i="3"/>
  <c r="D349" i="3"/>
  <c r="H349" i="3"/>
  <c r="F350" i="3"/>
  <c r="R349" i="3"/>
  <c r="J349" i="3"/>
  <c r="P89" i="3"/>
  <c r="Q89" i="3"/>
  <c r="S349" i="3"/>
  <c r="T349" i="3"/>
  <c r="U349" i="3"/>
  <c r="I349" i="3"/>
  <c r="D349" i="4"/>
  <c r="E349" i="4"/>
  <c r="F349" i="4"/>
  <c r="L89" i="4"/>
  <c r="V89" i="3"/>
  <c r="R350" i="3"/>
  <c r="F351" i="3"/>
  <c r="D350" i="3"/>
  <c r="H350" i="3"/>
  <c r="J350" i="3"/>
  <c r="K349" i="3"/>
  <c r="L349" i="3"/>
  <c r="E350" i="4"/>
  <c r="F350" i="4"/>
  <c r="I350" i="3"/>
  <c r="D350" i="4"/>
  <c r="J351" i="3"/>
  <c r="F352" i="3"/>
  <c r="D351" i="3"/>
  <c r="H351" i="3"/>
  <c r="R351" i="3"/>
  <c r="W89" i="3"/>
  <c r="X89" i="3"/>
  <c r="Y89" i="3"/>
  <c r="Z89" i="3"/>
  <c r="AA89" i="3"/>
  <c r="AB89" i="3"/>
  <c r="K350" i="3"/>
  <c r="L350" i="3"/>
  <c r="S350" i="3"/>
  <c r="T350" i="3"/>
  <c r="U350" i="3"/>
  <c r="C89" i="4"/>
  <c r="M90" i="3"/>
  <c r="AC89" i="3"/>
  <c r="AD89" i="3"/>
  <c r="S351" i="3"/>
  <c r="T351" i="3"/>
  <c r="U351" i="3"/>
  <c r="D352" i="3"/>
  <c r="H352" i="3"/>
  <c r="R352" i="3"/>
  <c r="F353" i="3"/>
  <c r="J352" i="3"/>
  <c r="K352" i="3"/>
  <c r="L352" i="3"/>
  <c r="E351" i="4"/>
  <c r="F351" i="4"/>
  <c r="I351" i="3"/>
  <c r="D351" i="4"/>
  <c r="K351" i="3"/>
  <c r="L351" i="3"/>
  <c r="E352" i="4"/>
  <c r="F352" i="4"/>
  <c r="I352" i="3"/>
  <c r="D352" i="4"/>
  <c r="J353" i="3"/>
  <c r="F354" i="3"/>
  <c r="D353" i="3"/>
  <c r="H353" i="3"/>
  <c r="R353" i="3"/>
  <c r="N90" i="3"/>
  <c r="P90" i="3"/>
  <c r="Q90" i="3"/>
  <c r="O90" i="3"/>
  <c r="AI90" i="3"/>
  <c r="S352" i="3"/>
  <c r="T352" i="3"/>
  <c r="U352" i="3"/>
  <c r="G89" i="4"/>
  <c r="I89" i="4"/>
  <c r="J89" i="4"/>
  <c r="H89" i="4"/>
  <c r="K89" i="4"/>
  <c r="M89" i="4"/>
  <c r="S353" i="3"/>
  <c r="T353" i="3"/>
  <c r="U353" i="3"/>
  <c r="K353" i="3"/>
  <c r="L353" i="3"/>
  <c r="L90" i="4"/>
  <c r="V90" i="3"/>
  <c r="I353" i="3"/>
  <c r="D353" i="4"/>
  <c r="E353" i="4"/>
  <c r="F353" i="4"/>
  <c r="R354" i="3"/>
  <c r="J354" i="3"/>
  <c r="F355" i="3"/>
  <c r="D354" i="3"/>
  <c r="H354" i="3"/>
  <c r="E354" i="4"/>
  <c r="F354" i="4"/>
  <c r="I354" i="3"/>
  <c r="D354" i="4"/>
  <c r="R355" i="3"/>
  <c r="F356" i="3"/>
  <c r="J355" i="3"/>
  <c r="D355" i="3"/>
  <c r="H355" i="3"/>
  <c r="S354" i="3"/>
  <c r="T354" i="3"/>
  <c r="U354" i="3"/>
  <c r="W90" i="3"/>
  <c r="X90" i="3"/>
  <c r="Y90" i="3"/>
  <c r="Z90" i="3"/>
  <c r="AA90" i="3"/>
  <c r="AB90" i="3"/>
  <c r="K354" i="3"/>
  <c r="L354" i="3"/>
  <c r="C90" i="4"/>
  <c r="M91" i="3"/>
  <c r="AC90" i="3"/>
  <c r="AD90" i="3"/>
  <c r="E355" i="4"/>
  <c r="F355" i="4"/>
  <c r="I355" i="3"/>
  <c r="D355" i="4"/>
  <c r="K355" i="3"/>
  <c r="L355" i="3"/>
  <c r="S355" i="3"/>
  <c r="T355" i="3"/>
  <c r="U355" i="3"/>
  <c r="R356" i="3"/>
  <c r="D356" i="3"/>
  <c r="H356" i="3"/>
  <c r="F357" i="3"/>
  <c r="J356" i="3"/>
  <c r="I356" i="3"/>
  <c r="D356" i="4"/>
  <c r="E356" i="4"/>
  <c r="F356" i="4"/>
  <c r="K356" i="3"/>
  <c r="L356" i="3"/>
  <c r="S356" i="3"/>
  <c r="T356" i="3"/>
  <c r="U356" i="3"/>
  <c r="AI91" i="3"/>
  <c r="O91" i="3"/>
  <c r="N91" i="3"/>
  <c r="F358" i="3"/>
  <c r="D357" i="3"/>
  <c r="H357" i="3"/>
  <c r="R357" i="3"/>
  <c r="J357" i="3"/>
  <c r="G90" i="4"/>
  <c r="I90" i="4"/>
  <c r="J90" i="4"/>
  <c r="H90" i="4"/>
  <c r="K90" i="4"/>
  <c r="M90" i="4"/>
  <c r="I357" i="3"/>
  <c r="D357" i="4"/>
  <c r="E357" i="4"/>
  <c r="F357" i="4"/>
  <c r="P91" i="3"/>
  <c r="Q91" i="3"/>
  <c r="S357" i="3"/>
  <c r="T357" i="3"/>
  <c r="U357" i="3"/>
  <c r="D358" i="3"/>
  <c r="H358" i="3"/>
  <c r="J358" i="3"/>
  <c r="K358" i="3"/>
  <c r="L358" i="3"/>
  <c r="R358" i="3"/>
  <c r="F359" i="3"/>
  <c r="K357" i="3"/>
  <c r="L357" i="3"/>
  <c r="F360" i="3"/>
  <c r="J359" i="3"/>
  <c r="R359" i="3"/>
  <c r="D359" i="3"/>
  <c r="H359" i="3"/>
  <c r="E358" i="4"/>
  <c r="F358" i="4"/>
  <c r="I358" i="3"/>
  <c r="D358" i="4"/>
  <c r="L91" i="4"/>
  <c r="V91" i="3"/>
  <c r="S358" i="3"/>
  <c r="T358" i="3"/>
  <c r="U358" i="3"/>
  <c r="W91" i="3"/>
  <c r="X91" i="3"/>
  <c r="Y91" i="3"/>
  <c r="Z91" i="3"/>
  <c r="AA91" i="3"/>
  <c r="AB91" i="3"/>
  <c r="K359" i="3"/>
  <c r="L359" i="3"/>
  <c r="I359" i="3"/>
  <c r="D359" i="4"/>
  <c r="E359" i="4"/>
  <c r="F359" i="4"/>
  <c r="S359" i="3"/>
  <c r="T359" i="3"/>
  <c r="U359" i="3"/>
  <c r="R360" i="3"/>
  <c r="F361" i="3"/>
  <c r="D360" i="3"/>
  <c r="H360" i="3"/>
  <c r="J360" i="3"/>
  <c r="K360" i="3"/>
  <c r="L360" i="3"/>
  <c r="M92" i="3"/>
  <c r="AC91" i="3"/>
  <c r="AD91" i="3"/>
  <c r="C91" i="4"/>
  <c r="S360" i="3"/>
  <c r="T360" i="3"/>
  <c r="U360" i="3"/>
  <c r="E360" i="4"/>
  <c r="F360" i="4"/>
  <c r="I360" i="3"/>
  <c r="D360" i="4"/>
  <c r="R361" i="3"/>
  <c r="J361" i="3"/>
  <c r="D361" i="3"/>
  <c r="H361" i="3"/>
  <c r="F362" i="3"/>
  <c r="I361" i="3"/>
  <c r="D361" i="4"/>
  <c r="E361" i="4"/>
  <c r="F361" i="4"/>
  <c r="R362" i="3"/>
  <c r="J362" i="3"/>
  <c r="F363" i="3"/>
  <c r="D362" i="3"/>
  <c r="H362" i="3"/>
  <c r="S361" i="3"/>
  <c r="T361" i="3"/>
  <c r="U361" i="3"/>
  <c r="K361" i="3"/>
  <c r="L361" i="3"/>
  <c r="G91" i="4"/>
  <c r="I91" i="4"/>
  <c r="J91" i="4"/>
  <c r="H91" i="4"/>
  <c r="AI92" i="3"/>
  <c r="N92" i="3"/>
  <c r="P92" i="3"/>
  <c r="Q92" i="3"/>
  <c r="O92" i="3"/>
  <c r="I362" i="3"/>
  <c r="D362" i="4"/>
  <c r="E362" i="4"/>
  <c r="F362" i="4"/>
  <c r="L92" i="4"/>
  <c r="V92" i="3"/>
  <c r="R363" i="3"/>
  <c r="D363" i="3"/>
  <c r="H363" i="3"/>
  <c r="F364" i="3"/>
  <c r="J363" i="3"/>
  <c r="K91" i="4"/>
  <c r="M91" i="4"/>
  <c r="K362" i="3"/>
  <c r="L362" i="3"/>
  <c r="S362" i="3"/>
  <c r="T362" i="3"/>
  <c r="U362" i="3"/>
  <c r="K363" i="3"/>
  <c r="L363" i="3"/>
  <c r="E363" i="4"/>
  <c r="F363" i="4"/>
  <c r="I363" i="3"/>
  <c r="D363" i="4"/>
  <c r="F365" i="3"/>
  <c r="D364" i="3"/>
  <c r="H364" i="3"/>
  <c r="R364" i="3"/>
  <c r="J364" i="3"/>
  <c r="K364" i="3"/>
  <c r="L364" i="3"/>
  <c r="S363" i="3"/>
  <c r="T363" i="3"/>
  <c r="U363" i="3"/>
  <c r="W92" i="3"/>
  <c r="X92" i="3"/>
  <c r="Y92" i="3"/>
  <c r="Z92" i="3"/>
  <c r="AA92" i="3"/>
  <c r="AB92" i="3"/>
  <c r="C92" i="4"/>
  <c r="AC92" i="3"/>
  <c r="AD92" i="3"/>
  <c r="M93" i="3"/>
  <c r="S364" i="3"/>
  <c r="T364" i="3"/>
  <c r="U364" i="3"/>
  <c r="J365" i="3"/>
  <c r="K365" i="3"/>
  <c r="L365" i="3"/>
  <c r="D365" i="3"/>
  <c r="H365" i="3"/>
  <c r="R365" i="3"/>
  <c r="F366" i="3"/>
  <c r="I364" i="3"/>
  <c r="D364" i="4"/>
  <c r="E364" i="4"/>
  <c r="F364" i="4"/>
  <c r="D366" i="3"/>
  <c r="H366" i="3"/>
  <c r="F367" i="3"/>
  <c r="J366" i="3"/>
  <c r="K366" i="3"/>
  <c r="L366" i="3"/>
  <c r="R366" i="3"/>
  <c r="S365" i="3"/>
  <c r="T365" i="3"/>
  <c r="U365" i="3"/>
  <c r="I365" i="3"/>
  <c r="D365" i="4"/>
  <c r="E365" i="4"/>
  <c r="F365" i="4"/>
  <c r="N93" i="3"/>
  <c r="O93" i="3"/>
  <c r="AI93" i="3"/>
  <c r="G92" i="4"/>
  <c r="I92" i="4"/>
  <c r="J92" i="4"/>
  <c r="H92" i="4"/>
  <c r="S366" i="3"/>
  <c r="T366" i="3"/>
  <c r="U366" i="3"/>
  <c r="K92" i="4"/>
  <c r="M92" i="4"/>
  <c r="R367" i="3"/>
  <c r="J367" i="3"/>
  <c r="F368" i="3"/>
  <c r="D367" i="3"/>
  <c r="H367" i="3"/>
  <c r="P93" i="3"/>
  <c r="Q93" i="3"/>
  <c r="E366" i="4"/>
  <c r="F366" i="4"/>
  <c r="I366" i="3"/>
  <c r="D366" i="4"/>
  <c r="E367" i="4"/>
  <c r="F367" i="4"/>
  <c r="I367" i="3"/>
  <c r="D367" i="4"/>
  <c r="K367" i="3"/>
  <c r="L367" i="3"/>
  <c r="L93" i="4"/>
  <c r="V93" i="3"/>
  <c r="F369" i="3"/>
  <c r="J368" i="3"/>
  <c r="R368" i="3"/>
  <c r="D368" i="3"/>
  <c r="H368" i="3"/>
  <c r="S367" i="3"/>
  <c r="T367" i="3"/>
  <c r="U367" i="3"/>
  <c r="K368" i="3"/>
  <c r="L368" i="3"/>
  <c r="W93" i="3"/>
  <c r="X93" i="3"/>
  <c r="Y93" i="3"/>
  <c r="Z93" i="3"/>
  <c r="AA93" i="3"/>
  <c r="AB93" i="3"/>
  <c r="S368" i="3"/>
  <c r="T368" i="3"/>
  <c r="U368" i="3"/>
  <c r="D369" i="3"/>
  <c r="H369" i="3"/>
  <c r="F370" i="3"/>
  <c r="R369" i="3"/>
  <c r="J369" i="3"/>
  <c r="I368" i="3"/>
  <c r="D368" i="4"/>
  <c r="E368" i="4"/>
  <c r="F368" i="4"/>
  <c r="AC93" i="3"/>
  <c r="AD93" i="3"/>
  <c r="M94" i="3"/>
  <c r="C93" i="4"/>
  <c r="I369" i="3"/>
  <c r="D369" i="4"/>
  <c r="E369" i="4"/>
  <c r="F369" i="4"/>
  <c r="S369" i="3"/>
  <c r="T369" i="3"/>
  <c r="U369" i="3"/>
  <c r="K369" i="3"/>
  <c r="L369" i="3"/>
  <c r="J370" i="3"/>
  <c r="F371" i="3"/>
  <c r="R370" i="3"/>
  <c r="D370" i="3"/>
  <c r="H370" i="3"/>
  <c r="S370" i="3"/>
  <c r="T370" i="3"/>
  <c r="U370" i="3"/>
  <c r="R371" i="3"/>
  <c r="D371" i="3"/>
  <c r="H371" i="3"/>
  <c r="F372" i="3"/>
  <c r="J371" i="3"/>
  <c r="K371" i="3"/>
  <c r="L371" i="3"/>
  <c r="I370" i="3"/>
  <c r="D370" i="4"/>
  <c r="E370" i="4"/>
  <c r="F370" i="4"/>
  <c r="K370" i="3"/>
  <c r="L370" i="3"/>
  <c r="AI94" i="3"/>
  <c r="O94" i="3"/>
  <c r="N94" i="3"/>
  <c r="G93" i="4"/>
  <c r="I93" i="4"/>
  <c r="J93" i="4"/>
  <c r="H93" i="4"/>
  <c r="K93" i="4"/>
  <c r="M93" i="4"/>
  <c r="R372" i="3"/>
  <c r="J372" i="3"/>
  <c r="K372" i="3"/>
  <c r="L372" i="3"/>
  <c r="F373" i="3"/>
  <c r="D372" i="3"/>
  <c r="H372" i="3"/>
  <c r="P94" i="3"/>
  <c r="Q94" i="3"/>
  <c r="E371" i="4"/>
  <c r="F371" i="4"/>
  <c r="I371" i="3"/>
  <c r="D371" i="4"/>
  <c r="S371" i="3"/>
  <c r="T371" i="3"/>
  <c r="U371" i="3"/>
  <c r="L94" i="4"/>
  <c r="V94" i="3"/>
  <c r="E372" i="4"/>
  <c r="F372" i="4"/>
  <c r="I372" i="3"/>
  <c r="D372" i="4"/>
  <c r="S372" i="3"/>
  <c r="T372" i="3"/>
  <c r="U372" i="3"/>
  <c r="R373" i="3"/>
  <c r="F374" i="3"/>
  <c r="J373" i="3"/>
  <c r="D373" i="3"/>
  <c r="H373" i="3"/>
  <c r="K373" i="3"/>
  <c r="L373" i="3"/>
  <c r="S373" i="3"/>
  <c r="T373" i="3"/>
  <c r="U373" i="3"/>
  <c r="F375" i="3"/>
  <c r="J374" i="3"/>
  <c r="K374" i="3"/>
  <c r="L374" i="3"/>
  <c r="D374" i="3"/>
  <c r="H374" i="3"/>
  <c r="R374" i="3"/>
  <c r="W94" i="3"/>
  <c r="X94" i="3"/>
  <c r="Y94" i="3"/>
  <c r="Z94" i="3"/>
  <c r="AA94" i="3"/>
  <c r="AB94" i="3"/>
  <c r="I373" i="3"/>
  <c r="D373" i="4"/>
  <c r="E373" i="4"/>
  <c r="F373" i="4"/>
  <c r="AC94" i="3"/>
  <c r="AD94" i="3"/>
  <c r="C94" i="4"/>
  <c r="M95" i="3"/>
  <c r="S374" i="3"/>
  <c r="T374" i="3"/>
  <c r="U374" i="3"/>
  <c r="E374" i="4"/>
  <c r="F374" i="4"/>
  <c r="I374" i="3"/>
  <c r="D374" i="4"/>
  <c r="D375" i="3"/>
  <c r="H375" i="3"/>
  <c r="F376" i="3"/>
  <c r="J375" i="3"/>
  <c r="K375" i="3"/>
  <c r="L375" i="3"/>
  <c r="R375" i="3"/>
  <c r="E375" i="4"/>
  <c r="F375" i="4"/>
  <c r="I375" i="3"/>
  <c r="D375" i="4"/>
  <c r="S375" i="3"/>
  <c r="T375" i="3"/>
  <c r="U375" i="3"/>
  <c r="R376" i="3"/>
  <c r="D376" i="3"/>
  <c r="H376" i="3"/>
  <c r="J376" i="3"/>
  <c r="K376" i="3"/>
  <c r="L376" i="3"/>
  <c r="F377" i="3"/>
  <c r="G94" i="4"/>
  <c r="I94" i="4"/>
  <c r="J94" i="4"/>
  <c r="H94" i="4"/>
  <c r="N95" i="3"/>
  <c r="O95" i="3"/>
  <c r="AI95" i="3"/>
  <c r="K94" i="4"/>
  <c r="M94" i="4"/>
  <c r="R377" i="3"/>
  <c r="D377" i="3"/>
  <c r="H377" i="3"/>
  <c r="F378" i="3"/>
  <c r="J377" i="3"/>
  <c r="I376" i="3"/>
  <c r="D376" i="4"/>
  <c r="E376" i="4"/>
  <c r="F376" i="4"/>
  <c r="P95" i="3"/>
  <c r="Q95" i="3"/>
  <c r="S376" i="3"/>
  <c r="T376" i="3"/>
  <c r="U376" i="3"/>
  <c r="E377" i="4"/>
  <c r="F377" i="4"/>
  <c r="I377" i="3"/>
  <c r="D377" i="4"/>
  <c r="F379" i="3"/>
  <c r="R378" i="3"/>
  <c r="D378" i="3"/>
  <c r="H378" i="3"/>
  <c r="J378" i="3"/>
  <c r="L95" i="4"/>
  <c r="V95" i="3"/>
  <c r="K377" i="3"/>
  <c r="L377" i="3"/>
  <c r="S377" i="3"/>
  <c r="T377" i="3"/>
  <c r="U377" i="3"/>
  <c r="W95" i="3"/>
  <c r="X95" i="3"/>
  <c r="Y95" i="3"/>
  <c r="Z95" i="3"/>
  <c r="AA95" i="3"/>
  <c r="AB95" i="3"/>
  <c r="S378" i="3"/>
  <c r="T378" i="3"/>
  <c r="U378" i="3"/>
  <c r="E378" i="4"/>
  <c r="F378" i="4"/>
  <c r="I378" i="3"/>
  <c r="D378" i="4"/>
  <c r="K378" i="3"/>
  <c r="L378" i="3"/>
  <c r="D379" i="3"/>
  <c r="H379" i="3"/>
  <c r="R379" i="3"/>
  <c r="F380" i="3"/>
  <c r="J379" i="3"/>
  <c r="C95" i="4"/>
  <c r="M96" i="3"/>
  <c r="AC95" i="3"/>
  <c r="AD95" i="3"/>
  <c r="R380" i="3"/>
  <c r="D380" i="3"/>
  <c r="H380" i="3"/>
  <c r="F381" i="3"/>
  <c r="J380" i="3"/>
  <c r="K380" i="3"/>
  <c r="L380" i="3"/>
  <c r="E379" i="4"/>
  <c r="F379" i="4"/>
  <c r="I379" i="3"/>
  <c r="D379" i="4"/>
  <c r="K379" i="3"/>
  <c r="L379" i="3"/>
  <c r="S379" i="3"/>
  <c r="T379" i="3"/>
  <c r="U379" i="3"/>
  <c r="F382" i="3"/>
  <c r="R381" i="3"/>
  <c r="J381" i="3"/>
  <c r="D381" i="3"/>
  <c r="H381" i="3"/>
  <c r="S380" i="3"/>
  <c r="T380" i="3"/>
  <c r="U380" i="3"/>
  <c r="AI96" i="3"/>
  <c r="N96" i="3"/>
  <c r="P96" i="3"/>
  <c r="Q96" i="3"/>
  <c r="O96" i="3"/>
  <c r="I380" i="3"/>
  <c r="D380" i="4"/>
  <c r="E380" i="4"/>
  <c r="F380" i="4"/>
  <c r="G95" i="4"/>
  <c r="I95" i="4"/>
  <c r="J95" i="4"/>
  <c r="H95" i="4"/>
  <c r="L96" i="4"/>
  <c r="V96" i="3"/>
  <c r="K381" i="3"/>
  <c r="L381" i="3"/>
  <c r="M95" i="4"/>
  <c r="K95" i="4"/>
  <c r="E381" i="4"/>
  <c r="F381" i="4"/>
  <c r="I381" i="3"/>
  <c r="D381" i="4"/>
  <c r="S381" i="3"/>
  <c r="T381" i="3"/>
  <c r="U381" i="3"/>
  <c r="J382" i="3"/>
  <c r="F383" i="3"/>
  <c r="R382" i="3"/>
  <c r="D382" i="3"/>
  <c r="H382" i="3"/>
  <c r="I382" i="3"/>
  <c r="D382" i="4"/>
  <c r="E382" i="4"/>
  <c r="F382" i="4"/>
  <c r="D383" i="3"/>
  <c r="H383" i="3"/>
  <c r="F384" i="3"/>
  <c r="R383" i="3"/>
  <c r="J383" i="3"/>
  <c r="K383" i="3"/>
  <c r="L383" i="3"/>
  <c r="K382" i="3"/>
  <c r="L382" i="3"/>
  <c r="W96" i="3"/>
  <c r="X96" i="3"/>
  <c r="Y96" i="3"/>
  <c r="Z96" i="3"/>
  <c r="AA96" i="3"/>
  <c r="AB96" i="3"/>
  <c r="S382" i="3"/>
  <c r="T382" i="3"/>
  <c r="U382" i="3"/>
  <c r="AC96" i="3"/>
  <c r="AD96" i="3"/>
  <c r="C96" i="4"/>
  <c r="M97" i="3"/>
  <c r="J384" i="3"/>
  <c r="F385" i="3"/>
  <c r="R384" i="3"/>
  <c r="D384" i="3"/>
  <c r="H384" i="3"/>
  <c r="S383" i="3"/>
  <c r="T383" i="3"/>
  <c r="U383" i="3"/>
  <c r="E383" i="4"/>
  <c r="F383" i="4"/>
  <c r="I383" i="3"/>
  <c r="D383" i="4"/>
  <c r="F386" i="3"/>
  <c r="R385" i="3"/>
  <c r="D385" i="3"/>
  <c r="H385" i="3"/>
  <c r="J385" i="3"/>
  <c r="K385" i="3"/>
  <c r="L385" i="3"/>
  <c r="S384" i="3"/>
  <c r="T384" i="3"/>
  <c r="U384" i="3"/>
  <c r="G96" i="4"/>
  <c r="I96" i="4"/>
  <c r="J96" i="4"/>
  <c r="H96" i="4"/>
  <c r="E384" i="4"/>
  <c r="F384" i="4"/>
  <c r="I384" i="3"/>
  <c r="D384" i="4"/>
  <c r="K384" i="3"/>
  <c r="L384" i="3"/>
  <c r="N97" i="3"/>
  <c r="O97" i="3"/>
  <c r="AI97" i="3"/>
  <c r="P97" i="3"/>
  <c r="Q97" i="3"/>
  <c r="S385" i="3"/>
  <c r="T385" i="3"/>
  <c r="U385" i="3"/>
  <c r="K96" i="4"/>
  <c r="M96" i="4"/>
  <c r="E385" i="4"/>
  <c r="F385" i="4"/>
  <c r="I385" i="3"/>
  <c r="D385" i="4"/>
  <c r="F387" i="3"/>
  <c r="R386" i="3"/>
  <c r="J386" i="3"/>
  <c r="D386" i="3"/>
  <c r="H386" i="3"/>
  <c r="S386" i="3"/>
  <c r="T386" i="3"/>
  <c r="U386" i="3"/>
  <c r="E386" i="4"/>
  <c r="F386" i="4"/>
  <c r="I386" i="3"/>
  <c r="D386" i="4"/>
  <c r="F388" i="3"/>
  <c r="J387" i="3"/>
  <c r="R387" i="3"/>
  <c r="D387" i="3"/>
  <c r="H387" i="3"/>
  <c r="K386" i="3"/>
  <c r="L386" i="3"/>
  <c r="L97" i="4"/>
  <c r="V97" i="3"/>
  <c r="E387" i="4"/>
  <c r="F387" i="4"/>
  <c r="I387" i="3"/>
  <c r="D387" i="4"/>
  <c r="W97" i="3"/>
  <c r="X97" i="3"/>
  <c r="Y97" i="3"/>
  <c r="Z97" i="3"/>
  <c r="AA97" i="3"/>
  <c r="AB97" i="3"/>
  <c r="K387" i="3"/>
  <c r="L387" i="3"/>
  <c r="J388" i="3"/>
  <c r="F389" i="3"/>
  <c r="D388" i="3"/>
  <c r="H388" i="3"/>
  <c r="R388" i="3"/>
  <c r="S387" i="3"/>
  <c r="T387" i="3"/>
  <c r="U387" i="3"/>
  <c r="M98" i="3"/>
  <c r="AC97" i="3"/>
  <c r="AD97" i="3"/>
  <c r="C97" i="4"/>
  <c r="I388" i="3"/>
  <c r="D388" i="4"/>
  <c r="E388" i="4"/>
  <c r="F388" i="4"/>
  <c r="K388" i="3"/>
  <c r="L388" i="3"/>
  <c r="S388" i="3"/>
  <c r="T388" i="3"/>
  <c r="U388" i="3"/>
  <c r="F390" i="3"/>
  <c r="J389" i="3"/>
  <c r="R389" i="3"/>
  <c r="D389" i="3"/>
  <c r="H389" i="3"/>
  <c r="J390" i="3"/>
  <c r="R390" i="3"/>
  <c r="F391" i="3"/>
  <c r="D390" i="3"/>
  <c r="H390" i="3"/>
  <c r="S389" i="3"/>
  <c r="T389" i="3"/>
  <c r="U389" i="3"/>
  <c r="G97" i="4"/>
  <c r="I97" i="4"/>
  <c r="J97" i="4"/>
  <c r="H97" i="4"/>
  <c r="I389" i="3"/>
  <c r="D389" i="4"/>
  <c r="E389" i="4"/>
  <c r="F389" i="4"/>
  <c r="N98" i="3"/>
  <c r="O98" i="3"/>
  <c r="AI98" i="3"/>
  <c r="K389" i="3"/>
  <c r="L389" i="3"/>
  <c r="K97" i="4"/>
  <c r="M97" i="4"/>
  <c r="J391" i="3"/>
  <c r="R391" i="3"/>
  <c r="F392" i="3"/>
  <c r="D391" i="3"/>
  <c r="H391" i="3"/>
  <c r="S390" i="3"/>
  <c r="T390" i="3"/>
  <c r="U390" i="3"/>
  <c r="P98" i="3"/>
  <c r="Q98" i="3"/>
  <c r="I390" i="3"/>
  <c r="D390" i="4"/>
  <c r="E390" i="4"/>
  <c r="F390" i="4"/>
  <c r="K390" i="3"/>
  <c r="L390" i="3"/>
  <c r="F393" i="3"/>
  <c r="J392" i="3"/>
  <c r="R392" i="3"/>
  <c r="D392" i="3"/>
  <c r="H392" i="3"/>
  <c r="S391" i="3"/>
  <c r="T391" i="3"/>
  <c r="U391" i="3"/>
  <c r="L98" i="4"/>
  <c r="V98" i="3"/>
  <c r="E391" i="4"/>
  <c r="F391" i="4"/>
  <c r="I391" i="3"/>
  <c r="D391" i="4"/>
  <c r="K391" i="3"/>
  <c r="L391" i="3"/>
  <c r="S392" i="3"/>
  <c r="T392" i="3"/>
  <c r="U392" i="3"/>
  <c r="R393" i="3"/>
  <c r="D393" i="3"/>
  <c r="H393" i="3"/>
  <c r="F394" i="3"/>
  <c r="J393" i="3"/>
  <c r="W98" i="3"/>
  <c r="X98" i="3"/>
  <c r="Y98" i="3"/>
  <c r="Z98" i="3"/>
  <c r="AA98" i="3"/>
  <c r="AB98" i="3"/>
  <c r="E392" i="4"/>
  <c r="F392" i="4"/>
  <c r="I392" i="3"/>
  <c r="D392" i="4"/>
  <c r="K392" i="3"/>
  <c r="L392" i="3"/>
  <c r="AC98" i="3"/>
  <c r="AD98" i="3"/>
  <c r="C98" i="4"/>
  <c r="M99" i="3"/>
  <c r="I393" i="3"/>
  <c r="D393" i="4"/>
  <c r="E393" i="4"/>
  <c r="F393" i="4"/>
  <c r="K393" i="3"/>
  <c r="L393" i="3"/>
  <c r="J394" i="3"/>
  <c r="R394" i="3"/>
  <c r="D394" i="3"/>
  <c r="H394" i="3"/>
  <c r="F395" i="3"/>
  <c r="S393" i="3"/>
  <c r="T393" i="3"/>
  <c r="U393" i="3"/>
  <c r="K394" i="3"/>
  <c r="L394" i="3"/>
  <c r="N99" i="3"/>
  <c r="P99" i="3"/>
  <c r="Q99" i="3"/>
  <c r="O99" i="3"/>
  <c r="AI99" i="3"/>
  <c r="J395" i="3"/>
  <c r="F396" i="3"/>
  <c r="D395" i="3"/>
  <c r="H395" i="3"/>
  <c r="R395" i="3"/>
  <c r="G98" i="4"/>
  <c r="I98" i="4"/>
  <c r="J98" i="4"/>
  <c r="H98" i="4"/>
  <c r="E394" i="4"/>
  <c r="F394" i="4"/>
  <c r="I394" i="3"/>
  <c r="D394" i="4"/>
  <c r="S394" i="3"/>
  <c r="T394" i="3"/>
  <c r="U394" i="3"/>
  <c r="E395" i="4"/>
  <c r="F395" i="4"/>
  <c r="I395" i="3"/>
  <c r="D395" i="4"/>
  <c r="S395" i="3"/>
  <c r="T395" i="3"/>
  <c r="U395" i="3"/>
  <c r="L99" i="4"/>
  <c r="V99" i="3"/>
  <c r="K98" i="4"/>
  <c r="M98" i="4"/>
  <c r="R396" i="3"/>
  <c r="J396" i="3"/>
  <c r="D396" i="3"/>
  <c r="H396" i="3"/>
  <c r="F397" i="3"/>
  <c r="K395" i="3"/>
  <c r="L395" i="3"/>
  <c r="F398" i="3"/>
  <c r="J397" i="3"/>
  <c r="R397" i="3"/>
  <c r="D397" i="3"/>
  <c r="H397" i="3"/>
  <c r="S396" i="3"/>
  <c r="T396" i="3"/>
  <c r="U396" i="3"/>
  <c r="K396" i="3"/>
  <c r="L396" i="3"/>
  <c r="I396" i="3"/>
  <c r="D396" i="4"/>
  <c r="E396" i="4"/>
  <c r="F396" i="4"/>
  <c r="W99" i="3"/>
  <c r="X99" i="3"/>
  <c r="Y99" i="3"/>
  <c r="Z99" i="3"/>
  <c r="AA99" i="3"/>
  <c r="AB99" i="3"/>
  <c r="C99" i="4"/>
  <c r="AC99" i="3"/>
  <c r="AD99" i="3"/>
  <c r="M100" i="3"/>
  <c r="K397" i="3"/>
  <c r="L397" i="3"/>
  <c r="I397" i="3"/>
  <c r="D397" i="4"/>
  <c r="E397" i="4"/>
  <c r="F397" i="4"/>
  <c r="S397" i="3"/>
  <c r="T397" i="3"/>
  <c r="U397" i="3"/>
  <c r="D398" i="3"/>
  <c r="H398" i="3"/>
  <c r="J398" i="3"/>
  <c r="R398" i="3"/>
  <c r="F399" i="3"/>
  <c r="F400" i="3"/>
  <c r="D399" i="3"/>
  <c r="H399" i="3"/>
  <c r="R399" i="3"/>
  <c r="J399" i="3"/>
  <c r="E398" i="4"/>
  <c r="F398" i="4"/>
  <c r="I398" i="3"/>
  <c r="D398" i="4"/>
  <c r="S398" i="3"/>
  <c r="T398" i="3"/>
  <c r="U398" i="3"/>
  <c r="K398" i="3"/>
  <c r="L398" i="3"/>
  <c r="AI100" i="3"/>
  <c r="O100" i="3"/>
  <c r="N100" i="3"/>
  <c r="P100" i="3"/>
  <c r="Q100" i="3"/>
  <c r="G99" i="4"/>
  <c r="I99" i="4"/>
  <c r="J99" i="4"/>
  <c r="H99" i="4"/>
  <c r="L100" i="4"/>
  <c r="V100" i="3"/>
  <c r="I399" i="3"/>
  <c r="D399" i="4"/>
  <c r="E399" i="4"/>
  <c r="F399" i="4"/>
  <c r="K99" i="4"/>
  <c r="M99" i="4"/>
  <c r="K399" i="3"/>
  <c r="L399" i="3"/>
  <c r="S399" i="3"/>
  <c r="T399" i="3"/>
  <c r="U399" i="3"/>
  <c r="F401" i="3"/>
  <c r="J400" i="3"/>
  <c r="D400" i="3"/>
  <c r="H400" i="3"/>
  <c r="R400" i="3"/>
  <c r="R401" i="3"/>
  <c r="F402" i="3"/>
  <c r="J401" i="3"/>
  <c r="D401" i="3"/>
  <c r="H401" i="3"/>
  <c r="S400" i="3"/>
  <c r="T400" i="3"/>
  <c r="U400" i="3"/>
  <c r="K400" i="3"/>
  <c r="L400" i="3"/>
  <c r="E400" i="4"/>
  <c r="F400" i="4"/>
  <c r="I400" i="3"/>
  <c r="D400" i="4"/>
  <c r="W100" i="3"/>
  <c r="X100" i="3"/>
  <c r="Y100" i="3"/>
  <c r="Z100" i="3"/>
  <c r="AA100" i="3"/>
  <c r="AB100" i="3"/>
  <c r="AC100" i="3"/>
  <c r="AD100" i="3"/>
  <c r="M101" i="3"/>
  <c r="C100" i="4"/>
  <c r="F403" i="3"/>
  <c r="J402" i="3"/>
  <c r="D402" i="3"/>
  <c r="H402" i="3"/>
  <c r="R402" i="3"/>
  <c r="I401" i="3"/>
  <c r="D401" i="4"/>
  <c r="E401" i="4"/>
  <c r="F401" i="4"/>
  <c r="K401" i="3"/>
  <c r="L401" i="3"/>
  <c r="S401" i="3"/>
  <c r="T401" i="3"/>
  <c r="U401" i="3"/>
  <c r="I402" i="3"/>
  <c r="D402" i="4"/>
  <c r="E402" i="4"/>
  <c r="F402" i="4"/>
  <c r="K402" i="3"/>
  <c r="L402" i="3"/>
  <c r="O101" i="3"/>
  <c r="N101" i="3"/>
  <c r="P101" i="3"/>
  <c r="Q101" i="3"/>
  <c r="AI101" i="3"/>
  <c r="S402" i="3"/>
  <c r="T402" i="3"/>
  <c r="U402" i="3"/>
  <c r="F404" i="3"/>
  <c r="D403" i="3"/>
  <c r="H403" i="3"/>
  <c r="R403" i="3"/>
  <c r="J403" i="3"/>
  <c r="K403" i="3"/>
  <c r="L403" i="3"/>
  <c r="G100" i="4"/>
  <c r="I100" i="4"/>
  <c r="J100" i="4"/>
  <c r="H100" i="4"/>
  <c r="K100" i="4"/>
  <c r="M100" i="4"/>
  <c r="I403" i="3"/>
  <c r="D403" i="4"/>
  <c r="E403" i="4"/>
  <c r="F403" i="4"/>
  <c r="D404" i="3"/>
  <c r="H404" i="3"/>
  <c r="R404" i="3"/>
  <c r="J404" i="3"/>
  <c r="K404" i="3"/>
  <c r="L404" i="3"/>
  <c r="F405" i="3"/>
  <c r="S403" i="3"/>
  <c r="T403" i="3"/>
  <c r="U403" i="3"/>
  <c r="L101" i="4"/>
  <c r="V101" i="3"/>
  <c r="W101" i="3"/>
  <c r="X101" i="3"/>
  <c r="Y101" i="3"/>
  <c r="Z101" i="3"/>
  <c r="AA101" i="3"/>
  <c r="AB101" i="3"/>
  <c r="E404" i="4"/>
  <c r="F404" i="4"/>
  <c r="I404" i="3"/>
  <c r="D404" i="4"/>
  <c r="S404" i="3"/>
  <c r="T404" i="3"/>
  <c r="U404" i="3"/>
  <c r="J405" i="3"/>
  <c r="D405" i="3"/>
  <c r="H405" i="3"/>
  <c r="R405" i="3"/>
  <c r="F406" i="3"/>
  <c r="E405" i="4"/>
  <c r="F405" i="4"/>
  <c r="I405" i="3"/>
  <c r="D405" i="4"/>
  <c r="R406" i="3"/>
  <c r="D406" i="3"/>
  <c r="H406" i="3"/>
  <c r="F407" i="3"/>
  <c r="J406" i="3"/>
  <c r="S405" i="3"/>
  <c r="T405" i="3"/>
  <c r="U405" i="3"/>
  <c r="K405" i="3"/>
  <c r="L405" i="3"/>
  <c r="C101" i="4"/>
  <c r="AC101" i="3"/>
  <c r="AD101" i="3"/>
  <c r="M102" i="3"/>
  <c r="E406" i="4"/>
  <c r="F406" i="4"/>
  <c r="I406" i="3"/>
  <c r="D406" i="4"/>
  <c r="O102" i="3"/>
  <c r="N102" i="3"/>
  <c r="P102" i="3"/>
  <c r="Q102" i="3"/>
  <c r="AI102" i="3"/>
  <c r="R407" i="3"/>
  <c r="J407" i="3"/>
  <c r="D407" i="3"/>
  <c r="H407" i="3"/>
  <c r="F408" i="3"/>
  <c r="G101" i="4"/>
  <c r="I101" i="4"/>
  <c r="J101" i="4"/>
  <c r="H101" i="4"/>
  <c r="K406" i="3"/>
  <c r="L406" i="3"/>
  <c r="S406" i="3"/>
  <c r="T406" i="3"/>
  <c r="U406" i="3"/>
  <c r="D408" i="3"/>
  <c r="H408" i="3"/>
  <c r="J408" i="3"/>
  <c r="K408" i="3"/>
  <c r="L408" i="3"/>
  <c r="F409" i="3"/>
  <c r="R408" i="3"/>
  <c r="S407" i="3"/>
  <c r="T407" i="3"/>
  <c r="U407" i="3"/>
  <c r="L102" i="4"/>
  <c r="V102" i="3"/>
  <c r="K101" i="4"/>
  <c r="M101" i="4"/>
  <c r="I407" i="3"/>
  <c r="D407" i="4"/>
  <c r="E407" i="4"/>
  <c r="F407" i="4"/>
  <c r="K407" i="3"/>
  <c r="L407" i="3"/>
  <c r="W102" i="3"/>
  <c r="X102" i="3"/>
  <c r="Y102" i="3"/>
  <c r="Z102" i="3"/>
  <c r="AA102" i="3"/>
  <c r="AB102" i="3"/>
  <c r="S408" i="3"/>
  <c r="T408" i="3"/>
  <c r="U408" i="3"/>
  <c r="R409" i="3"/>
  <c r="J409" i="3"/>
  <c r="K409" i="3"/>
  <c r="L409" i="3"/>
  <c r="D409" i="3"/>
  <c r="H409" i="3"/>
  <c r="F410" i="3"/>
  <c r="E408" i="4"/>
  <c r="F408" i="4"/>
  <c r="I408" i="3"/>
  <c r="D408" i="4"/>
  <c r="C102" i="4"/>
  <c r="M103" i="3"/>
  <c r="AC102" i="3"/>
  <c r="AD102" i="3"/>
  <c r="F411" i="3"/>
  <c r="D410" i="3"/>
  <c r="H410" i="3"/>
  <c r="R410" i="3"/>
  <c r="J410" i="3"/>
  <c r="K410" i="3"/>
  <c r="L410" i="3"/>
  <c r="E409" i="4"/>
  <c r="F409" i="4"/>
  <c r="I409" i="3"/>
  <c r="D409" i="4"/>
  <c r="S409" i="3"/>
  <c r="T409" i="3"/>
  <c r="U409" i="3"/>
  <c r="J411" i="3"/>
  <c r="D411" i="3"/>
  <c r="H411" i="3"/>
  <c r="F412" i="3"/>
  <c r="R411" i="3"/>
  <c r="S410" i="3"/>
  <c r="T410" i="3"/>
  <c r="U410" i="3"/>
  <c r="AI103" i="3"/>
  <c r="O103" i="3"/>
  <c r="N103" i="3"/>
  <c r="I410" i="3"/>
  <c r="D410" i="4"/>
  <c r="E410" i="4"/>
  <c r="F410" i="4"/>
  <c r="G102" i="4"/>
  <c r="I102" i="4"/>
  <c r="J102" i="4"/>
  <c r="H102" i="4"/>
  <c r="E411" i="4"/>
  <c r="F411" i="4"/>
  <c r="I411" i="3"/>
  <c r="D411" i="4"/>
  <c r="K102" i="4"/>
  <c r="M102" i="4"/>
  <c r="P103" i="3"/>
  <c r="Q103" i="3"/>
  <c r="S411" i="3"/>
  <c r="T411" i="3"/>
  <c r="U411" i="3"/>
  <c r="F413" i="3"/>
  <c r="J412" i="3"/>
  <c r="K412" i="3"/>
  <c r="L412" i="3"/>
  <c r="D412" i="3"/>
  <c r="H412" i="3"/>
  <c r="R412" i="3"/>
  <c r="K411" i="3"/>
  <c r="L411" i="3"/>
  <c r="F414" i="3"/>
  <c r="J413" i="3"/>
  <c r="R413" i="3"/>
  <c r="D413" i="3"/>
  <c r="H413" i="3"/>
  <c r="E412" i="4"/>
  <c r="F412" i="4"/>
  <c r="I412" i="3"/>
  <c r="D412" i="4"/>
  <c r="S412" i="3"/>
  <c r="T412" i="3"/>
  <c r="U412" i="3"/>
  <c r="L103" i="4"/>
  <c r="V103" i="3"/>
  <c r="W103" i="3"/>
  <c r="X103" i="3"/>
  <c r="Y103" i="3"/>
  <c r="Z103" i="3"/>
  <c r="AA103" i="3"/>
  <c r="AB103" i="3"/>
  <c r="K413" i="3"/>
  <c r="L413" i="3"/>
  <c r="I413" i="3"/>
  <c r="D413" i="4"/>
  <c r="E413" i="4"/>
  <c r="F413" i="4"/>
  <c r="S413" i="3"/>
  <c r="T413" i="3"/>
  <c r="U413" i="3"/>
  <c r="J414" i="3"/>
  <c r="R414" i="3"/>
  <c r="F415" i="3"/>
  <c r="D414" i="3"/>
  <c r="H414" i="3"/>
  <c r="I414" i="3"/>
  <c r="D414" i="4"/>
  <c r="E414" i="4"/>
  <c r="F414" i="4"/>
  <c r="J415" i="3"/>
  <c r="R415" i="3"/>
  <c r="F416" i="3"/>
  <c r="D415" i="3"/>
  <c r="H415" i="3"/>
  <c r="K414" i="3"/>
  <c r="L414" i="3"/>
  <c r="M104" i="3"/>
  <c r="AC103" i="3"/>
  <c r="AD103" i="3"/>
  <c r="C103" i="4"/>
  <c r="S414" i="3"/>
  <c r="T414" i="3"/>
  <c r="U414" i="3"/>
  <c r="G103" i="4"/>
  <c r="I103" i="4"/>
  <c r="J103" i="4"/>
  <c r="H103" i="4"/>
  <c r="N104" i="3"/>
  <c r="P104" i="3"/>
  <c r="Q104" i="3"/>
  <c r="O104" i="3"/>
  <c r="AI104" i="3"/>
  <c r="S415" i="3"/>
  <c r="T415" i="3"/>
  <c r="U415" i="3"/>
  <c r="J416" i="3"/>
  <c r="R416" i="3"/>
  <c r="F417" i="3"/>
  <c r="D416" i="3"/>
  <c r="H416" i="3"/>
  <c r="E415" i="4"/>
  <c r="F415" i="4"/>
  <c r="I415" i="3"/>
  <c r="D415" i="4"/>
  <c r="K415" i="3"/>
  <c r="L415" i="3"/>
  <c r="S416" i="3"/>
  <c r="T416" i="3"/>
  <c r="U416" i="3"/>
  <c r="E416" i="4"/>
  <c r="F416" i="4"/>
  <c r="I416" i="3"/>
  <c r="D416" i="4"/>
  <c r="J417" i="3"/>
  <c r="F418" i="3"/>
  <c r="R417" i="3"/>
  <c r="D417" i="3"/>
  <c r="H417" i="3"/>
  <c r="L104" i="4"/>
  <c r="V104" i="3"/>
  <c r="K416" i="3"/>
  <c r="L416" i="3"/>
  <c r="M103" i="4"/>
  <c r="K103" i="4"/>
  <c r="W104" i="3"/>
  <c r="X104" i="3"/>
  <c r="Y104" i="3"/>
  <c r="Z104" i="3"/>
  <c r="AA104" i="3"/>
  <c r="AB104" i="3"/>
  <c r="S417" i="3"/>
  <c r="T417" i="3"/>
  <c r="U417" i="3"/>
  <c r="D418" i="3"/>
  <c r="H418" i="3"/>
  <c r="F419" i="3"/>
  <c r="J418" i="3"/>
  <c r="K418" i="3"/>
  <c r="L418" i="3"/>
  <c r="R418" i="3"/>
  <c r="E417" i="4"/>
  <c r="F417" i="4"/>
  <c r="I417" i="3"/>
  <c r="D417" i="4"/>
  <c r="K417" i="3"/>
  <c r="L417" i="3"/>
  <c r="S418" i="3"/>
  <c r="T418" i="3"/>
  <c r="U418" i="3"/>
  <c r="F420" i="3"/>
  <c r="J419" i="3"/>
  <c r="R419" i="3"/>
  <c r="D419" i="3"/>
  <c r="H419" i="3"/>
  <c r="AC104" i="3"/>
  <c r="AD104" i="3"/>
  <c r="C104" i="4"/>
  <c r="M105" i="3"/>
  <c r="E418" i="4"/>
  <c r="F418" i="4"/>
  <c r="I418" i="3"/>
  <c r="D418" i="4"/>
  <c r="S419" i="3"/>
  <c r="T419" i="3"/>
  <c r="U419" i="3"/>
  <c r="E419" i="4"/>
  <c r="F419" i="4"/>
  <c r="I419" i="3"/>
  <c r="D419" i="4"/>
  <c r="AI105" i="3"/>
  <c r="O105" i="3"/>
  <c r="N105" i="3"/>
  <c r="G104" i="4"/>
  <c r="I104" i="4"/>
  <c r="J104" i="4"/>
  <c r="H104" i="4"/>
  <c r="K419" i="3"/>
  <c r="L419" i="3"/>
  <c r="D420" i="3"/>
  <c r="H420" i="3"/>
  <c r="F421" i="3"/>
  <c r="J420" i="3"/>
  <c r="R420" i="3"/>
  <c r="E420" i="4"/>
  <c r="F420" i="4"/>
  <c r="I420" i="3"/>
  <c r="D420" i="4"/>
  <c r="K420" i="3"/>
  <c r="L420" i="3"/>
  <c r="K104" i="4"/>
  <c r="M104" i="4"/>
  <c r="P105" i="3"/>
  <c r="Q105" i="3"/>
  <c r="S420" i="3"/>
  <c r="T420" i="3"/>
  <c r="U420" i="3"/>
  <c r="F422" i="3"/>
  <c r="D421" i="3"/>
  <c r="H421" i="3"/>
  <c r="J421" i="3"/>
  <c r="K421" i="3"/>
  <c r="L421" i="3"/>
  <c r="R421" i="3"/>
  <c r="J422" i="3"/>
  <c r="F423" i="3"/>
  <c r="R422" i="3"/>
  <c r="D422" i="3"/>
  <c r="H422" i="3"/>
  <c r="I421" i="3"/>
  <c r="D421" i="4"/>
  <c r="E421" i="4"/>
  <c r="F421" i="4"/>
  <c r="S421" i="3"/>
  <c r="T421" i="3"/>
  <c r="U421" i="3"/>
  <c r="L105" i="4"/>
  <c r="V105" i="3"/>
  <c r="W105" i="3"/>
  <c r="X105" i="3"/>
  <c r="Y105" i="3"/>
  <c r="Z105" i="3"/>
  <c r="AA105" i="3"/>
  <c r="AB105" i="3"/>
  <c r="S422" i="3"/>
  <c r="T422" i="3"/>
  <c r="U422" i="3"/>
  <c r="I422" i="3"/>
  <c r="D422" i="4"/>
  <c r="E422" i="4"/>
  <c r="F422" i="4"/>
  <c r="J423" i="3"/>
  <c r="F424" i="3"/>
  <c r="R423" i="3"/>
  <c r="D423" i="3"/>
  <c r="H423" i="3"/>
  <c r="K422" i="3"/>
  <c r="L422" i="3"/>
  <c r="M106" i="3"/>
  <c r="C105" i="4"/>
  <c r="AC105" i="3"/>
  <c r="AD105" i="3"/>
  <c r="R424" i="3"/>
  <c r="D424" i="3"/>
  <c r="H424" i="3"/>
  <c r="F425" i="3"/>
  <c r="J424" i="3"/>
  <c r="K424" i="3"/>
  <c r="L424" i="3"/>
  <c r="S423" i="3"/>
  <c r="T423" i="3"/>
  <c r="U423" i="3"/>
  <c r="E423" i="4"/>
  <c r="F423" i="4"/>
  <c r="I423" i="3"/>
  <c r="D423" i="4"/>
  <c r="K423" i="3"/>
  <c r="L423" i="3"/>
  <c r="D425" i="3"/>
  <c r="H425" i="3"/>
  <c r="J425" i="3"/>
  <c r="K425" i="3"/>
  <c r="L425" i="3"/>
  <c r="F426" i="3"/>
  <c r="R425" i="3"/>
  <c r="S424" i="3"/>
  <c r="T424" i="3"/>
  <c r="U424" i="3"/>
  <c r="I424" i="3"/>
  <c r="D424" i="4"/>
  <c r="E424" i="4"/>
  <c r="F424" i="4"/>
  <c r="G105" i="4"/>
  <c r="I105" i="4"/>
  <c r="J105" i="4"/>
  <c r="H105" i="4"/>
  <c r="N106" i="3"/>
  <c r="AI106" i="3"/>
  <c r="O106" i="3"/>
  <c r="P106" i="3"/>
  <c r="Q106" i="3"/>
  <c r="F427" i="3"/>
  <c r="J426" i="3"/>
  <c r="R426" i="3"/>
  <c r="D426" i="3"/>
  <c r="H426" i="3"/>
  <c r="K105" i="4"/>
  <c r="M105" i="4"/>
  <c r="S425" i="3"/>
  <c r="T425" i="3"/>
  <c r="U425" i="3"/>
  <c r="I425" i="3"/>
  <c r="D425" i="4"/>
  <c r="E425" i="4"/>
  <c r="F425" i="4"/>
  <c r="K426" i="3"/>
  <c r="L426" i="3"/>
  <c r="R427" i="3"/>
  <c r="D427" i="3"/>
  <c r="H427" i="3"/>
  <c r="J427" i="3"/>
  <c r="K427" i="3"/>
  <c r="L427" i="3"/>
  <c r="F428" i="3"/>
  <c r="I426" i="3"/>
  <c r="D426" i="4"/>
  <c r="E426" i="4"/>
  <c r="F426" i="4"/>
  <c r="S426" i="3"/>
  <c r="T426" i="3"/>
  <c r="U426" i="3"/>
  <c r="L106" i="4"/>
  <c r="V106" i="3"/>
  <c r="W106" i="3"/>
  <c r="X106" i="3"/>
  <c r="Y106" i="3"/>
  <c r="Z106" i="3"/>
  <c r="AA106" i="3"/>
  <c r="AB106" i="3"/>
  <c r="D428" i="3"/>
  <c r="H428" i="3"/>
  <c r="J428" i="3"/>
  <c r="K428" i="3"/>
  <c r="L428" i="3"/>
  <c r="F429" i="3"/>
  <c r="R428" i="3"/>
  <c r="S427" i="3"/>
  <c r="T427" i="3"/>
  <c r="U427" i="3"/>
  <c r="I427" i="3"/>
  <c r="D427" i="4"/>
  <c r="E427" i="4"/>
  <c r="F427" i="4"/>
  <c r="M107" i="3"/>
  <c r="AC106" i="3"/>
  <c r="AD106" i="3"/>
  <c r="C106" i="4"/>
  <c r="J429" i="3"/>
  <c r="R429" i="3"/>
  <c r="D429" i="3"/>
  <c r="H429" i="3"/>
  <c r="F430" i="3"/>
  <c r="S428" i="3"/>
  <c r="T428" i="3"/>
  <c r="U428" i="3"/>
  <c r="E428" i="4"/>
  <c r="F428" i="4"/>
  <c r="I428" i="3"/>
  <c r="D428" i="4"/>
  <c r="I429" i="3"/>
  <c r="D429" i="4"/>
  <c r="E429" i="4"/>
  <c r="F429" i="4"/>
  <c r="S429" i="3"/>
  <c r="T429" i="3"/>
  <c r="U429" i="3"/>
  <c r="K429" i="3"/>
  <c r="L429" i="3"/>
  <c r="J430" i="3"/>
  <c r="F431" i="3"/>
  <c r="D430" i="3"/>
  <c r="H430" i="3"/>
  <c r="R430" i="3"/>
  <c r="G106" i="4"/>
  <c r="I106" i="4"/>
  <c r="J106" i="4"/>
  <c r="H106" i="4"/>
  <c r="O107" i="3"/>
  <c r="N107" i="3"/>
  <c r="P107" i="3"/>
  <c r="Q107" i="3"/>
  <c r="AI107" i="3"/>
  <c r="L107" i="4"/>
  <c r="V107" i="3"/>
  <c r="E430" i="4"/>
  <c r="F430" i="4"/>
  <c r="I430" i="3"/>
  <c r="D430" i="4"/>
  <c r="K106" i="4"/>
  <c r="M106" i="4"/>
  <c r="F432" i="3"/>
  <c r="J431" i="3"/>
  <c r="D431" i="3"/>
  <c r="H431" i="3"/>
  <c r="R431" i="3"/>
  <c r="S430" i="3"/>
  <c r="T430" i="3"/>
  <c r="U430" i="3"/>
  <c r="K430" i="3"/>
  <c r="L430" i="3"/>
  <c r="S431" i="3"/>
  <c r="T431" i="3"/>
  <c r="U431" i="3"/>
  <c r="I431" i="3"/>
  <c r="D431" i="4"/>
  <c r="E431" i="4"/>
  <c r="F431" i="4"/>
  <c r="K431" i="3"/>
  <c r="L431" i="3"/>
  <c r="F433" i="3"/>
  <c r="D432" i="3"/>
  <c r="H432" i="3"/>
  <c r="J432" i="3"/>
  <c r="R432" i="3"/>
  <c r="W107" i="3"/>
  <c r="X107" i="3"/>
  <c r="Y107" i="3"/>
  <c r="Z107" i="3"/>
  <c r="AA107" i="3"/>
  <c r="AB107" i="3"/>
  <c r="C107" i="4"/>
  <c r="M108" i="3"/>
  <c r="AC107" i="3"/>
  <c r="AD107" i="3"/>
  <c r="S432" i="3"/>
  <c r="T432" i="3"/>
  <c r="U432" i="3"/>
  <c r="E432" i="4"/>
  <c r="F432" i="4"/>
  <c r="I432" i="3"/>
  <c r="D432" i="4"/>
  <c r="D433" i="3"/>
  <c r="H433" i="3"/>
  <c r="J433" i="3"/>
  <c r="F434" i="3"/>
  <c r="R433" i="3"/>
  <c r="K432" i="3"/>
  <c r="L432" i="3"/>
  <c r="I433" i="3"/>
  <c r="D433" i="4"/>
  <c r="E433" i="4"/>
  <c r="F433" i="4"/>
  <c r="S433" i="3"/>
  <c r="T433" i="3"/>
  <c r="U433" i="3"/>
  <c r="J434" i="3"/>
  <c r="F435" i="3"/>
  <c r="D434" i="3"/>
  <c r="H434" i="3"/>
  <c r="R434" i="3"/>
  <c r="K433" i="3"/>
  <c r="L433" i="3"/>
  <c r="O108" i="3"/>
  <c r="AI108" i="3"/>
  <c r="N108" i="3"/>
  <c r="P108" i="3"/>
  <c r="Q108" i="3"/>
  <c r="G107" i="4"/>
  <c r="I107" i="4"/>
  <c r="J107" i="4"/>
  <c r="H107" i="4"/>
  <c r="L108" i="4"/>
  <c r="V108" i="3"/>
  <c r="M107" i="4"/>
  <c r="K107" i="4"/>
  <c r="F436" i="3"/>
  <c r="R435" i="3"/>
  <c r="D435" i="3"/>
  <c r="H435" i="3"/>
  <c r="J435" i="3"/>
  <c r="E434" i="4"/>
  <c r="F434" i="4"/>
  <c r="I434" i="3"/>
  <c r="D434" i="4"/>
  <c r="S434" i="3"/>
  <c r="T434" i="3"/>
  <c r="U434" i="3"/>
  <c r="K434" i="3"/>
  <c r="L434" i="3"/>
  <c r="I435" i="3"/>
  <c r="D435" i="4"/>
  <c r="E435" i="4"/>
  <c r="F435" i="4"/>
  <c r="S435" i="3"/>
  <c r="T435" i="3"/>
  <c r="U435" i="3"/>
  <c r="W108" i="3"/>
  <c r="X108" i="3"/>
  <c r="Y108" i="3"/>
  <c r="Z108" i="3"/>
  <c r="AA108" i="3"/>
  <c r="AB108" i="3"/>
  <c r="K435" i="3"/>
  <c r="L435" i="3"/>
  <c r="R436" i="3"/>
  <c r="F437" i="3"/>
  <c r="D436" i="3"/>
  <c r="H436" i="3"/>
  <c r="J436" i="3"/>
  <c r="C108" i="4"/>
  <c r="M109" i="3"/>
  <c r="AC108" i="3"/>
  <c r="AD108" i="3"/>
  <c r="E436" i="4"/>
  <c r="F436" i="4"/>
  <c r="I436" i="3"/>
  <c r="D436" i="4"/>
  <c r="S436" i="3"/>
  <c r="T436" i="3"/>
  <c r="U436" i="3"/>
  <c r="F438" i="3"/>
  <c r="J437" i="3"/>
  <c r="R437" i="3"/>
  <c r="D437" i="3"/>
  <c r="H437" i="3"/>
  <c r="K436" i="3"/>
  <c r="L436" i="3"/>
  <c r="K437" i="3"/>
  <c r="L437" i="3"/>
  <c r="R438" i="3"/>
  <c r="J438" i="3"/>
  <c r="D438" i="3"/>
  <c r="H438" i="3"/>
  <c r="F439" i="3"/>
  <c r="I437" i="3"/>
  <c r="D437" i="4"/>
  <c r="E437" i="4"/>
  <c r="F437" i="4"/>
  <c r="AI109" i="3"/>
  <c r="O109" i="3"/>
  <c r="N109" i="3"/>
  <c r="P109" i="3"/>
  <c r="Q109" i="3"/>
  <c r="S437" i="3"/>
  <c r="T437" i="3"/>
  <c r="U437" i="3"/>
  <c r="G108" i="4"/>
  <c r="I108" i="4"/>
  <c r="J108" i="4"/>
  <c r="H108" i="4"/>
  <c r="K108" i="4"/>
  <c r="M108" i="4"/>
  <c r="E438" i="4"/>
  <c r="F438" i="4"/>
  <c r="I438" i="3"/>
  <c r="D438" i="4"/>
  <c r="L109" i="4"/>
  <c r="V109" i="3"/>
  <c r="D439" i="3"/>
  <c r="H439" i="3"/>
  <c r="J439" i="3"/>
  <c r="K439" i="3"/>
  <c r="L439" i="3"/>
  <c r="F440" i="3"/>
  <c r="R439" i="3"/>
  <c r="K438" i="3"/>
  <c r="L438" i="3"/>
  <c r="S438" i="3"/>
  <c r="T438" i="3"/>
  <c r="U438" i="3"/>
  <c r="S439" i="3"/>
  <c r="T439" i="3"/>
  <c r="U439" i="3"/>
  <c r="I439" i="3"/>
  <c r="D439" i="4"/>
  <c r="E439" i="4"/>
  <c r="F439" i="4"/>
  <c r="D440" i="3"/>
  <c r="H440" i="3"/>
  <c r="F441" i="3"/>
  <c r="J440" i="3"/>
  <c r="K440" i="3"/>
  <c r="L440" i="3"/>
  <c r="R440" i="3"/>
  <c r="W109" i="3"/>
  <c r="X109" i="3"/>
  <c r="Y109" i="3"/>
  <c r="Z109" i="3"/>
  <c r="AA109" i="3"/>
  <c r="AB109" i="3"/>
  <c r="AC109" i="3"/>
  <c r="AD109" i="3"/>
  <c r="M110" i="3"/>
  <c r="C109" i="4"/>
  <c r="J441" i="3"/>
  <c r="R441" i="3"/>
  <c r="F442" i="3"/>
  <c r="D441" i="3"/>
  <c r="H441" i="3"/>
  <c r="S440" i="3"/>
  <c r="T440" i="3"/>
  <c r="U440" i="3"/>
  <c r="E440" i="4"/>
  <c r="F440" i="4"/>
  <c r="I440" i="3"/>
  <c r="D440" i="4"/>
  <c r="E441" i="4"/>
  <c r="F441" i="4"/>
  <c r="I441" i="3"/>
  <c r="D441" i="4"/>
  <c r="K441" i="3"/>
  <c r="L441" i="3"/>
  <c r="AI110" i="3"/>
  <c r="N110" i="3"/>
  <c r="P110" i="3"/>
  <c r="Q110" i="3"/>
  <c r="O110" i="3"/>
  <c r="J442" i="3"/>
  <c r="F443" i="3"/>
  <c r="D442" i="3"/>
  <c r="H442" i="3"/>
  <c r="R442" i="3"/>
  <c r="S441" i="3"/>
  <c r="T441" i="3"/>
  <c r="U441" i="3"/>
  <c r="G109" i="4"/>
  <c r="I109" i="4"/>
  <c r="J109" i="4"/>
  <c r="H109" i="4"/>
  <c r="S442" i="3"/>
  <c r="T442" i="3"/>
  <c r="U442" i="3"/>
  <c r="F444" i="3"/>
  <c r="J443" i="3"/>
  <c r="K443" i="3"/>
  <c r="L443" i="3"/>
  <c r="D443" i="3"/>
  <c r="H443" i="3"/>
  <c r="R443" i="3"/>
  <c r="K109" i="4"/>
  <c r="M109" i="4"/>
  <c r="K442" i="3"/>
  <c r="L442" i="3"/>
  <c r="L110" i="4"/>
  <c r="V110" i="3"/>
  <c r="E442" i="4"/>
  <c r="F442" i="4"/>
  <c r="I442" i="3"/>
  <c r="D442" i="4"/>
  <c r="W110" i="3"/>
  <c r="X110" i="3"/>
  <c r="Y110" i="3"/>
  <c r="Z110" i="3"/>
  <c r="AA110" i="3"/>
  <c r="AB110" i="3"/>
  <c r="S443" i="3"/>
  <c r="T443" i="3"/>
  <c r="U443" i="3"/>
  <c r="I443" i="3"/>
  <c r="D443" i="4"/>
  <c r="E443" i="4"/>
  <c r="F443" i="4"/>
  <c r="R444" i="3"/>
  <c r="J444" i="3"/>
  <c r="D444" i="3"/>
  <c r="H444" i="3"/>
  <c r="F445" i="3"/>
  <c r="C110" i="4"/>
  <c r="AC110" i="3"/>
  <c r="AD110" i="3"/>
  <c r="M111" i="3"/>
  <c r="D445" i="3"/>
  <c r="H445" i="3"/>
  <c r="F446" i="3"/>
  <c r="J445" i="3"/>
  <c r="R445" i="3"/>
  <c r="K444" i="3"/>
  <c r="L444" i="3"/>
  <c r="S444" i="3"/>
  <c r="T444" i="3"/>
  <c r="U444" i="3"/>
  <c r="I444" i="3"/>
  <c r="D444" i="4"/>
  <c r="E444" i="4"/>
  <c r="F444" i="4"/>
  <c r="I445" i="3"/>
  <c r="D445" i="4"/>
  <c r="E445" i="4"/>
  <c r="F445" i="4"/>
  <c r="K445" i="3"/>
  <c r="L445" i="3"/>
  <c r="AI111" i="3"/>
  <c r="O111" i="3"/>
  <c r="N111" i="3"/>
  <c r="S445" i="3"/>
  <c r="T445" i="3"/>
  <c r="U445" i="3"/>
  <c r="F447" i="3"/>
  <c r="D446" i="3"/>
  <c r="H446" i="3"/>
  <c r="J446" i="3"/>
  <c r="R446" i="3"/>
  <c r="G110" i="4"/>
  <c r="I110" i="4"/>
  <c r="J110" i="4"/>
  <c r="H110" i="4"/>
  <c r="K110" i="4"/>
  <c r="M110" i="4"/>
  <c r="K446" i="3"/>
  <c r="L446" i="3"/>
  <c r="S446" i="3"/>
  <c r="T446" i="3"/>
  <c r="U446" i="3"/>
  <c r="R447" i="3"/>
  <c r="F448" i="3"/>
  <c r="J447" i="3"/>
  <c r="D447" i="3"/>
  <c r="H447" i="3"/>
  <c r="P111" i="3"/>
  <c r="Q111" i="3"/>
  <c r="I446" i="3"/>
  <c r="D446" i="4"/>
  <c r="E446" i="4"/>
  <c r="F446" i="4"/>
  <c r="L111" i="4"/>
  <c r="V111" i="3"/>
  <c r="J448" i="3"/>
  <c r="D448" i="3"/>
  <c r="H448" i="3"/>
  <c r="R448" i="3"/>
  <c r="F449" i="3"/>
  <c r="I447" i="3"/>
  <c r="D447" i="4"/>
  <c r="E447" i="4"/>
  <c r="F447" i="4"/>
  <c r="K447" i="3"/>
  <c r="L447" i="3"/>
  <c r="S447" i="3"/>
  <c r="T447" i="3"/>
  <c r="U447" i="3"/>
  <c r="F450" i="3"/>
  <c r="J449" i="3"/>
  <c r="R449" i="3"/>
  <c r="D449" i="3"/>
  <c r="H449" i="3"/>
  <c r="E448" i="4"/>
  <c r="F448" i="4"/>
  <c r="I448" i="3"/>
  <c r="D448" i="4"/>
  <c r="S448" i="3"/>
  <c r="T448" i="3"/>
  <c r="U448" i="3"/>
  <c r="K448" i="3"/>
  <c r="L448" i="3"/>
  <c r="W111" i="3"/>
  <c r="X111" i="3"/>
  <c r="Y111" i="3"/>
  <c r="Z111" i="3"/>
  <c r="AA111" i="3"/>
  <c r="AB111" i="3"/>
  <c r="C111" i="4"/>
  <c r="M112" i="3"/>
  <c r="AC111" i="3"/>
  <c r="AD111" i="3"/>
  <c r="E449" i="4"/>
  <c r="F449" i="4"/>
  <c r="I449" i="3"/>
  <c r="D449" i="4"/>
  <c r="K449" i="3"/>
  <c r="L449" i="3"/>
  <c r="S449" i="3"/>
  <c r="T449" i="3"/>
  <c r="U449" i="3"/>
  <c r="R450" i="3"/>
  <c r="F451" i="3"/>
  <c r="J450" i="3"/>
  <c r="D450" i="3"/>
  <c r="H450" i="3"/>
  <c r="E450" i="4"/>
  <c r="F450" i="4"/>
  <c r="I450" i="3"/>
  <c r="D450" i="4"/>
  <c r="S450" i="3"/>
  <c r="T450" i="3"/>
  <c r="U450" i="3"/>
  <c r="K450" i="3"/>
  <c r="L450" i="3"/>
  <c r="D451" i="3"/>
  <c r="H451" i="3"/>
  <c r="R451" i="3"/>
  <c r="J451" i="3"/>
  <c r="K451" i="3"/>
  <c r="L451" i="3"/>
  <c r="F452" i="3"/>
  <c r="N112" i="3"/>
  <c r="AI112" i="3"/>
  <c r="O112" i="3"/>
  <c r="G111" i="4"/>
  <c r="I111" i="4"/>
  <c r="J111" i="4"/>
  <c r="H111" i="4"/>
  <c r="M111" i="4"/>
  <c r="K111" i="4"/>
  <c r="I451" i="3"/>
  <c r="D451" i="4"/>
  <c r="E451" i="4"/>
  <c r="F451" i="4"/>
  <c r="F453" i="3"/>
  <c r="R452" i="3"/>
  <c r="J452" i="3"/>
  <c r="K452" i="3"/>
  <c r="L452" i="3"/>
  <c r="D452" i="3"/>
  <c r="H452" i="3"/>
  <c r="P112" i="3"/>
  <c r="Q112" i="3"/>
  <c r="S451" i="3"/>
  <c r="T451" i="3"/>
  <c r="U451" i="3"/>
  <c r="E452" i="4"/>
  <c r="F452" i="4"/>
  <c r="I452" i="3"/>
  <c r="D452" i="4"/>
  <c r="S452" i="3"/>
  <c r="T452" i="3"/>
  <c r="U452" i="3"/>
  <c r="L112" i="4"/>
  <c r="C27" i="5"/>
  <c r="N27" i="5"/>
  <c r="V112" i="3"/>
  <c r="D453" i="3"/>
  <c r="H453" i="3"/>
  <c r="F454" i="3"/>
  <c r="J453" i="3"/>
  <c r="R453" i="3"/>
  <c r="I453" i="3"/>
  <c r="D453" i="4"/>
  <c r="E453" i="4"/>
  <c r="F453" i="4"/>
  <c r="W112" i="3"/>
  <c r="X112" i="3"/>
  <c r="Y112" i="3"/>
  <c r="Z112" i="3"/>
  <c r="AA112" i="3"/>
  <c r="AB112" i="3"/>
  <c r="S453" i="3"/>
  <c r="T453" i="3"/>
  <c r="U453" i="3"/>
  <c r="J454" i="3"/>
  <c r="F455" i="3"/>
  <c r="D454" i="3"/>
  <c r="H454" i="3"/>
  <c r="R454" i="3"/>
  <c r="K453" i="3"/>
  <c r="L453" i="3"/>
  <c r="I454" i="3"/>
  <c r="D454" i="4"/>
  <c r="E454" i="4"/>
  <c r="F454" i="4"/>
  <c r="M113" i="3"/>
  <c r="C112" i="4"/>
  <c r="AC112" i="3"/>
  <c r="AD112" i="3"/>
  <c r="S454" i="3"/>
  <c r="T454" i="3"/>
  <c r="U454" i="3"/>
  <c r="J455" i="3"/>
  <c r="F456" i="3"/>
  <c r="R455" i="3"/>
  <c r="D455" i="3"/>
  <c r="H455" i="3"/>
  <c r="K454" i="3"/>
  <c r="L454" i="3"/>
  <c r="S455" i="3"/>
  <c r="T455" i="3"/>
  <c r="U455" i="3"/>
  <c r="K455" i="3"/>
  <c r="L455" i="3"/>
  <c r="I455" i="3"/>
  <c r="D455" i="4"/>
  <c r="E455" i="4"/>
  <c r="F455" i="4"/>
  <c r="F457" i="3"/>
  <c r="D456" i="3"/>
  <c r="H456" i="3"/>
  <c r="J456" i="3"/>
  <c r="K456" i="3"/>
  <c r="L456" i="3"/>
  <c r="R456" i="3"/>
  <c r="G112" i="4"/>
  <c r="I112" i="4"/>
  <c r="J112" i="4"/>
  <c r="H112" i="4"/>
  <c r="N113" i="3"/>
  <c r="AI113" i="3"/>
  <c r="O113" i="3"/>
  <c r="M112" i="4"/>
  <c r="K112" i="4"/>
  <c r="E27" i="5"/>
  <c r="D27" i="5"/>
  <c r="P113" i="3"/>
  <c r="Q113" i="3"/>
  <c r="I456" i="3"/>
  <c r="D456" i="4"/>
  <c r="E456" i="4"/>
  <c r="F456" i="4"/>
  <c r="S456" i="3"/>
  <c r="T456" i="3"/>
  <c r="U456" i="3"/>
  <c r="F458" i="3"/>
  <c r="R457" i="3"/>
  <c r="J457" i="3"/>
  <c r="K457" i="3"/>
  <c r="L457" i="3"/>
  <c r="D457" i="3"/>
  <c r="H457" i="3"/>
  <c r="D458" i="3"/>
  <c r="H458" i="3"/>
  <c r="F459" i="3"/>
  <c r="R458" i="3"/>
  <c r="J458" i="3"/>
  <c r="K458" i="3"/>
  <c r="L458" i="3"/>
  <c r="E457" i="4"/>
  <c r="F457" i="4"/>
  <c r="I457" i="3"/>
  <c r="D457" i="4"/>
  <c r="S457" i="3"/>
  <c r="T457" i="3"/>
  <c r="U457" i="3"/>
  <c r="L113" i="4"/>
  <c r="V113" i="3"/>
  <c r="W113" i="3"/>
  <c r="X113" i="3"/>
  <c r="Y113" i="3"/>
  <c r="Z113" i="3"/>
  <c r="AA113" i="3"/>
  <c r="AB113" i="3"/>
  <c r="S458" i="3"/>
  <c r="T458" i="3"/>
  <c r="U458" i="3"/>
  <c r="F460" i="3"/>
  <c r="J459" i="3"/>
  <c r="D459" i="3"/>
  <c r="H459" i="3"/>
  <c r="R459" i="3"/>
  <c r="E458" i="4"/>
  <c r="F458" i="4"/>
  <c r="I458" i="3"/>
  <c r="D458" i="4"/>
  <c r="K459" i="3"/>
  <c r="L459" i="3"/>
  <c r="R460" i="3"/>
  <c r="D460" i="3"/>
  <c r="H460" i="3"/>
  <c r="F461" i="3"/>
  <c r="J460" i="3"/>
  <c r="K460" i="3"/>
  <c r="L460" i="3"/>
  <c r="I459" i="3"/>
  <c r="D459" i="4"/>
  <c r="E459" i="4"/>
  <c r="F459" i="4"/>
  <c r="S459" i="3"/>
  <c r="T459" i="3"/>
  <c r="U459" i="3"/>
  <c r="AC113" i="3"/>
  <c r="AD113" i="3"/>
  <c r="M114" i="3"/>
  <c r="C113" i="4"/>
  <c r="O114" i="3"/>
  <c r="N114" i="3"/>
  <c r="P114" i="3"/>
  <c r="Q114" i="3"/>
  <c r="AI114" i="3"/>
  <c r="S460" i="3"/>
  <c r="T460" i="3"/>
  <c r="U460" i="3"/>
  <c r="D461" i="3"/>
  <c r="H461" i="3"/>
  <c r="J461" i="3"/>
  <c r="K461" i="3"/>
  <c r="L461" i="3"/>
  <c r="F462" i="3"/>
  <c r="R461" i="3"/>
  <c r="G113" i="4"/>
  <c r="I113" i="4"/>
  <c r="J113" i="4"/>
  <c r="H113" i="4"/>
  <c r="E460" i="4"/>
  <c r="F460" i="4"/>
  <c r="I460" i="3"/>
  <c r="D460" i="4"/>
  <c r="I461" i="3"/>
  <c r="D461" i="4"/>
  <c r="E461" i="4"/>
  <c r="F461" i="4"/>
  <c r="L114" i="4"/>
  <c r="V114" i="3"/>
  <c r="K113" i="4"/>
  <c r="M113" i="4"/>
  <c r="S461" i="3"/>
  <c r="T461" i="3"/>
  <c r="U461" i="3"/>
  <c r="R462" i="3"/>
  <c r="J462" i="3"/>
  <c r="K462" i="3"/>
  <c r="L462" i="3"/>
  <c r="F463" i="3"/>
  <c r="D462" i="3"/>
  <c r="H462" i="3"/>
  <c r="J463" i="3"/>
  <c r="R463" i="3"/>
  <c r="F464" i="3"/>
  <c r="D463" i="3"/>
  <c r="H463" i="3"/>
  <c r="S462" i="3"/>
  <c r="T462" i="3"/>
  <c r="U462" i="3"/>
  <c r="I462" i="3"/>
  <c r="D462" i="4"/>
  <c r="E462" i="4"/>
  <c r="F462" i="4"/>
  <c r="W114" i="3"/>
  <c r="X114" i="3"/>
  <c r="Y114" i="3"/>
  <c r="Z114" i="3"/>
  <c r="AA114" i="3"/>
  <c r="AB114" i="3"/>
  <c r="C114" i="4"/>
  <c r="M115" i="3"/>
  <c r="AC114" i="3"/>
  <c r="AD114" i="3"/>
  <c r="S463" i="3"/>
  <c r="T463" i="3"/>
  <c r="U463" i="3"/>
  <c r="I463" i="3"/>
  <c r="D463" i="4"/>
  <c r="E463" i="4"/>
  <c r="F463" i="4"/>
  <c r="D464" i="3"/>
  <c r="H464" i="3"/>
  <c r="F465" i="3"/>
  <c r="R464" i="3"/>
  <c r="J464" i="3"/>
  <c r="K463" i="3"/>
  <c r="L463" i="3"/>
  <c r="S464" i="3"/>
  <c r="T464" i="3"/>
  <c r="U464" i="3"/>
  <c r="I464" i="3"/>
  <c r="D464" i="4"/>
  <c r="E464" i="4"/>
  <c r="F464" i="4"/>
  <c r="R465" i="3"/>
  <c r="F466" i="3"/>
  <c r="D465" i="3"/>
  <c r="H465" i="3"/>
  <c r="J465" i="3"/>
  <c r="N115" i="3"/>
  <c r="AI115" i="3"/>
  <c r="O115" i="3"/>
  <c r="K464" i="3"/>
  <c r="L464" i="3"/>
  <c r="G114" i="4"/>
  <c r="I114" i="4"/>
  <c r="J114" i="4"/>
  <c r="H114" i="4"/>
  <c r="K114" i="4"/>
  <c r="M114" i="4"/>
  <c r="P115" i="3"/>
  <c r="Q115" i="3"/>
  <c r="S465" i="3"/>
  <c r="T465" i="3"/>
  <c r="U465" i="3"/>
  <c r="I465" i="3"/>
  <c r="D465" i="4"/>
  <c r="E465" i="4"/>
  <c r="F465" i="4"/>
  <c r="K465" i="3"/>
  <c r="L465" i="3"/>
  <c r="F467" i="3"/>
  <c r="J466" i="3"/>
  <c r="R466" i="3"/>
  <c r="D466" i="3"/>
  <c r="H466" i="3"/>
  <c r="K466" i="3"/>
  <c r="L466" i="3"/>
  <c r="S466" i="3"/>
  <c r="T466" i="3"/>
  <c r="U466" i="3"/>
  <c r="D467" i="3"/>
  <c r="H467" i="3"/>
  <c r="R467" i="3"/>
  <c r="F468" i="3"/>
  <c r="J467" i="3"/>
  <c r="K467" i="3"/>
  <c r="L467" i="3"/>
  <c r="I466" i="3"/>
  <c r="D466" i="4"/>
  <c r="E466" i="4"/>
  <c r="F466" i="4"/>
  <c r="L115" i="4"/>
  <c r="V115" i="3"/>
  <c r="W115" i="3"/>
  <c r="X115" i="3"/>
  <c r="Y115" i="3"/>
  <c r="Z115" i="3"/>
  <c r="AA115" i="3"/>
  <c r="AB115" i="3"/>
  <c r="S467" i="3"/>
  <c r="T467" i="3"/>
  <c r="U467" i="3"/>
  <c r="D468" i="3"/>
  <c r="H468" i="3"/>
  <c r="J468" i="3"/>
  <c r="R468" i="3"/>
  <c r="F469" i="3"/>
  <c r="E467" i="4"/>
  <c r="F467" i="4"/>
  <c r="I467" i="3"/>
  <c r="D467" i="4"/>
  <c r="S468" i="3"/>
  <c r="T468" i="3"/>
  <c r="U468" i="3"/>
  <c r="F470" i="3"/>
  <c r="R469" i="3"/>
  <c r="D469" i="3"/>
  <c r="H469" i="3"/>
  <c r="J469" i="3"/>
  <c r="K469" i="3"/>
  <c r="L469" i="3"/>
  <c r="K468" i="3"/>
  <c r="L468" i="3"/>
  <c r="AC115" i="3"/>
  <c r="AD115" i="3"/>
  <c r="C115" i="4"/>
  <c r="M116" i="3"/>
  <c r="I468" i="3"/>
  <c r="D468" i="4"/>
  <c r="E468" i="4"/>
  <c r="F468" i="4"/>
  <c r="S469" i="3"/>
  <c r="T469" i="3"/>
  <c r="U469" i="3"/>
  <c r="N116" i="3"/>
  <c r="P116" i="3"/>
  <c r="Q116" i="3"/>
  <c r="O116" i="3"/>
  <c r="AI116" i="3"/>
  <c r="G115" i="4"/>
  <c r="I115" i="4"/>
  <c r="J115" i="4"/>
  <c r="H115" i="4"/>
  <c r="E469" i="4"/>
  <c r="F469" i="4"/>
  <c r="I469" i="3"/>
  <c r="D469" i="4"/>
  <c r="D470" i="3"/>
  <c r="H470" i="3"/>
  <c r="F471" i="3"/>
  <c r="R470" i="3"/>
  <c r="J470" i="3"/>
  <c r="K470" i="3"/>
  <c r="L470" i="3"/>
  <c r="I470" i="3"/>
  <c r="D470" i="4"/>
  <c r="E470" i="4"/>
  <c r="F470" i="4"/>
  <c r="F472" i="3"/>
  <c r="J471" i="3"/>
  <c r="K471" i="3"/>
  <c r="L471" i="3"/>
  <c r="D471" i="3"/>
  <c r="H471" i="3"/>
  <c r="R471" i="3"/>
  <c r="S470" i="3"/>
  <c r="T470" i="3"/>
  <c r="U470" i="3"/>
  <c r="L116" i="4"/>
  <c r="V116" i="3"/>
  <c r="M115" i="4"/>
  <c r="K115" i="4"/>
  <c r="S471" i="3"/>
  <c r="T471" i="3"/>
  <c r="U471" i="3"/>
  <c r="W116" i="3"/>
  <c r="X116" i="3"/>
  <c r="Y116" i="3"/>
  <c r="Z116" i="3"/>
  <c r="AA116" i="3"/>
  <c r="AB116" i="3"/>
  <c r="E471" i="4"/>
  <c r="F471" i="4"/>
  <c r="I471" i="3"/>
  <c r="D471" i="4"/>
  <c r="D472" i="3"/>
  <c r="H472" i="3"/>
  <c r="F473" i="3"/>
  <c r="J472" i="3"/>
  <c r="K472" i="3"/>
  <c r="L472" i="3"/>
  <c r="R472" i="3"/>
  <c r="F474" i="3"/>
  <c r="R473" i="3"/>
  <c r="D473" i="3"/>
  <c r="H473" i="3"/>
  <c r="J473" i="3"/>
  <c r="K473" i="3"/>
  <c r="L473" i="3"/>
  <c r="S472" i="3"/>
  <c r="T472" i="3"/>
  <c r="U472" i="3"/>
  <c r="C116" i="4"/>
  <c r="M117" i="3"/>
  <c r="AC116" i="3"/>
  <c r="AD116" i="3"/>
  <c r="E472" i="4"/>
  <c r="F472" i="4"/>
  <c r="I472" i="3"/>
  <c r="D472" i="4"/>
  <c r="AI117" i="3"/>
  <c r="O117" i="3"/>
  <c r="N117" i="3"/>
  <c r="S473" i="3"/>
  <c r="T473" i="3"/>
  <c r="U473" i="3"/>
  <c r="G116" i="4"/>
  <c r="I116" i="4"/>
  <c r="J116" i="4"/>
  <c r="H116" i="4"/>
  <c r="I473" i="3"/>
  <c r="D473" i="4"/>
  <c r="E473" i="4"/>
  <c r="F473" i="4"/>
  <c r="F475" i="3"/>
  <c r="J474" i="3"/>
  <c r="R474" i="3"/>
  <c r="D474" i="3"/>
  <c r="H474" i="3"/>
  <c r="D475" i="3"/>
  <c r="H475" i="3"/>
  <c r="F476" i="3"/>
  <c r="R475" i="3"/>
  <c r="J475" i="3"/>
  <c r="K475" i="3"/>
  <c r="L475" i="3"/>
  <c r="I474" i="3"/>
  <c r="D474" i="4"/>
  <c r="E474" i="4"/>
  <c r="F474" i="4"/>
  <c r="S474" i="3"/>
  <c r="T474" i="3"/>
  <c r="U474" i="3"/>
  <c r="P117" i="3"/>
  <c r="Q117" i="3"/>
  <c r="K474" i="3"/>
  <c r="L474" i="3"/>
  <c r="K116" i="4"/>
  <c r="M116" i="4"/>
  <c r="L117" i="4"/>
  <c r="V117" i="3"/>
  <c r="S475" i="3"/>
  <c r="T475" i="3"/>
  <c r="U475" i="3"/>
  <c r="J476" i="3"/>
  <c r="F477" i="3"/>
  <c r="R476" i="3"/>
  <c r="D476" i="3"/>
  <c r="H476" i="3"/>
  <c r="E475" i="4"/>
  <c r="F475" i="4"/>
  <c r="I475" i="3"/>
  <c r="D475" i="4"/>
  <c r="I476" i="3"/>
  <c r="D476" i="4"/>
  <c r="E476" i="4"/>
  <c r="F476" i="4"/>
  <c r="K476" i="3"/>
  <c r="L476" i="3"/>
  <c r="J477" i="3"/>
  <c r="F478" i="3"/>
  <c r="R477" i="3"/>
  <c r="D477" i="3"/>
  <c r="H477" i="3"/>
  <c r="W117" i="3"/>
  <c r="X117" i="3"/>
  <c r="Y117" i="3"/>
  <c r="Z117" i="3"/>
  <c r="AA117" i="3"/>
  <c r="AB117" i="3"/>
  <c r="S476" i="3"/>
  <c r="T476" i="3"/>
  <c r="U476" i="3"/>
  <c r="M118" i="3"/>
  <c r="AC117" i="3"/>
  <c r="AD117" i="3"/>
  <c r="C117" i="4"/>
  <c r="I477" i="3"/>
  <c r="D477" i="4"/>
  <c r="E477" i="4"/>
  <c r="F477" i="4"/>
  <c r="K477" i="3"/>
  <c r="L477" i="3"/>
  <c r="S477" i="3"/>
  <c r="T477" i="3"/>
  <c r="U477" i="3"/>
  <c r="D478" i="3"/>
  <c r="H478" i="3"/>
  <c r="R478" i="3"/>
  <c r="F479" i="3"/>
  <c r="J478" i="3"/>
  <c r="K478" i="3"/>
  <c r="L478" i="3"/>
  <c r="I478" i="3"/>
  <c r="D478" i="4"/>
  <c r="E478" i="4"/>
  <c r="F478" i="4"/>
  <c r="S478" i="3"/>
  <c r="T478" i="3"/>
  <c r="U478" i="3"/>
  <c r="G117" i="4"/>
  <c r="I117" i="4"/>
  <c r="J117" i="4"/>
  <c r="H117" i="4"/>
  <c r="N118" i="3"/>
  <c r="P118" i="3"/>
  <c r="Q118" i="3"/>
  <c r="AI118" i="3"/>
  <c r="O118" i="3"/>
  <c r="J479" i="3"/>
  <c r="D479" i="3"/>
  <c r="H479" i="3"/>
  <c r="R479" i="3"/>
  <c r="F480" i="3"/>
  <c r="S479" i="3"/>
  <c r="T479" i="3"/>
  <c r="U479" i="3"/>
  <c r="K479" i="3"/>
  <c r="L479" i="3"/>
  <c r="K117" i="4"/>
  <c r="M117" i="4"/>
  <c r="F481" i="3"/>
  <c r="J480" i="3"/>
  <c r="R480" i="3"/>
  <c r="D480" i="3"/>
  <c r="H480" i="3"/>
  <c r="L118" i="4"/>
  <c r="V118" i="3"/>
  <c r="E479" i="4"/>
  <c r="F479" i="4"/>
  <c r="I479" i="3"/>
  <c r="D479" i="4"/>
  <c r="E480" i="4"/>
  <c r="F480" i="4"/>
  <c r="I480" i="3"/>
  <c r="D480" i="4"/>
  <c r="S480" i="3"/>
  <c r="T480" i="3"/>
  <c r="U480" i="3"/>
  <c r="W118" i="3"/>
  <c r="X118" i="3"/>
  <c r="Y118" i="3"/>
  <c r="Z118" i="3"/>
  <c r="AA118" i="3"/>
  <c r="AB118" i="3"/>
  <c r="K480" i="3"/>
  <c r="L480" i="3"/>
  <c r="D481" i="3"/>
  <c r="H481" i="3"/>
  <c r="J481" i="3"/>
  <c r="K481" i="3"/>
  <c r="L481" i="3"/>
  <c r="F482" i="3"/>
  <c r="R481" i="3"/>
  <c r="M119" i="3"/>
  <c r="C118" i="4"/>
  <c r="AC118" i="3"/>
  <c r="AD118" i="3"/>
  <c r="J482" i="3"/>
  <c r="F483" i="3"/>
  <c r="R482" i="3"/>
  <c r="D482" i="3"/>
  <c r="H482" i="3"/>
  <c r="S481" i="3"/>
  <c r="T481" i="3"/>
  <c r="U481" i="3"/>
  <c r="E481" i="4"/>
  <c r="F481" i="4"/>
  <c r="I481" i="3"/>
  <c r="D481" i="4"/>
  <c r="F484" i="3"/>
  <c r="J483" i="3"/>
  <c r="R483" i="3"/>
  <c r="D483" i="3"/>
  <c r="H483" i="3"/>
  <c r="I482" i="3"/>
  <c r="D482" i="4"/>
  <c r="E482" i="4"/>
  <c r="F482" i="4"/>
  <c r="S482" i="3"/>
  <c r="T482" i="3"/>
  <c r="U482" i="3"/>
  <c r="K482" i="3"/>
  <c r="L482" i="3"/>
  <c r="G118" i="4"/>
  <c r="I118" i="4"/>
  <c r="J118" i="4"/>
  <c r="H118" i="4"/>
  <c r="N119" i="3"/>
  <c r="AI119" i="3"/>
  <c r="O119" i="3"/>
  <c r="M118" i="4"/>
  <c r="K118" i="4"/>
  <c r="P119" i="3"/>
  <c r="Q119" i="3"/>
  <c r="S483" i="3"/>
  <c r="T483" i="3"/>
  <c r="U483" i="3"/>
  <c r="E483" i="4"/>
  <c r="F483" i="4"/>
  <c r="I483" i="3"/>
  <c r="D483" i="4"/>
  <c r="K483" i="3"/>
  <c r="L483" i="3"/>
  <c r="J484" i="3"/>
  <c r="R484" i="3"/>
  <c r="F485" i="3"/>
  <c r="D484" i="3"/>
  <c r="H484" i="3"/>
  <c r="E484" i="4"/>
  <c r="F484" i="4"/>
  <c r="I484" i="3"/>
  <c r="D484" i="4"/>
  <c r="K484" i="3"/>
  <c r="L484" i="3"/>
  <c r="S484" i="3"/>
  <c r="T484" i="3"/>
  <c r="U484" i="3"/>
  <c r="L119" i="4"/>
  <c r="V119" i="3"/>
  <c r="R485" i="3"/>
  <c r="J485" i="3"/>
  <c r="F486" i="3"/>
  <c r="D485" i="3"/>
  <c r="H485" i="3"/>
  <c r="I485" i="3"/>
  <c r="D485" i="4"/>
  <c r="E485" i="4"/>
  <c r="F485" i="4"/>
  <c r="D486" i="3"/>
  <c r="H486" i="3"/>
  <c r="F487" i="3"/>
  <c r="J486" i="3"/>
  <c r="K486" i="3"/>
  <c r="L486" i="3"/>
  <c r="R486" i="3"/>
  <c r="S485" i="3"/>
  <c r="T485" i="3"/>
  <c r="U485" i="3"/>
  <c r="W119" i="3"/>
  <c r="X119" i="3"/>
  <c r="Y119" i="3"/>
  <c r="Z119" i="3"/>
  <c r="AA119" i="3"/>
  <c r="AB119" i="3"/>
  <c r="K485" i="3"/>
  <c r="L485" i="3"/>
  <c r="AC119" i="3"/>
  <c r="AD119" i="3"/>
  <c r="C119" i="4"/>
  <c r="M120" i="3"/>
  <c r="S486" i="3"/>
  <c r="T486" i="3"/>
  <c r="U486" i="3"/>
  <c r="F488" i="3"/>
  <c r="J487" i="3"/>
  <c r="R487" i="3"/>
  <c r="D487" i="3"/>
  <c r="H487" i="3"/>
  <c r="I486" i="3"/>
  <c r="D486" i="4"/>
  <c r="E486" i="4"/>
  <c r="F486" i="4"/>
  <c r="S487" i="3"/>
  <c r="T487" i="3"/>
  <c r="U487" i="3"/>
  <c r="K487" i="3"/>
  <c r="L487" i="3"/>
  <c r="G119" i="4"/>
  <c r="I119" i="4"/>
  <c r="J119" i="4"/>
  <c r="H119" i="4"/>
  <c r="E487" i="4"/>
  <c r="F487" i="4"/>
  <c r="I487" i="3"/>
  <c r="D487" i="4"/>
  <c r="J488" i="3"/>
  <c r="R488" i="3"/>
  <c r="D488" i="3"/>
  <c r="H488" i="3"/>
  <c r="F489" i="3"/>
  <c r="AI120" i="3"/>
  <c r="N120" i="3"/>
  <c r="O120" i="3"/>
  <c r="P120" i="3"/>
  <c r="Q120" i="3"/>
  <c r="K488" i="3"/>
  <c r="L488" i="3"/>
  <c r="R489" i="3"/>
  <c r="J489" i="3"/>
  <c r="D489" i="3"/>
  <c r="H489" i="3"/>
  <c r="F490" i="3"/>
  <c r="S488" i="3"/>
  <c r="T488" i="3"/>
  <c r="U488" i="3"/>
  <c r="I488" i="3"/>
  <c r="D488" i="4"/>
  <c r="E488" i="4"/>
  <c r="F488" i="4"/>
  <c r="M119" i="4"/>
  <c r="K119" i="4"/>
  <c r="D490" i="3"/>
  <c r="H490" i="3"/>
  <c r="J490" i="3"/>
  <c r="K490" i="3"/>
  <c r="L490" i="3"/>
  <c r="F491" i="3"/>
  <c r="R490" i="3"/>
  <c r="S489" i="3"/>
  <c r="T489" i="3"/>
  <c r="U489" i="3"/>
  <c r="I489" i="3"/>
  <c r="D489" i="4"/>
  <c r="E489" i="4"/>
  <c r="F489" i="4"/>
  <c r="K489" i="3"/>
  <c r="L489" i="3"/>
  <c r="L120" i="4"/>
  <c r="V120" i="3"/>
  <c r="S490" i="3"/>
  <c r="T490" i="3"/>
  <c r="U490" i="3"/>
  <c r="W120" i="3"/>
  <c r="X120" i="3"/>
  <c r="Y120" i="3"/>
  <c r="Z120" i="3"/>
  <c r="AA120" i="3"/>
  <c r="AB120" i="3"/>
  <c r="J491" i="3"/>
  <c r="F492" i="3"/>
  <c r="D491" i="3"/>
  <c r="H491" i="3"/>
  <c r="R491" i="3"/>
  <c r="E490" i="4"/>
  <c r="F490" i="4"/>
  <c r="I490" i="3"/>
  <c r="D490" i="4"/>
  <c r="AC120" i="3"/>
  <c r="AD120" i="3"/>
  <c r="C120" i="4"/>
  <c r="M121" i="3"/>
  <c r="R492" i="3"/>
  <c r="D492" i="3"/>
  <c r="H492" i="3"/>
  <c r="J492" i="3"/>
  <c r="F493" i="3"/>
  <c r="K491" i="3"/>
  <c r="L491" i="3"/>
  <c r="S491" i="3"/>
  <c r="T491" i="3"/>
  <c r="U491" i="3"/>
  <c r="E491" i="4"/>
  <c r="F491" i="4"/>
  <c r="I491" i="3"/>
  <c r="D491" i="4"/>
  <c r="R493" i="3"/>
  <c r="D493" i="3"/>
  <c r="H493" i="3"/>
  <c r="J493" i="3"/>
  <c r="F494" i="3"/>
  <c r="K492" i="3"/>
  <c r="L492" i="3"/>
  <c r="S492" i="3"/>
  <c r="T492" i="3"/>
  <c r="U492" i="3"/>
  <c r="N121" i="3"/>
  <c r="P121" i="3"/>
  <c r="Q121" i="3"/>
  <c r="O121" i="3"/>
  <c r="AI121" i="3"/>
  <c r="E492" i="4"/>
  <c r="F492" i="4"/>
  <c r="I492" i="3"/>
  <c r="D492" i="4"/>
  <c r="G120" i="4"/>
  <c r="I120" i="4"/>
  <c r="J120" i="4"/>
  <c r="H120" i="4"/>
  <c r="L121" i="4"/>
  <c r="V121" i="3"/>
  <c r="M120" i="4"/>
  <c r="K120" i="4"/>
  <c r="D494" i="3"/>
  <c r="H494" i="3"/>
  <c r="J494" i="3"/>
  <c r="K494" i="3"/>
  <c r="L494" i="3"/>
  <c r="F495" i="3"/>
  <c r="R494" i="3"/>
  <c r="I493" i="3"/>
  <c r="D493" i="4"/>
  <c r="E493" i="4"/>
  <c r="F493" i="4"/>
  <c r="K493" i="3"/>
  <c r="L493" i="3"/>
  <c r="S493" i="3"/>
  <c r="T493" i="3"/>
  <c r="U493" i="3"/>
  <c r="S494" i="3"/>
  <c r="T494" i="3"/>
  <c r="U494" i="3"/>
  <c r="R495" i="3"/>
  <c r="J495" i="3"/>
  <c r="F496" i="3"/>
  <c r="D495" i="3"/>
  <c r="H495" i="3"/>
  <c r="I494" i="3"/>
  <c r="D494" i="4"/>
  <c r="E494" i="4"/>
  <c r="F494" i="4"/>
  <c r="W121" i="3"/>
  <c r="X121" i="3"/>
  <c r="Y121" i="3"/>
  <c r="Z121" i="3"/>
  <c r="AA121" i="3"/>
  <c r="AB121" i="3"/>
  <c r="C121" i="4"/>
  <c r="AC121" i="3"/>
  <c r="AD121" i="3"/>
  <c r="M122" i="3"/>
  <c r="E495" i="4"/>
  <c r="F495" i="4"/>
  <c r="I495" i="3"/>
  <c r="D495" i="4"/>
  <c r="J496" i="3"/>
  <c r="F497" i="3"/>
  <c r="D496" i="3"/>
  <c r="H496" i="3"/>
  <c r="R496" i="3"/>
  <c r="K495" i="3"/>
  <c r="L495" i="3"/>
  <c r="S495" i="3"/>
  <c r="T495" i="3"/>
  <c r="U495" i="3"/>
  <c r="J497" i="3"/>
  <c r="R497" i="3"/>
  <c r="D497" i="3"/>
  <c r="H497" i="3"/>
  <c r="F498" i="3"/>
  <c r="S496" i="3"/>
  <c r="T496" i="3"/>
  <c r="U496" i="3"/>
  <c r="E496" i="4"/>
  <c r="F496" i="4"/>
  <c r="I496" i="3"/>
  <c r="D496" i="4"/>
  <c r="K496" i="3"/>
  <c r="L496" i="3"/>
  <c r="N122" i="3"/>
  <c r="AI122" i="3"/>
  <c r="O122" i="3"/>
  <c r="G121" i="4"/>
  <c r="I121" i="4"/>
  <c r="J121" i="4"/>
  <c r="H121" i="4"/>
  <c r="P122" i="3"/>
  <c r="Q122" i="3"/>
  <c r="I497" i="3"/>
  <c r="D497" i="4"/>
  <c r="E497" i="4"/>
  <c r="F497" i="4"/>
  <c r="K121" i="4"/>
  <c r="M121" i="4"/>
  <c r="R498" i="3"/>
  <c r="D498" i="3"/>
  <c r="H498" i="3"/>
  <c r="F499" i="3"/>
  <c r="J498" i="3"/>
  <c r="S497" i="3"/>
  <c r="T497" i="3"/>
  <c r="U497" i="3"/>
  <c r="K497" i="3"/>
  <c r="L497" i="3"/>
  <c r="F500" i="3"/>
  <c r="J499" i="3"/>
  <c r="D499" i="3"/>
  <c r="H499" i="3"/>
  <c r="R499" i="3"/>
  <c r="I498" i="3"/>
  <c r="D498" i="4"/>
  <c r="E498" i="4"/>
  <c r="F498" i="4"/>
  <c r="S498" i="3"/>
  <c r="T498" i="3"/>
  <c r="U498" i="3"/>
  <c r="K498" i="3"/>
  <c r="L498" i="3"/>
  <c r="L122" i="4"/>
  <c r="V122" i="3"/>
  <c r="W122" i="3"/>
  <c r="X122" i="3"/>
  <c r="Y122" i="3"/>
  <c r="Z122" i="3"/>
  <c r="AA122" i="3"/>
  <c r="AB122" i="3"/>
  <c r="E499" i="4"/>
  <c r="F499" i="4"/>
  <c r="I499" i="3"/>
  <c r="D499" i="4"/>
  <c r="K499" i="3"/>
  <c r="L499" i="3"/>
  <c r="S499" i="3"/>
  <c r="T499" i="3"/>
  <c r="U499" i="3"/>
  <c r="D500" i="3"/>
  <c r="H500" i="3"/>
  <c r="F501" i="3"/>
  <c r="J500" i="3"/>
  <c r="K500" i="3"/>
  <c r="L500" i="3"/>
  <c r="R500" i="3"/>
  <c r="AC122" i="3"/>
  <c r="AD122" i="3"/>
  <c r="C122" i="4"/>
  <c r="M123" i="3"/>
  <c r="S500" i="3"/>
  <c r="T500" i="3"/>
  <c r="U500" i="3"/>
  <c r="J501" i="3"/>
  <c r="D501" i="3"/>
  <c r="H501" i="3"/>
  <c r="F502" i="3"/>
  <c r="R501" i="3"/>
  <c r="I500" i="3"/>
  <c r="D500" i="4"/>
  <c r="E500" i="4"/>
  <c r="F500" i="4"/>
  <c r="I501" i="3"/>
  <c r="D501" i="4"/>
  <c r="E501" i="4"/>
  <c r="F501" i="4"/>
  <c r="S501" i="3"/>
  <c r="T501" i="3"/>
  <c r="U501" i="3"/>
  <c r="K501" i="3"/>
  <c r="L501" i="3"/>
  <c r="G122" i="4"/>
  <c r="I122" i="4"/>
  <c r="J122" i="4"/>
  <c r="H122" i="4"/>
  <c r="R502" i="3"/>
  <c r="D502" i="3"/>
  <c r="H502" i="3"/>
  <c r="J502" i="3"/>
  <c r="K502" i="3"/>
  <c r="L502" i="3"/>
  <c r="F503" i="3"/>
  <c r="AI123" i="3"/>
  <c r="O123" i="3"/>
  <c r="N123" i="3"/>
  <c r="P123" i="3"/>
  <c r="Q123" i="3"/>
  <c r="S502" i="3"/>
  <c r="T502" i="3"/>
  <c r="U502" i="3"/>
  <c r="E502" i="4"/>
  <c r="F502" i="4"/>
  <c r="I502" i="3"/>
  <c r="D502" i="4"/>
  <c r="M122" i="4"/>
  <c r="K122" i="4"/>
  <c r="L123" i="4"/>
  <c r="V123" i="3"/>
  <c r="J503" i="3"/>
  <c r="R503" i="3"/>
  <c r="D503" i="3"/>
  <c r="H503" i="3"/>
  <c r="F504" i="3"/>
  <c r="I503" i="3"/>
  <c r="D503" i="4"/>
  <c r="E503" i="4"/>
  <c r="F503" i="4"/>
  <c r="S503" i="3"/>
  <c r="T503" i="3"/>
  <c r="U503" i="3"/>
  <c r="W123" i="3"/>
  <c r="X123" i="3"/>
  <c r="Y123" i="3"/>
  <c r="Z123" i="3"/>
  <c r="AA123" i="3"/>
  <c r="AB123" i="3"/>
  <c r="J504" i="3"/>
  <c r="R504" i="3"/>
  <c r="F505" i="3"/>
  <c r="D504" i="3"/>
  <c r="H504" i="3"/>
  <c r="K503" i="3"/>
  <c r="L503" i="3"/>
  <c r="AC123" i="3"/>
  <c r="AD123" i="3"/>
  <c r="M124" i="3"/>
  <c r="C123" i="4"/>
  <c r="E504" i="4"/>
  <c r="F504" i="4"/>
  <c r="I504" i="3"/>
  <c r="D504" i="4"/>
  <c r="J505" i="3"/>
  <c r="R505" i="3"/>
  <c r="F506" i="3"/>
  <c r="D505" i="3"/>
  <c r="H505" i="3"/>
  <c r="K504" i="3"/>
  <c r="L504" i="3"/>
  <c r="S504" i="3"/>
  <c r="T504" i="3"/>
  <c r="U504" i="3"/>
  <c r="D506" i="3"/>
  <c r="H506" i="3"/>
  <c r="F507" i="3"/>
  <c r="J506" i="3"/>
  <c r="R506" i="3"/>
  <c r="S505" i="3"/>
  <c r="T505" i="3"/>
  <c r="U505" i="3"/>
  <c r="I505" i="3"/>
  <c r="D505" i="4"/>
  <c r="E505" i="4"/>
  <c r="F505" i="4"/>
  <c r="K505" i="3"/>
  <c r="L505" i="3"/>
  <c r="G123" i="4"/>
  <c r="I123" i="4"/>
  <c r="J123" i="4"/>
  <c r="H123" i="4"/>
  <c r="O124" i="3"/>
  <c r="AI124" i="3"/>
  <c r="N124" i="3"/>
  <c r="P124" i="3"/>
  <c r="Q124" i="3"/>
  <c r="K123" i="4"/>
  <c r="M123" i="4"/>
  <c r="L124" i="4"/>
  <c r="V124" i="3"/>
  <c r="S506" i="3"/>
  <c r="T506" i="3"/>
  <c r="U506" i="3"/>
  <c r="E506" i="4"/>
  <c r="F506" i="4"/>
  <c r="I506" i="3"/>
  <c r="D506" i="4"/>
  <c r="K506" i="3"/>
  <c r="L506" i="3"/>
  <c r="J507" i="3"/>
  <c r="R507" i="3"/>
  <c r="F508" i="3"/>
  <c r="D507" i="3"/>
  <c r="H507" i="3"/>
  <c r="D508" i="3"/>
  <c r="H508" i="3"/>
  <c r="J508" i="3"/>
  <c r="K508" i="3"/>
  <c r="L508" i="3"/>
  <c r="F509" i="3"/>
  <c r="R508" i="3"/>
  <c r="I507" i="3"/>
  <c r="D507" i="4"/>
  <c r="E507" i="4"/>
  <c r="F507" i="4"/>
  <c r="S507" i="3"/>
  <c r="T507" i="3"/>
  <c r="U507" i="3"/>
  <c r="K507" i="3"/>
  <c r="L507" i="3"/>
  <c r="W124" i="3"/>
  <c r="X124" i="3"/>
  <c r="Y124" i="3"/>
  <c r="Z124" i="3"/>
  <c r="AA124" i="3"/>
  <c r="AB124" i="3"/>
  <c r="AC124" i="3"/>
  <c r="AD124" i="3"/>
  <c r="C124" i="4"/>
  <c r="M125" i="3"/>
  <c r="F510" i="3"/>
  <c r="R509" i="3"/>
  <c r="J509" i="3"/>
  <c r="K509" i="3"/>
  <c r="L509" i="3"/>
  <c r="D509" i="3"/>
  <c r="H509" i="3"/>
  <c r="S508" i="3"/>
  <c r="T508" i="3"/>
  <c r="U508" i="3"/>
  <c r="E508" i="4"/>
  <c r="F508" i="4"/>
  <c r="I508" i="3"/>
  <c r="D508" i="4"/>
  <c r="G124" i="4"/>
  <c r="I124" i="4"/>
  <c r="J124" i="4"/>
  <c r="H124" i="4"/>
  <c r="E509" i="4"/>
  <c r="F509" i="4"/>
  <c r="I509" i="3"/>
  <c r="D509" i="4"/>
  <c r="S509" i="3"/>
  <c r="T509" i="3"/>
  <c r="U509" i="3"/>
  <c r="J510" i="3"/>
  <c r="R510" i="3"/>
  <c r="D510" i="3"/>
  <c r="H510" i="3"/>
  <c r="F511" i="3"/>
  <c r="O125" i="3"/>
  <c r="N125" i="3"/>
  <c r="P125" i="3"/>
  <c r="Q125" i="3"/>
  <c r="AI125" i="3"/>
  <c r="L125" i="4"/>
  <c r="V125" i="3"/>
  <c r="K510" i="3"/>
  <c r="L510" i="3"/>
  <c r="R511" i="3"/>
  <c r="F512" i="3"/>
  <c r="J511" i="3"/>
  <c r="D511" i="3"/>
  <c r="H511" i="3"/>
  <c r="S510" i="3"/>
  <c r="T510" i="3"/>
  <c r="U510" i="3"/>
  <c r="I510" i="3"/>
  <c r="D510" i="4"/>
  <c r="E510" i="4"/>
  <c r="F510" i="4"/>
  <c r="M124" i="4"/>
  <c r="K124" i="4"/>
  <c r="J512" i="3"/>
  <c r="R512" i="3"/>
  <c r="D512" i="3"/>
  <c r="H512" i="3"/>
  <c r="F513" i="3"/>
  <c r="K511" i="3"/>
  <c r="L511" i="3"/>
  <c r="E511" i="4"/>
  <c r="F511" i="4"/>
  <c r="I511" i="3"/>
  <c r="D511" i="4"/>
  <c r="S511" i="3"/>
  <c r="T511" i="3"/>
  <c r="U511" i="3"/>
  <c r="W125" i="3"/>
  <c r="X125" i="3"/>
  <c r="Y125" i="3"/>
  <c r="Z125" i="3"/>
  <c r="AA125" i="3"/>
  <c r="AB125" i="3"/>
  <c r="M126" i="3"/>
  <c r="AC125" i="3"/>
  <c r="AD125" i="3"/>
  <c r="C125" i="4"/>
  <c r="F514" i="3"/>
  <c r="R513" i="3"/>
  <c r="J513" i="3"/>
  <c r="K513" i="3"/>
  <c r="L513" i="3"/>
  <c r="D513" i="3"/>
  <c r="H513" i="3"/>
  <c r="K512" i="3"/>
  <c r="L512" i="3"/>
  <c r="E512" i="4"/>
  <c r="F512" i="4"/>
  <c r="I512" i="3"/>
  <c r="D512" i="4"/>
  <c r="S512" i="3"/>
  <c r="T512" i="3"/>
  <c r="U512" i="3"/>
  <c r="S513" i="3"/>
  <c r="T513" i="3"/>
  <c r="U513" i="3"/>
  <c r="I513" i="3"/>
  <c r="D513" i="4"/>
  <c r="E513" i="4"/>
  <c r="F513" i="4"/>
  <c r="J514" i="3"/>
  <c r="R514" i="3"/>
  <c r="D514" i="3"/>
  <c r="H514" i="3"/>
  <c r="F515" i="3"/>
  <c r="G125" i="4"/>
  <c r="I125" i="4"/>
  <c r="J125" i="4"/>
  <c r="H125" i="4"/>
  <c r="N126" i="3"/>
  <c r="AI126" i="3"/>
  <c r="O126" i="3"/>
  <c r="P126" i="3"/>
  <c r="Q126" i="3"/>
  <c r="S514" i="3"/>
  <c r="T514" i="3"/>
  <c r="U514" i="3"/>
  <c r="I514" i="3"/>
  <c r="D514" i="4"/>
  <c r="E514" i="4"/>
  <c r="F514" i="4"/>
  <c r="M125" i="4"/>
  <c r="K125" i="4"/>
  <c r="K514" i="3"/>
  <c r="L514" i="3"/>
  <c r="D515" i="3"/>
  <c r="H515" i="3"/>
  <c r="R515" i="3"/>
  <c r="F516" i="3"/>
  <c r="J515" i="3"/>
  <c r="K515" i="3"/>
  <c r="L515" i="3"/>
  <c r="I515" i="3"/>
  <c r="D515" i="4"/>
  <c r="E515" i="4"/>
  <c r="F515" i="4"/>
  <c r="S515" i="3"/>
  <c r="T515" i="3"/>
  <c r="U515" i="3"/>
  <c r="F517" i="3"/>
  <c r="R516" i="3"/>
  <c r="D516" i="3"/>
  <c r="H516" i="3"/>
  <c r="J516" i="3"/>
  <c r="K516" i="3"/>
  <c r="L516" i="3"/>
  <c r="L126" i="4"/>
  <c r="V126" i="3"/>
  <c r="W126" i="3"/>
  <c r="X126" i="3"/>
  <c r="Y126" i="3"/>
  <c r="Z126" i="3"/>
  <c r="AA126" i="3"/>
  <c r="AB126" i="3"/>
  <c r="S516" i="3"/>
  <c r="T516" i="3"/>
  <c r="U516" i="3"/>
  <c r="D517" i="3"/>
  <c r="H517" i="3"/>
  <c r="J517" i="3"/>
  <c r="K517" i="3"/>
  <c r="L517" i="3"/>
  <c r="R517" i="3"/>
  <c r="F518" i="3"/>
  <c r="E516" i="4"/>
  <c r="F516" i="4"/>
  <c r="I516" i="3"/>
  <c r="D516" i="4"/>
  <c r="S517" i="3"/>
  <c r="T517" i="3"/>
  <c r="U517" i="3"/>
  <c r="I517" i="3"/>
  <c r="D517" i="4"/>
  <c r="E517" i="4"/>
  <c r="F517" i="4"/>
  <c r="R518" i="3"/>
  <c r="F519" i="3"/>
  <c r="J518" i="3"/>
  <c r="K518" i="3"/>
  <c r="L518" i="3"/>
  <c r="D518" i="3"/>
  <c r="H518" i="3"/>
  <c r="AC126" i="3"/>
  <c r="AD126" i="3"/>
  <c r="C126" i="4"/>
  <c r="M127" i="3"/>
  <c r="G126" i="4"/>
  <c r="I126" i="4"/>
  <c r="J126" i="4"/>
  <c r="H126" i="4"/>
  <c r="O127" i="3"/>
  <c r="N127" i="3"/>
  <c r="P127" i="3"/>
  <c r="Q127" i="3"/>
  <c r="AI127" i="3"/>
  <c r="D519" i="3"/>
  <c r="H519" i="3"/>
  <c r="F520" i="3"/>
  <c r="J519" i="3"/>
  <c r="K519" i="3"/>
  <c r="L519" i="3"/>
  <c r="R519" i="3"/>
  <c r="S518" i="3"/>
  <c r="T518" i="3"/>
  <c r="U518" i="3"/>
  <c r="E518" i="4"/>
  <c r="F518" i="4"/>
  <c r="I518" i="3"/>
  <c r="D518" i="4"/>
  <c r="S519" i="3"/>
  <c r="T519" i="3"/>
  <c r="U519" i="3"/>
  <c r="F521" i="3"/>
  <c r="J520" i="3"/>
  <c r="R520" i="3"/>
  <c r="D520" i="3"/>
  <c r="H520" i="3"/>
  <c r="L127" i="4"/>
  <c r="V127" i="3"/>
  <c r="K126" i="4"/>
  <c r="M126" i="4"/>
  <c r="I519" i="3"/>
  <c r="D519" i="4"/>
  <c r="E519" i="4"/>
  <c r="F519" i="4"/>
  <c r="E520" i="4"/>
  <c r="F520" i="4"/>
  <c r="I520" i="3"/>
  <c r="D520" i="4"/>
  <c r="W127" i="3"/>
  <c r="X127" i="3"/>
  <c r="Y127" i="3"/>
  <c r="Z127" i="3"/>
  <c r="AA127" i="3"/>
  <c r="AB127" i="3"/>
  <c r="K520" i="3"/>
  <c r="L520" i="3"/>
  <c r="S520" i="3"/>
  <c r="T520" i="3"/>
  <c r="U520" i="3"/>
  <c r="D521" i="3"/>
  <c r="H521" i="3"/>
  <c r="F522" i="3"/>
  <c r="J521" i="3"/>
  <c r="R521" i="3"/>
  <c r="I521" i="3"/>
  <c r="D521" i="4"/>
  <c r="E521" i="4"/>
  <c r="F521" i="4"/>
  <c r="K521" i="3"/>
  <c r="L521" i="3"/>
  <c r="S521" i="3"/>
  <c r="T521" i="3"/>
  <c r="U521" i="3"/>
  <c r="J522" i="3"/>
  <c r="R522" i="3"/>
  <c r="D522" i="3"/>
  <c r="H522" i="3"/>
  <c r="F523" i="3"/>
  <c r="AC127" i="3"/>
  <c r="AD127" i="3"/>
  <c r="M128" i="3"/>
  <c r="C127" i="4"/>
  <c r="K522" i="3"/>
  <c r="L522" i="3"/>
  <c r="G127" i="4"/>
  <c r="I127" i="4"/>
  <c r="J127" i="4"/>
  <c r="H127" i="4"/>
  <c r="N128" i="3"/>
  <c r="P128" i="3"/>
  <c r="Q128" i="3"/>
  <c r="O128" i="3"/>
  <c r="AI128" i="3"/>
  <c r="E522" i="4"/>
  <c r="F522" i="4"/>
  <c r="I522" i="3"/>
  <c r="D522" i="4"/>
  <c r="J523" i="3"/>
  <c r="R523" i="3"/>
  <c r="D523" i="3"/>
  <c r="H523" i="3"/>
  <c r="F524" i="3"/>
  <c r="S522" i="3"/>
  <c r="T522" i="3"/>
  <c r="U522" i="3"/>
  <c r="I523" i="3"/>
  <c r="D523" i="4"/>
  <c r="E523" i="4"/>
  <c r="F523" i="4"/>
  <c r="L128" i="4"/>
  <c r="V128" i="3"/>
  <c r="R524" i="3"/>
  <c r="F525" i="3"/>
  <c r="J524" i="3"/>
  <c r="D524" i="3"/>
  <c r="H524" i="3"/>
  <c r="S523" i="3"/>
  <c r="T523" i="3"/>
  <c r="U523" i="3"/>
  <c r="M127" i="4"/>
  <c r="K127" i="4"/>
  <c r="K523" i="3"/>
  <c r="L523" i="3"/>
  <c r="K524" i="3"/>
  <c r="L524" i="3"/>
  <c r="I524" i="3"/>
  <c r="D524" i="4"/>
  <c r="E524" i="4"/>
  <c r="F524" i="4"/>
  <c r="W128" i="3"/>
  <c r="X128" i="3"/>
  <c r="Y128" i="3"/>
  <c r="Z128" i="3"/>
  <c r="AA128" i="3"/>
  <c r="AB128" i="3"/>
  <c r="J525" i="3"/>
  <c r="F526" i="3"/>
  <c r="D525" i="3"/>
  <c r="H525" i="3"/>
  <c r="R525" i="3"/>
  <c r="S524" i="3"/>
  <c r="T524" i="3"/>
  <c r="U524" i="3"/>
  <c r="I525" i="3"/>
  <c r="D525" i="4"/>
  <c r="E525" i="4"/>
  <c r="F525" i="4"/>
  <c r="K525" i="3"/>
  <c r="L525" i="3"/>
  <c r="AC128" i="3"/>
  <c r="AD128" i="3"/>
  <c r="C128" i="4"/>
  <c r="M129" i="3"/>
  <c r="S525" i="3"/>
  <c r="T525" i="3"/>
  <c r="U525" i="3"/>
  <c r="J526" i="3"/>
  <c r="R526" i="3"/>
  <c r="D526" i="3"/>
  <c r="H526" i="3"/>
  <c r="F527" i="3"/>
  <c r="F528" i="3"/>
  <c r="R527" i="3"/>
  <c r="D527" i="3"/>
  <c r="H527" i="3"/>
  <c r="J527" i="3"/>
  <c r="K527" i="3"/>
  <c r="L527" i="3"/>
  <c r="K526" i="3"/>
  <c r="L526" i="3"/>
  <c r="N129" i="3"/>
  <c r="P129" i="3"/>
  <c r="Q129" i="3"/>
  <c r="O129" i="3"/>
  <c r="AI129" i="3"/>
  <c r="E526" i="4"/>
  <c r="F526" i="4"/>
  <c r="I526" i="3"/>
  <c r="D526" i="4"/>
  <c r="S526" i="3"/>
  <c r="T526" i="3"/>
  <c r="U526" i="3"/>
  <c r="G128" i="4"/>
  <c r="I128" i="4"/>
  <c r="J128" i="4"/>
  <c r="H128" i="4"/>
  <c r="M128" i="4"/>
  <c r="K128" i="4"/>
  <c r="L129" i="4"/>
  <c r="V129" i="3"/>
  <c r="S527" i="3"/>
  <c r="T527" i="3"/>
  <c r="U527" i="3"/>
  <c r="E527" i="4"/>
  <c r="F527" i="4"/>
  <c r="I527" i="3"/>
  <c r="D527" i="4"/>
  <c r="J528" i="3"/>
  <c r="D528" i="3"/>
  <c r="H528" i="3"/>
  <c r="F529" i="3"/>
  <c r="R528" i="3"/>
  <c r="S528" i="3"/>
  <c r="T528" i="3"/>
  <c r="U528" i="3"/>
  <c r="K528" i="3"/>
  <c r="L528" i="3"/>
  <c r="W129" i="3"/>
  <c r="X129" i="3"/>
  <c r="Y129" i="3"/>
  <c r="Z129" i="3"/>
  <c r="AA129" i="3"/>
  <c r="AB129" i="3"/>
  <c r="E528" i="4"/>
  <c r="F528" i="4"/>
  <c r="I528" i="3"/>
  <c r="D528" i="4"/>
  <c r="J529" i="3"/>
  <c r="D529" i="3"/>
  <c r="H529" i="3"/>
  <c r="F530" i="3"/>
  <c r="R529" i="3"/>
  <c r="K529" i="3"/>
  <c r="L529" i="3"/>
  <c r="I529" i="3"/>
  <c r="D529" i="4"/>
  <c r="E529" i="4"/>
  <c r="F529" i="4"/>
  <c r="C129" i="4"/>
  <c r="M130" i="3"/>
  <c r="AC129" i="3"/>
  <c r="AD129" i="3"/>
  <c r="F531" i="3"/>
  <c r="J530" i="3"/>
  <c r="R530" i="3"/>
  <c r="D530" i="3"/>
  <c r="H530" i="3"/>
  <c r="S529" i="3"/>
  <c r="T529" i="3"/>
  <c r="U529" i="3"/>
  <c r="K530" i="3"/>
  <c r="L530" i="3"/>
  <c r="R531" i="3"/>
  <c r="D531" i="3"/>
  <c r="H531" i="3"/>
  <c r="J531" i="3"/>
  <c r="K531" i="3"/>
  <c r="L531" i="3"/>
  <c r="F532" i="3"/>
  <c r="I530" i="3"/>
  <c r="D530" i="4"/>
  <c r="E530" i="4"/>
  <c r="F530" i="4"/>
  <c r="S530" i="3"/>
  <c r="T530" i="3"/>
  <c r="U530" i="3"/>
  <c r="O130" i="3"/>
  <c r="AI130" i="3"/>
  <c r="N130" i="3"/>
  <c r="G129" i="4"/>
  <c r="I129" i="4"/>
  <c r="J129" i="4"/>
  <c r="H129" i="4"/>
  <c r="P130" i="3"/>
  <c r="Q130" i="3"/>
  <c r="R532" i="3"/>
  <c r="F533" i="3"/>
  <c r="D532" i="3"/>
  <c r="H532" i="3"/>
  <c r="J532" i="3"/>
  <c r="K532" i="3"/>
  <c r="L532" i="3"/>
  <c r="M129" i="4"/>
  <c r="K129" i="4"/>
  <c r="S531" i="3"/>
  <c r="T531" i="3"/>
  <c r="U531" i="3"/>
  <c r="E531" i="4"/>
  <c r="F531" i="4"/>
  <c r="I531" i="3"/>
  <c r="D531" i="4"/>
  <c r="S532" i="3"/>
  <c r="T532" i="3"/>
  <c r="U532" i="3"/>
  <c r="I532" i="3"/>
  <c r="D532" i="4"/>
  <c r="E532" i="4"/>
  <c r="F532" i="4"/>
  <c r="D533" i="3"/>
  <c r="H533" i="3"/>
  <c r="F534" i="3"/>
  <c r="R533" i="3"/>
  <c r="J533" i="3"/>
  <c r="K533" i="3"/>
  <c r="L533" i="3"/>
  <c r="L130" i="4"/>
  <c r="V130" i="3"/>
  <c r="W130" i="3"/>
  <c r="X130" i="3"/>
  <c r="Y130" i="3"/>
  <c r="Z130" i="3"/>
  <c r="AA130" i="3"/>
  <c r="AB130" i="3"/>
  <c r="J534" i="3"/>
  <c r="F535" i="3"/>
  <c r="D534" i="3"/>
  <c r="H534" i="3"/>
  <c r="R534" i="3"/>
  <c r="E533" i="4"/>
  <c r="F533" i="4"/>
  <c r="I533" i="3"/>
  <c r="D533" i="4"/>
  <c r="S533" i="3"/>
  <c r="T533" i="3"/>
  <c r="U533" i="3"/>
  <c r="C130" i="4"/>
  <c r="AC130" i="3"/>
  <c r="AD130" i="3"/>
  <c r="M131" i="3"/>
  <c r="S534" i="3"/>
  <c r="T534" i="3"/>
  <c r="U534" i="3"/>
  <c r="R535" i="3"/>
  <c r="D535" i="3"/>
  <c r="H535" i="3"/>
  <c r="F536" i="3"/>
  <c r="J535" i="3"/>
  <c r="K535" i="3"/>
  <c r="L535" i="3"/>
  <c r="I534" i="3"/>
  <c r="D534" i="4"/>
  <c r="E534" i="4"/>
  <c r="F534" i="4"/>
  <c r="K534" i="3"/>
  <c r="L534" i="3"/>
  <c r="S535" i="3"/>
  <c r="T535" i="3"/>
  <c r="U535" i="3"/>
  <c r="F537" i="3"/>
  <c r="D536" i="3"/>
  <c r="H536" i="3"/>
  <c r="J536" i="3"/>
  <c r="K536" i="3"/>
  <c r="L536" i="3"/>
  <c r="R536" i="3"/>
  <c r="E535" i="4"/>
  <c r="F535" i="4"/>
  <c r="I535" i="3"/>
  <c r="D535" i="4"/>
  <c r="O131" i="3"/>
  <c r="N131" i="3"/>
  <c r="P131" i="3"/>
  <c r="Q131" i="3"/>
  <c r="AI131" i="3"/>
  <c r="G130" i="4"/>
  <c r="I130" i="4"/>
  <c r="J130" i="4"/>
  <c r="H130" i="4"/>
  <c r="M130" i="4"/>
  <c r="K130" i="4"/>
  <c r="L131" i="4"/>
  <c r="V131" i="3"/>
  <c r="S536" i="3"/>
  <c r="T536" i="3"/>
  <c r="U536" i="3"/>
  <c r="E536" i="4"/>
  <c r="F536" i="4"/>
  <c r="I536" i="3"/>
  <c r="D536" i="4"/>
  <c r="D537" i="3"/>
  <c r="H537" i="3"/>
  <c r="J537" i="3"/>
  <c r="F538" i="3"/>
  <c r="R537" i="3"/>
  <c r="E537" i="4"/>
  <c r="F537" i="4"/>
  <c r="I537" i="3"/>
  <c r="D537" i="4"/>
  <c r="S537" i="3"/>
  <c r="T537" i="3"/>
  <c r="U537" i="3"/>
  <c r="J538" i="3"/>
  <c r="R538" i="3"/>
  <c r="D538" i="3"/>
  <c r="H538" i="3"/>
  <c r="F539" i="3"/>
  <c r="K537" i="3"/>
  <c r="L537" i="3"/>
  <c r="W131" i="3"/>
  <c r="X131" i="3"/>
  <c r="Y131" i="3"/>
  <c r="Z131" i="3"/>
  <c r="AA131" i="3"/>
  <c r="AB131" i="3"/>
  <c r="AC131" i="3"/>
  <c r="AD131" i="3"/>
  <c r="C131" i="4"/>
  <c r="M132" i="3"/>
  <c r="D539" i="3"/>
  <c r="H539" i="3"/>
  <c r="F540" i="3"/>
  <c r="R539" i="3"/>
  <c r="J539" i="3"/>
  <c r="K539" i="3"/>
  <c r="L539" i="3"/>
  <c r="S538" i="3"/>
  <c r="T538" i="3"/>
  <c r="U538" i="3"/>
  <c r="E538" i="4"/>
  <c r="F538" i="4"/>
  <c r="I538" i="3"/>
  <c r="D538" i="4"/>
  <c r="K538" i="3"/>
  <c r="L538" i="3"/>
  <c r="J540" i="3"/>
  <c r="D540" i="3"/>
  <c r="H540" i="3"/>
  <c r="F541" i="3"/>
  <c r="R540" i="3"/>
  <c r="S539" i="3"/>
  <c r="T539" i="3"/>
  <c r="U539" i="3"/>
  <c r="G131" i="4"/>
  <c r="I131" i="4"/>
  <c r="J131" i="4"/>
  <c r="H131" i="4"/>
  <c r="I539" i="3"/>
  <c r="D539" i="4"/>
  <c r="E539" i="4"/>
  <c r="F539" i="4"/>
  <c r="O132" i="3"/>
  <c r="AI132" i="3"/>
  <c r="N132" i="3"/>
  <c r="P132" i="3"/>
  <c r="Q132" i="3"/>
  <c r="L132" i="4"/>
  <c r="V132" i="3"/>
  <c r="M131" i="4"/>
  <c r="K131" i="4"/>
  <c r="F542" i="3"/>
  <c r="D541" i="3"/>
  <c r="H541" i="3"/>
  <c r="R541" i="3"/>
  <c r="J541" i="3"/>
  <c r="E540" i="4"/>
  <c r="F540" i="4"/>
  <c r="I540" i="3"/>
  <c r="D540" i="4"/>
  <c r="S540" i="3"/>
  <c r="T540" i="3"/>
  <c r="U540" i="3"/>
  <c r="K540" i="3"/>
  <c r="L540" i="3"/>
  <c r="S541" i="3"/>
  <c r="T541" i="3"/>
  <c r="U541" i="3"/>
  <c r="I541" i="3"/>
  <c r="D541" i="4"/>
  <c r="E541" i="4"/>
  <c r="F541" i="4"/>
  <c r="W132" i="3"/>
  <c r="X132" i="3"/>
  <c r="Y132" i="3"/>
  <c r="Z132" i="3"/>
  <c r="AA132" i="3"/>
  <c r="AB132" i="3"/>
  <c r="K541" i="3"/>
  <c r="L541" i="3"/>
  <c r="J542" i="3"/>
  <c r="R542" i="3"/>
  <c r="F543" i="3"/>
  <c r="D542" i="3"/>
  <c r="H542" i="3"/>
  <c r="I542" i="3"/>
  <c r="D542" i="4"/>
  <c r="E542" i="4"/>
  <c r="F542" i="4"/>
  <c r="K542" i="3"/>
  <c r="L542" i="3"/>
  <c r="F544" i="3"/>
  <c r="D543" i="3"/>
  <c r="H543" i="3"/>
  <c r="J543" i="3"/>
  <c r="R543" i="3"/>
  <c r="S542" i="3"/>
  <c r="T542" i="3"/>
  <c r="U542" i="3"/>
  <c r="C132" i="4"/>
  <c r="M133" i="3"/>
  <c r="AC132" i="3"/>
  <c r="AD132" i="3"/>
  <c r="S543" i="3"/>
  <c r="T543" i="3"/>
  <c r="U543" i="3"/>
  <c r="R544" i="3"/>
  <c r="D544" i="3"/>
  <c r="H544" i="3"/>
  <c r="J544" i="3"/>
  <c r="F545" i="3"/>
  <c r="G132" i="4"/>
  <c r="I132" i="4"/>
  <c r="J132" i="4"/>
  <c r="H132" i="4"/>
  <c r="K543" i="3"/>
  <c r="L543" i="3"/>
  <c r="O133" i="3"/>
  <c r="N133" i="3"/>
  <c r="P133" i="3"/>
  <c r="Q133" i="3"/>
  <c r="AI133" i="3"/>
  <c r="I543" i="3"/>
  <c r="D543" i="4"/>
  <c r="E543" i="4"/>
  <c r="F543" i="4"/>
  <c r="L133" i="4"/>
  <c r="V133" i="3"/>
  <c r="E544" i="4"/>
  <c r="F544" i="4"/>
  <c r="I544" i="3"/>
  <c r="D544" i="4"/>
  <c r="K132" i="4"/>
  <c r="M132" i="4"/>
  <c r="K544" i="3"/>
  <c r="L544" i="3"/>
  <c r="R545" i="3"/>
  <c r="F546" i="3"/>
  <c r="D545" i="3"/>
  <c r="H545" i="3"/>
  <c r="J545" i="3"/>
  <c r="K545" i="3"/>
  <c r="L545" i="3"/>
  <c r="S544" i="3"/>
  <c r="T544" i="3"/>
  <c r="U544" i="3"/>
  <c r="F547" i="3"/>
  <c r="R546" i="3"/>
  <c r="J546" i="3"/>
  <c r="D546" i="3"/>
  <c r="H546" i="3"/>
  <c r="E545" i="4"/>
  <c r="F545" i="4"/>
  <c r="I545" i="3"/>
  <c r="D545" i="4"/>
  <c r="S545" i="3"/>
  <c r="T545" i="3"/>
  <c r="U545" i="3"/>
  <c r="W133" i="3"/>
  <c r="X133" i="3"/>
  <c r="Y133" i="3"/>
  <c r="Z133" i="3"/>
  <c r="AA133" i="3"/>
  <c r="AB133" i="3"/>
  <c r="M134" i="3"/>
  <c r="C133" i="4"/>
  <c r="AC133" i="3"/>
  <c r="AD133" i="3"/>
  <c r="I546" i="3"/>
  <c r="D546" i="4"/>
  <c r="E546" i="4"/>
  <c r="F546" i="4"/>
  <c r="S546" i="3"/>
  <c r="T546" i="3"/>
  <c r="U546" i="3"/>
  <c r="K546" i="3"/>
  <c r="L546" i="3"/>
  <c r="R547" i="3"/>
  <c r="D547" i="3"/>
  <c r="H547" i="3"/>
  <c r="F548" i="3"/>
  <c r="J547" i="3"/>
  <c r="K547" i="3"/>
  <c r="L547" i="3"/>
  <c r="D548" i="3"/>
  <c r="H548" i="3"/>
  <c r="J548" i="3"/>
  <c r="R548" i="3"/>
  <c r="F549" i="3"/>
  <c r="I547" i="3"/>
  <c r="D547" i="4"/>
  <c r="E547" i="4"/>
  <c r="F547" i="4"/>
  <c r="S547" i="3"/>
  <c r="T547" i="3"/>
  <c r="U547" i="3"/>
  <c r="G133" i="4"/>
  <c r="I133" i="4"/>
  <c r="J133" i="4"/>
  <c r="H133" i="4"/>
  <c r="AI134" i="3"/>
  <c r="N134" i="3"/>
  <c r="P134" i="3"/>
  <c r="Q134" i="3"/>
  <c r="O134" i="3"/>
  <c r="L134" i="4"/>
  <c r="V134" i="3"/>
  <c r="E548" i="4"/>
  <c r="F548" i="4"/>
  <c r="I548" i="3"/>
  <c r="D548" i="4"/>
  <c r="K133" i="4"/>
  <c r="M133" i="4"/>
  <c r="F550" i="3"/>
  <c r="D549" i="3"/>
  <c r="H549" i="3"/>
  <c r="J549" i="3"/>
  <c r="R549" i="3"/>
  <c r="S548" i="3"/>
  <c r="T548" i="3"/>
  <c r="U548" i="3"/>
  <c r="K548" i="3"/>
  <c r="L548" i="3"/>
  <c r="K549" i="3"/>
  <c r="L549" i="3"/>
  <c r="S549" i="3"/>
  <c r="T549" i="3"/>
  <c r="U549" i="3"/>
  <c r="J550" i="3"/>
  <c r="F551" i="3"/>
  <c r="D550" i="3"/>
  <c r="H550" i="3"/>
  <c r="R550" i="3"/>
  <c r="W134" i="3"/>
  <c r="X134" i="3"/>
  <c r="Y134" i="3"/>
  <c r="Z134" i="3"/>
  <c r="AA134" i="3"/>
  <c r="AB134" i="3"/>
  <c r="I549" i="3"/>
  <c r="D549" i="4"/>
  <c r="E549" i="4"/>
  <c r="F549" i="4"/>
  <c r="M135" i="3"/>
  <c r="AC134" i="3"/>
  <c r="AD134" i="3"/>
  <c r="C134" i="4"/>
  <c r="K550" i="3"/>
  <c r="L550" i="3"/>
  <c r="S550" i="3"/>
  <c r="T550" i="3"/>
  <c r="U550" i="3"/>
  <c r="J551" i="3"/>
  <c r="R551" i="3"/>
  <c r="F552" i="3"/>
  <c r="D551" i="3"/>
  <c r="H551" i="3"/>
  <c r="I550" i="3"/>
  <c r="D550" i="4"/>
  <c r="E550" i="4"/>
  <c r="F550" i="4"/>
  <c r="I551" i="3"/>
  <c r="D551" i="4"/>
  <c r="E551" i="4"/>
  <c r="F551" i="4"/>
  <c r="K551" i="3"/>
  <c r="L551" i="3"/>
  <c r="F553" i="3"/>
  <c r="R552" i="3"/>
  <c r="J552" i="3"/>
  <c r="D552" i="3"/>
  <c r="H552" i="3"/>
  <c r="S551" i="3"/>
  <c r="T551" i="3"/>
  <c r="U551" i="3"/>
  <c r="G134" i="4"/>
  <c r="I134" i="4"/>
  <c r="J134" i="4"/>
  <c r="H134" i="4"/>
  <c r="O135" i="3"/>
  <c r="N135" i="3"/>
  <c r="P135" i="3"/>
  <c r="Q135" i="3"/>
  <c r="AI135" i="3"/>
  <c r="L135" i="4"/>
  <c r="V135" i="3"/>
  <c r="S552" i="3"/>
  <c r="T552" i="3"/>
  <c r="U552" i="3"/>
  <c r="M134" i="4"/>
  <c r="K134" i="4"/>
  <c r="E552" i="4"/>
  <c r="F552" i="4"/>
  <c r="I552" i="3"/>
  <c r="D552" i="4"/>
  <c r="R553" i="3"/>
  <c r="J553" i="3"/>
  <c r="F554" i="3"/>
  <c r="D553" i="3"/>
  <c r="H553" i="3"/>
  <c r="K552" i="3"/>
  <c r="L552" i="3"/>
  <c r="S553" i="3"/>
  <c r="T553" i="3"/>
  <c r="U553" i="3"/>
  <c r="I553" i="3"/>
  <c r="D553" i="4"/>
  <c r="E553" i="4"/>
  <c r="F553" i="4"/>
  <c r="K553" i="3"/>
  <c r="L553" i="3"/>
  <c r="J554" i="3"/>
  <c r="K554" i="3"/>
  <c r="L554" i="3"/>
  <c r="F555" i="3"/>
  <c r="D554" i="3"/>
  <c r="H554" i="3"/>
  <c r="R554" i="3"/>
  <c r="W135" i="3"/>
  <c r="X135" i="3"/>
  <c r="Y135" i="3"/>
  <c r="Z135" i="3"/>
  <c r="AA135" i="3"/>
  <c r="AB135" i="3"/>
  <c r="F556" i="3"/>
  <c r="R555" i="3"/>
  <c r="D555" i="3"/>
  <c r="H555" i="3"/>
  <c r="J555" i="3"/>
  <c r="K555" i="3"/>
  <c r="L555" i="3"/>
  <c r="M136" i="3"/>
  <c r="AC135" i="3"/>
  <c r="AD135" i="3"/>
  <c r="C135" i="4"/>
  <c r="E554" i="4"/>
  <c r="F554" i="4"/>
  <c r="I554" i="3"/>
  <c r="D554" i="4"/>
  <c r="S554" i="3"/>
  <c r="T554" i="3"/>
  <c r="U554" i="3"/>
  <c r="G135" i="4"/>
  <c r="I135" i="4"/>
  <c r="J135" i="4"/>
  <c r="H135" i="4"/>
  <c r="S555" i="3"/>
  <c r="T555" i="3"/>
  <c r="U555" i="3"/>
  <c r="O136" i="3"/>
  <c r="AI136" i="3"/>
  <c r="N136" i="3"/>
  <c r="E555" i="4"/>
  <c r="F555" i="4"/>
  <c r="I555" i="3"/>
  <c r="D555" i="4"/>
  <c r="F557" i="3"/>
  <c r="J556" i="3"/>
  <c r="R556" i="3"/>
  <c r="D556" i="3"/>
  <c r="H556" i="3"/>
  <c r="K556" i="3"/>
  <c r="L556" i="3"/>
  <c r="I556" i="3"/>
  <c r="D556" i="4"/>
  <c r="E556" i="4"/>
  <c r="F556" i="4"/>
  <c r="S556" i="3"/>
  <c r="T556" i="3"/>
  <c r="U556" i="3"/>
  <c r="F558" i="3"/>
  <c r="D557" i="3"/>
  <c r="H557" i="3"/>
  <c r="R557" i="3"/>
  <c r="J557" i="3"/>
  <c r="P136" i="3"/>
  <c r="Q136" i="3"/>
  <c r="K135" i="4"/>
  <c r="M135" i="4"/>
  <c r="S557" i="3"/>
  <c r="T557" i="3"/>
  <c r="U557" i="3"/>
  <c r="L136" i="4"/>
  <c r="V136" i="3"/>
  <c r="R558" i="3"/>
  <c r="J558" i="3"/>
  <c r="F559" i="3"/>
  <c r="D558" i="3"/>
  <c r="H558" i="3"/>
  <c r="K557" i="3"/>
  <c r="L557" i="3"/>
  <c r="E557" i="4"/>
  <c r="F557" i="4"/>
  <c r="I557" i="3"/>
  <c r="D557" i="4"/>
  <c r="S558" i="3"/>
  <c r="T558" i="3"/>
  <c r="U558" i="3"/>
  <c r="K558" i="3"/>
  <c r="L558" i="3"/>
  <c r="E558" i="4"/>
  <c r="F558" i="4"/>
  <c r="I558" i="3"/>
  <c r="D558" i="4"/>
  <c r="J559" i="3"/>
  <c r="F560" i="3"/>
  <c r="R559" i="3"/>
  <c r="D559" i="3"/>
  <c r="H559" i="3"/>
  <c r="W136" i="3"/>
  <c r="X136" i="3"/>
  <c r="Y136" i="3"/>
  <c r="Z136" i="3"/>
  <c r="AA136" i="3"/>
  <c r="AB136" i="3"/>
  <c r="M137" i="3"/>
  <c r="AC136" i="3"/>
  <c r="AD136" i="3"/>
  <c r="C136" i="4"/>
  <c r="K559" i="3"/>
  <c r="L559" i="3"/>
  <c r="S559" i="3"/>
  <c r="T559" i="3"/>
  <c r="U559" i="3"/>
  <c r="I559" i="3"/>
  <c r="D559" i="4"/>
  <c r="E559" i="4"/>
  <c r="F559" i="4"/>
  <c r="F561" i="3"/>
  <c r="D560" i="3"/>
  <c r="H560" i="3"/>
  <c r="R560" i="3"/>
  <c r="J560" i="3"/>
  <c r="K560" i="3"/>
  <c r="L560" i="3"/>
  <c r="I560" i="3"/>
  <c r="D560" i="4"/>
  <c r="E560" i="4"/>
  <c r="F560" i="4"/>
  <c r="F562" i="3"/>
  <c r="D561" i="3"/>
  <c r="H561" i="3"/>
  <c r="R561" i="3"/>
  <c r="J561" i="3"/>
  <c r="S560" i="3"/>
  <c r="T560" i="3"/>
  <c r="U560" i="3"/>
  <c r="G136" i="4"/>
  <c r="I136" i="4"/>
  <c r="J136" i="4"/>
  <c r="H136" i="4"/>
  <c r="N137" i="3"/>
  <c r="AI137" i="3"/>
  <c r="O137" i="3"/>
  <c r="P137" i="3"/>
  <c r="Q137" i="3"/>
  <c r="K561" i="3"/>
  <c r="L561" i="3"/>
  <c r="D562" i="3"/>
  <c r="H562" i="3"/>
  <c r="F563" i="3"/>
  <c r="J562" i="3"/>
  <c r="R562" i="3"/>
  <c r="S561" i="3"/>
  <c r="T561" i="3"/>
  <c r="U561" i="3"/>
  <c r="K136" i="4"/>
  <c r="M136" i="4"/>
  <c r="E561" i="4"/>
  <c r="F561" i="4"/>
  <c r="I561" i="3"/>
  <c r="D561" i="4"/>
  <c r="S562" i="3"/>
  <c r="T562" i="3"/>
  <c r="U562" i="3"/>
  <c r="I562" i="3"/>
  <c r="D562" i="4"/>
  <c r="E562" i="4"/>
  <c r="F562" i="4"/>
  <c r="R563" i="3"/>
  <c r="D563" i="3"/>
  <c r="H563" i="3"/>
  <c r="F564" i="3"/>
  <c r="J563" i="3"/>
  <c r="K563" i="3"/>
  <c r="L563" i="3"/>
  <c r="L137" i="4"/>
  <c r="V137" i="3"/>
  <c r="K562" i="3"/>
  <c r="L562" i="3"/>
  <c r="R564" i="3"/>
  <c r="D564" i="3"/>
  <c r="H564" i="3"/>
  <c r="J564" i="3"/>
  <c r="K564" i="3"/>
  <c r="L564" i="3"/>
  <c r="F565" i="3"/>
  <c r="W137" i="3"/>
  <c r="X137" i="3"/>
  <c r="Y137" i="3"/>
  <c r="Z137" i="3"/>
  <c r="AA137" i="3"/>
  <c r="AB137" i="3"/>
  <c r="I563" i="3"/>
  <c r="D563" i="4"/>
  <c r="E563" i="4"/>
  <c r="F563" i="4"/>
  <c r="S563" i="3"/>
  <c r="T563" i="3"/>
  <c r="U563" i="3"/>
  <c r="AC137" i="3"/>
  <c r="AD137" i="3"/>
  <c r="M138" i="3"/>
  <c r="C137" i="4"/>
  <c r="S564" i="3"/>
  <c r="T564" i="3"/>
  <c r="U564" i="3"/>
  <c r="I564" i="3"/>
  <c r="D564" i="4"/>
  <c r="E564" i="4"/>
  <c r="F564" i="4"/>
  <c r="D565" i="3"/>
  <c r="H565" i="3"/>
  <c r="J565" i="3"/>
  <c r="R565" i="3"/>
  <c r="F566" i="3"/>
  <c r="S565" i="3"/>
  <c r="T565" i="3"/>
  <c r="U565" i="3"/>
  <c r="D566" i="3"/>
  <c r="H566" i="3"/>
  <c r="F567" i="3"/>
  <c r="J566" i="3"/>
  <c r="K566" i="3"/>
  <c r="L566" i="3"/>
  <c r="R566" i="3"/>
  <c r="K565" i="3"/>
  <c r="L565" i="3"/>
  <c r="AI138" i="3"/>
  <c r="O138" i="3"/>
  <c r="N138" i="3"/>
  <c r="P138" i="3"/>
  <c r="Q138" i="3"/>
  <c r="E565" i="4"/>
  <c r="F565" i="4"/>
  <c r="I565" i="3"/>
  <c r="D565" i="4"/>
  <c r="G137" i="4"/>
  <c r="I137" i="4"/>
  <c r="J137" i="4"/>
  <c r="H137" i="4"/>
  <c r="L138" i="4"/>
  <c r="V138" i="3"/>
  <c r="S566" i="3"/>
  <c r="T566" i="3"/>
  <c r="U566" i="3"/>
  <c r="K137" i="4"/>
  <c r="M137" i="4"/>
  <c r="D567" i="3"/>
  <c r="H567" i="3"/>
  <c r="F568" i="3"/>
  <c r="J567" i="3"/>
  <c r="K567" i="3"/>
  <c r="L567" i="3"/>
  <c r="R567" i="3"/>
  <c r="E566" i="4"/>
  <c r="F566" i="4"/>
  <c r="I566" i="3"/>
  <c r="D566" i="4"/>
  <c r="S567" i="3"/>
  <c r="T567" i="3"/>
  <c r="U567" i="3"/>
  <c r="J568" i="3"/>
  <c r="R568" i="3"/>
  <c r="D568" i="3"/>
  <c r="H568" i="3"/>
  <c r="F569" i="3"/>
  <c r="I567" i="3"/>
  <c r="D567" i="4"/>
  <c r="E567" i="4"/>
  <c r="F567" i="4"/>
  <c r="W138" i="3"/>
  <c r="X138" i="3"/>
  <c r="Y138" i="3"/>
  <c r="Z138" i="3"/>
  <c r="AA138" i="3"/>
  <c r="AB138" i="3"/>
  <c r="C138" i="4"/>
  <c r="AC138" i="3"/>
  <c r="AD138" i="3"/>
  <c r="M139" i="3"/>
  <c r="D569" i="3"/>
  <c r="H569" i="3"/>
  <c r="R569" i="3"/>
  <c r="F570" i="3"/>
  <c r="J569" i="3"/>
  <c r="K569" i="3"/>
  <c r="L569" i="3"/>
  <c r="S568" i="3"/>
  <c r="T568" i="3"/>
  <c r="U568" i="3"/>
  <c r="I568" i="3"/>
  <c r="D568" i="4"/>
  <c r="E568" i="4"/>
  <c r="F568" i="4"/>
  <c r="K568" i="3"/>
  <c r="L568" i="3"/>
  <c r="R570" i="3"/>
  <c r="J570" i="3"/>
  <c r="K570" i="3"/>
  <c r="L570" i="3"/>
  <c r="F571" i="3"/>
  <c r="D570" i="3"/>
  <c r="H570" i="3"/>
  <c r="S569" i="3"/>
  <c r="T569" i="3"/>
  <c r="U569" i="3"/>
  <c r="I569" i="3"/>
  <c r="D569" i="4"/>
  <c r="E569" i="4"/>
  <c r="F569" i="4"/>
  <c r="AI139" i="3"/>
  <c r="O139" i="3"/>
  <c r="N139" i="3"/>
  <c r="P139" i="3"/>
  <c r="Q139" i="3"/>
  <c r="G138" i="4"/>
  <c r="I138" i="4"/>
  <c r="J138" i="4"/>
  <c r="H138" i="4"/>
  <c r="L139" i="4"/>
  <c r="V139" i="3"/>
  <c r="K138" i="4"/>
  <c r="M138" i="4"/>
  <c r="I570" i="3"/>
  <c r="D570" i="4"/>
  <c r="E570" i="4"/>
  <c r="F570" i="4"/>
  <c r="R571" i="3"/>
  <c r="F572" i="3"/>
  <c r="D571" i="3"/>
  <c r="H571" i="3"/>
  <c r="J571" i="3"/>
  <c r="S570" i="3"/>
  <c r="T570" i="3"/>
  <c r="U570" i="3"/>
  <c r="J572" i="3"/>
  <c r="F573" i="3"/>
  <c r="R572" i="3"/>
  <c r="D572" i="3"/>
  <c r="H572" i="3"/>
  <c r="K571" i="3"/>
  <c r="L571" i="3"/>
  <c r="I571" i="3"/>
  <c r="D571" i="4"/>
  <c r="E571" i="4"/>
  <c r="F571" i="4"/>
  <c r="S571" i="3"/>
  <c r="T571" i="3"/>
  <c r="U571" i="3"/>
  <c r="W139" i="3"/>
  <c r="X139" i="3"/>
  <c r="Y139" i="3"/>
  <c r="Z139" i="3"/>
  <c r="AA139" i="3"/>
  <c r="AB139" i="3"/>
  <c r="AC139" i="3"/>
  <c r="AD139" i="3"/>
  <c r="C139" i="4"/>
  <c r="M140" i="3"/>
  <c r="D573" i="3"/>
  <c r="H573" i="3"/>
  <c r="J573" i="3"/>
  <c r="R573" i="3"/>
  <c r="F574" i="3"/>
  <c r="I572" i="3"/>
  <c r="D572" i="4"/>
  <c r="E572" i="4"/>
  <c r="F572" i="4"/>
  <c r="S572" i="3"/>
  <c r="T572" i="3"/>
  <c r="U572" i="3"/>
  <c r="K572" i="3"/>
  <c r="L572" i="3"/>
  <c r="S573" i="3"/>
  <c r="T573" i="3"/>
  <c r="U573" i="3"/>
  <c r="E573" i="4"/>
  <c r="F573" i="4"/>
  <c r="I573" i="3"/>
  <c r="D573" i="4"/>
  <c r="R574" i="3"/>
  <c r="J574" i="3"/>
  <c r="F575" i="3"/>
  <c r="D574" i="3"/>
  <c r="H574" i="3"/>
  <c r="K573" i="3"/>
  <c r="L573" i="3"/>
  <c r="N140" i="3"/>
  <c r="P140" i="3"/>
  <c r="Q140" i="3"/>
  <c r="O140" i="3"/>
  <c r="AI140" i="3"/>
  <c r="G139" i="4"/>
  <c r="I139" i="4"/>
  <c r="J139" i="4"/>
  <c r="H139" i="4"/>
  <c r="I574" i="3"/>
  <c r="D574" i="4"/>
  <c r="E574" i="4"/>
  <c r="F574" i="4"/>
  <c r="M139" i="4"/>
  <c r="K139" i="4"/>
  <c r="L140" i="4"/>
  <c r="V140" i="3"/>
  <c r="D575" i="3"/>
  <c r="H575" i="3"/>
  <c r="F576" i="3"/>
  <c r="J575" i="3"/>
  <c r="K575" i="3"/>
  <c r="L575" i="3"/>
  <c r="R575" i="3"/>
  <c r="K574" i="3"/>
  <c r="L574" i="3"/>
  <c r="S574" i="3"/>
  <c r="T574" i="3"/>
  <c r="U574" i="3"/>
  <c r="W140" i="3"/>
  <c r="X140" i="3"/>
  <c r="Y140" i="3"/>
  <c r="Z140" i="3"/>
  <c r="AA140" i="3"/>
  <c r="AB140" i="3"/>
  <c r="S575" i="3"/>
  <c r="T575" i="3"/>
  <c r="U575" i="3"/>
  <c r="D576" i="3"/>
  <c r="H576" i="3"/>
  <c r="R576" i="3"/>
  <c r="J576" i="3"/>
  <c r="K576" i="3"/>
  <c r="L576" i="3"/>
  <c r="F577" i="3"/>
  <c r="I575" i="3"/>
  <c r="D575" i="4"/>
  <c r="E575" i="4"/>
  <c r="F575" i="4"/>
  <c r="D577" i="3"/>
  <c r="H577" i="3"/>
  <c r="J577" i="3"/>
  <c r="K577" i="3"/>
  <c r="L577" i="3"/>
  <c r="R577" i="3"/>
  <c r="F578" i="3"/>
  <c r="S576" i="3"/>
  <c r="T576" i="3"/>
  <c r="U576" i="3"/>
  <c r="I576" i="3"/>
  <c r="D576" i="4"/>
  <c r="E576" i="4"/>
  <c r="F576" i="4"/>
  <c r="M141" i="3"/>
  <c r="C140" i="4"/>
  <c r="AC140" i="3"/>
  <c r="AD140" i="3"/>
  <c r="G140" i="4"/>
  <c r="I140" i="4"/>
  <c r="J140" i="4"/>
  <c r="H140" i="4"/>
  <c r="AI141" i="3"/>
  <c r="N141" i="3"/>
  <c r="P141" i="3"/>
  <c r="Q141" i="3"/>
  <c r="O141" i="3"/>
  <c r="J578" i="3"/>
  <c r="R578" i="3"/>
  <c r="F579" i="3"/>
  <c r="D578" i="3"/>
  <c r="H578" i="3"/>
  <c r="S577" i="3"/>
  <c r="T577" i="3"/>
  <c r="U577" i="3"/>
  <c r="I577" i="3"/>
  <c r="D577" i="4"/>
  <c r="E577" i="4"/>
  <c r="F577" i="4"/>
  <c r="S578" i="3"/>
  <c r="T578" i="3"/>
  <c r="U578" i="3"/>
  <c r="L141" i="4"/>
  <c r="V141" i="3"/>
  <c r="E578" i="4"/>
  <c r="F578" i="4"/>
  <c r="I578" i="3"/>
  <c r="D578" i="4"/>
  <c r="K578" i="3"/>
  <c r="L578" i="3"/>
  <c r="R579" i="3"/>
  <c r="F580" i="3"/>
  <c r="J579" i="3"/>
  <c r="K579" i="3"/>
  <c r="L579" i="3"/>
  <c r="D579" i="3"/>
  <c r="H579" i="3"/>
  <c r="K140" i="4"/>
  <c r="M140" i="4"/>
  <c r="J580" i="3"/>
  <c r="R580" i="3"/>
  <c r="D580" i="3"/>
  <c r="H580" i="3"/>
  <c r="F581" i="3"/>
  <c r="I579" i="3"/>
  <c r="D579" i="4"/>
  <c r="E579" i="4"/>
  <c r="F579" i="4"/>
  <c r="S579" i="3"/>
  <c r="T579" i="3"/>
  <c r="U579" i="3"/>
  <c r="W141" i="3"/>
  <c r="X141" i="3"/>
  <c r="Y141" i="3"/>
  <c r="Z141" i="3"/>
  <c r="AA141" i="3"/>
  <c r="AB141" i="3"/>
  <c r="C141" i="4"/>
  <c r="M142" i="3"/>
  <c r="AC141" i="3"/>
  <c r="AD141" i="3"/>
  <c r="D581" i="3"/>
  <c r="H581" i="3"/>
  <c r="R581" i="3"/>
  <c r="J581" i="3"/>
  <c r="K581" i="3"/>
  <c r="L581" i="3"/>
  <c r="F582" i="3"/>
  <c r="S580" i="3"/>
  <c r="T580" i="3"/>
  <c r="U580" i="3"/>
  <c r="I580" i="3"/>
  <c r="D580" i="4"/>
  <c r="E580" i="4"/>
  <c r="F580" i="4"/>
  <c r="K580" i="3"/>
  <c r="L580" i="3"/>
  <c r="F583" i="3"/>
  <c r="D582" i="3"/>
  <c r="H582" i="3"/>
  <c r="J582" i="3"/>
  <c r="R582" i="3"/>
  <c r="S581" i="3"/>
  <c r="T581" i="3"/>
  <c r="U581" i="3"/>
  <c r="I581" i="3"/>
  <c r="D581" i="4"/>
  <c r="E581" i="4"/>
  <c r="F581" i="4"/>
  <c r="O142" i="3"/>
  <c r="AI142" i="3"/>
  <c r="N142" i="3"/>
  <c r="P142" i="3"/>
  <c r="Q142" i="3"/>
  <c r="G141" i="4"/>
  <c r="I141" i="4"/>
  <c r="J141" i="4"/>
  <c r="H141" i="4"/>
  <c r="K141" i="4"/>
  <c r="M141" i="4"/>
  <c r="L142" i="4"/>
  <c r="V142" i="3"/>
  <c r="I582" i="3"/>
  <c r="D582" i="4"/>
  <c r="E582" i="4"/>
  <c r="F582" i="4"/>
  <c r="S582" i="3"/>
  <c r="T582" i="3"/>
  <c r="U582" i="3"/>
  <c r="K582" i="3"/>
  <c r="L582" i="3"/>
  <c r="R583" i="3"/>
  <c r="F584" i="3"/>
  <c r="D583" i="3"/>
  <c r="H583" i="3"/>
  <c r="J583" i="3"/>
  <c r="I583" i="3"/>
  <c r="D583" i="4"/>
  <c r="E583" i="4"/>
  <c r="F583" i="4"/>
  <c r="K583" i="3"/>
  <c r="L583" i="3"/>
  <c r="S583" i="3"/>
  <c r="T583" i="3"/>
  <c r="U583" i="3"/>
  <c r="W142" i="3"/>
  <c r="X142" i="3"/>
  <c r="Y142" i="3"/>
  <c r="Z142" i="3"/>
  <c r="AA142" i="3"/>
  <c r="AB142" i="3"/>
  <c r="J584" i="3"/>
  <c r="D584" i="3"/>
  <c r="H584" i="3"/>
  <c r="F585" i="3"/>
  <c r="R584" i="3"/>
  <c r="C142" i="4"/>
  <c r="AC142" i="3"/>
  <c r="AD142" i="3"/>
  <c r="M143" i="3"/>
  <c r="K584" i="3"/>
  <c r="L584" i="3"/>
  <c r="E584" i="4"/>
  <c r="F584" i="4"/>
  <c r="I584" i="3"/>
  <c r="D584" i="4"/>
  <c r="S584" i="3"/>
  <c r="T584" i="3"/>
  <c r="U584" i="3"/>
  <c r="D585" i="3"/>
  <c r="H585" i="3"/>
  <c r="R585" i="3"/>
  <c r="J585" i="3"/>
  <c r="F586" i="3"/>
  <c r="E585" i="4"/>
  <c r="F585" i="4"/>
  <c r="I585" i="3"/>
  <c r="D585" i="4"/>
  <c r="K585" i="3"/>
  <c r="L585" i="3"/>
  <c r="N143" i="3"/>
  <c r="AI143" i="3"/>
  <c r="O143" i="3"/>
  <c r="S585" i="3"/>
  <c r="T585" i="3"/>
  <c r="U585" i="3"/>
  <c r="F587" i="3"/>
  <c r="J586" i="3"/>
  <c r="R586" i="3"/>
  <c r="D586" i="3"/>
  <c r="H586" i="3"/>
  <c r="G142" i="4"/>
  <c r="I142" i="4"/>
  <c r="J142" i="4"/>
  <c r="H142" i="4"/>
  <c r="K142" i="4"/>
  <c r="M142" i="4"/>
  <c r="S586" i="3"/>
  <c r="T586" i="3"/>
  <c r="U586" i="3"/>
  <c r="K586" i="3"/>
  <c r="L586" i="3"/>
  <c r="P143" i="3"/>
  <c r="Q143" i="3"/>
  <c r="I586" i="3"/>
  <c r="D586" i="4"/>
  <c r="E586" i="4"/>
  <c r="F586" i="4"/>
  <c r="R587" i="3"/>
  <c r="F588" i="3"/>
  <c r="D587" i="3"/>
  <c r="H587" i="3"/>
  <c r="J587" i="3"/>
  <c r="K587" i="3"/>
  <c r="L587" i="3"/>
  <c r="L143" i="4"/>
  <c r="V143" i="3"/>
  <c r="E587" i="4"/>
  <c r="F587" i="4"/>
  <c r="I587" i="3"/>
  <c r="D587" i="4"/>
  <c r="S587" i="3"/>
  <c r="T587" i="3"/>
  <c r="U587" i="3"/>
  <c r="F589" i="3"/>
  <c r="R588" i="3"/>
  <c r="D588" i="3"/>
  <c r="H588" i="3"/>
  <c r="J588" i="3"/>
  <c r="I588" i="3"/>
  <c r="D588" i="4"/>
  <c r="E588" i="4"/>
  <c r="F588" i="4"/>
  <c r="K588" i="3"/>
  <c r="L588" i="3"/>
  <c r="S588" i="3"/>
  <c r="T588" i="3"/>
  <c r="U588" i="3"/>
  <c r="W143" i="3"/>
  <c r="X143" i="3"/>
  <c r="Y143" i="3"/>
  <c r="Z143" i="3"/>
  <c r="AA143" i="3"/>
  <c r="AB143" i="3"/>
  <c r="R589" i="3"/>
  <c r="D589" i="3"/>
  <c r="H589" i="3"/>
  <c r="F590" i="3"/>
  <c r="J589" i="3"/>
  <c r="K589" i="3"/>
  <c r="L589" i="3"/>
  <c r="S589" i="3"/>
  <c r="T589" i="3"/>
  <c r="U589" i="3"/>
  <c r="R590" i="3"/>
  <c r="D590" i="3"/>
  <c r="H590" i="3"/>
  <c r="F591" i="3"/>
  <c r="J590" i="3"/>
  <c r="K590" i="3"/>
  <c r="L590" i="3"/>
  <c r="E589" i="4"/>
  <c r="F589" i="4"/>
  <c r="I589" i="3"/>
  <c r="D589" i="4"/>
  <c r="M144" i="3"/>
  <c r="AC143" i="3"/>
  <c r="AD143" i="3"/>
  <c r="C143" i="4"/>
  <c r="G143" i="4"/>
  <c r="I143" i="4"/>
  <c r="J143" i="4"/>
  <c r="H143" i="4"/>
  <c r="AI144" i="3"/>
  <c r="O144" i="3"/>
  <c r="N144" i="3"/>
  <c r="D591" i="3"/>
  <c r="H591" i="3"/>
  <c r="F592" i="3"/>
  <c r="J591" i="3"/>
  <c r="K591" i="3"/>
  <c r="L591" i="3"/>
  <c r="R591" i="3"/>
  <c r="I590" i="3"/>
  <c r="D590" i="4"/>
  <c r="E590" i="4"/>
  <c r="F590" i="4"/>
  <c r="S590" i="3"/>
  <c r="T590" i="3"/>
  <c r="U590" i="3"/>
  <c r="S591" i="3"/>
  <c r="T591" i="3"/>
  <c r="U591" i="3"/>
  <c r="R592" i="3"/>
  <c r="D592" i="3"/>
  <c r="H592" i="3"/>
  <c r="J592" i="3"/>
  <c r="K592" i="3"/>
  <c r="L592" i="3"/>
  <c r="F593" i="3"/>
  <c r="P144" i="3"/>
  <c r="Q144" i="3"/>
  <c r="I591" i="3"/>
  <c r="D591" i="4"/>
  <c r="E591" i="4"/>
  <c r="F591" i="4"/>
  <c r="K143" i="4"/>
  <c r="M143" i="4"/>
  <c r="F594" i="3"/>
  <c r="J593" i="3"/>
  <c r="D593" i="3"/>
  <c r="H593" i="3"/>
  <c r="R593" i="3"/>
  <c r="S592" i="3"/>
  <c r="T592" i="3"/>
  <c r="U592" i="3"/>
  <c r="L144" i="4"/>
  <c r="V144" i="3"/>
  <c r="E592" i="4"/>
  <c r="F592" i="4"/>
  <c r="I592" i="3"/>
  <c r="D592" i="4"/>
  <c r="I593" i="3"/>
  <c r="D593" i="4"/>
  <c r="E593" i="4"/>
  <c r="F593" i="4"/>
  <c r="W144" i="3"/>
  <c r="X144" i="3"/>
  <c r="Y144" i="3"/>
  <c r="Z144" i="3"/>
  <c r="AA144" i="3"/>
  <c r="AB144" i="3"/>
  <c r="K593" i="3"/>
  <c r="L593" i="3"/>
  <c r="S593" i="3"/>
  <c r="T593" i="3"/>
  <c r="U593" i="3"/>
  <c r="D594" i="3"/>
  <c r="H594" i="3"/>
  <c r="R594" i="3"/>
  <c r="J594" i="3"/>
  <c r="F595" i="3"/>
  <c r="AC144" i="3"/>
  <c r="AD144" i="3"/>
  <c r="M145" i="3"/>
  <c r="C144" i="4"/>
  <c r="R595" i="3"/>
  <c r="D595" i="3"/>
  <c r="H595" i="3"/>
  <c r="J595" i="3"/>
  <c r="F596" i="3"/>
  <c r="K594" i="3"/>
  <c r="L594" i="3"/>
  <c r="S594" i="3"/>
  <c r="T594" i="3"/>
  <c r="U594" i="3"/>
  <c r="E594" i="4"/>
  <c r="F594" i="4"/>
  <c r="I594" i="3"/>
  <c r="D594" i="4"/>
  <c r="E595" i="4"/>
  <c r="F595" i="4"/>
  <c r="I595" i="3"/>
  <c r="D595" i="4"/>
  <c r="D596" i="3"/>
  <c r="H596" i="3"/>
  <c r="R596" i="3"/>
  <c r="F597" i="3"/>
  <c r="J596" i="3"/>
  <c r="K596" i="3"/>
  <c r="L596" i="3"/>
  <c r="S595" i="3"/>
  <c r="T595" i="3"/>
  <c r="U595" i="3"/>
  <c r="N145" i="3"/>
  <c r="O145" i="3"/>
  <c r="AI145" i="3"/>
  <c r="K595" i="3"/>
  <c r="L595" i="3"/>
  <c r="G144" i="4"/>
  <c r="I144" i="4"/>
  <c r="J144" i="4"/>
  <c r="H144" i="4"/>
  <c r="M144" i="4"/>
  <c r="K144" i="4"/>
  <c r="P145" i="3"/>
  <c r="Q145" i="3"/>
  <c r="I596" i="3"/>
  <c r="D596" i="4"/>
  <c r="E596" i="4"/>
  <c r="F596" i="4"/>
  <c r="R597" i="3"/>
  <c r="F598" i="3"/>
  <c r="D597" i="3"/>
  <c r="H597" i="3"/>
  <c r="J597" i="3"/>
  <c r="K597" i="3"/>
  <c r="L597" i="3"/>
  <c r="S596" i="3"/>
  <c r="T596" i="3"/>
  <c r="U596" i="3"/>
  <c r="S597" i="3"/>
  <c r="T597" i="3"/>
  <c r="U597" i="3"/>
  <c r="L145" i="4"/>
  <c r="V145" i="3"/>
  <c r="I597" i="3"/>
  <c r="D597" i="4"/>
  <c r="E597" i="4"/>
  <c r="F597" i="4"/>
  <c r="J598" i="3"/>
  <c r="D598" i="3"/>
  <c r="H598" i="3"/>
  <c r="R598" i="3"/>
  <c r="F599" i="3"/>
  <c r="F600" i="3"/>
  <c r="D599" i="3"/>
  <c r="H599" i="3"/>
  <c r="J599" i="3"/>
  <c r="R599" i="3"/>
  <c r="K598" i="3"/>
  <c r="L598" i="3"/>
  <c r="W145" i="3"/>
  <c r="X145" i="3"/>
  <c r="Y145" i="3"/>
  <c r="Z145" i="3"/>
  <c r="AA145" i="3"/>
  <c r="AB145" i="3"/>
  <c r="I598" i="3"/>
  <c r="D598" i="4"/>
  <c r="E598" i="4"/>
  <c r="F598" i="4"/>
  <c r="S598" i="3"/>
  <c r="T598" i="3"/>
  <c r="U598" i="3"/>
  <c r="M146" i="3"/>
  <c r="C145" i="4"/>
  <c r="AC145" i="3"/>
  <c r="AD145" i="3"/>
  <c r="S599" i="3"/>
  <c r="T599" i="3"/>
  <c r="U599" i="3"/>
  <c r="E599" i="4"/>
  <c r="F599" i="4"/>
  <c r="I599" i="3"/>
  <c r="D599" i="4"/>
  <c r="K599" i="3"/>
  <c r="L599" i="3"/>
  <c r="J600" i="3"/>
  <c r="F601" i="3"/>
  <c r="R600" i="3"/>
  <c r="D600" i="3"/>
  <c r="H600" i="3"/>
  <c r="I600" i="3"/>
  <c r="D600" i="4"/>
  <c r="E600" i="4"/>
  <c r="F600" i="4"/>
  <c r="K600" i="3"/>
  <c r="L600" i="3"/>
  <c r="S600" i="3"/>
  <c r="T600" i="3"/>
  <c r="U600" i="3"/>
  <c r="R601" i="3"/>
  <c r="D601" i="3"/>
  <c r="H601" i="3"/>
  <c r="F602" i="3"/>
  <c r="J601" i="3"/>
  <c r="G145" i="4"/>
  <c r="I145" i="4"/>
  <c r="J145" i="4"/>
  <c r="H145" i="4"/>
  <c r="AI146" i="3"/>
  <c r="N146" i="3"/>
  <c r="O146" i="3"/>
  <c r="P146" i="3"/>
  <c r="Q146" i="3"/>
  <c r="E601" i="4"/>
  <c r="F601" i="4"/>
  <c r="I601" i="3"/>
  <c r="D601" i="4"/>
  <c r="K601" i="3"/>
  <c r="L601" i="3"/>
  <c r="S601" i="3"/>
  <c r="T601" i="3"/>
  <c r="U601" i="3"/>
  <c r="M145" i="4"/>
  <c r="K145" i="4"/>
  <c r="R602" i="3"/>
  <c r="D602" i="3"/>
  <c r="H602" i="3"/>
  <c r="J602" i="3"/>
  <c r="K602" i="3"/>
  <c r="L602" i="3"/>
  <c r="F603" i="3"/>
  <c r="R603" i="3"/>
  <c r="F604" i="3"/>
  <c r="J603" i="3"/>
  <c r="D603" i="3"/>
  <c r="H603" i="3"/>
  <c r="S602" i="3"/>
  <c r="T602" i="3"/>
  <c r="U602" i="3"/>
  <c r="E602" i="4"/>
  <c r="F602" i="4"/>
  <c r="I602" i="3"/>
  <c r="D602" i="4"/>
  <c r="L146" i="4"/>
  <c r="V146" i="3"/>
  <c r="W146" i="3"/>
  <c r="X146" i="3"/>
  <c r="Y146" i="3"/>
  <c r="Z146" i="3"/>
  <c r="AA146" i="3"/>
  <c r="AB146" i="3"/>
  <c r="I603" i="3"/>
  <c r="D603" i="4"/>
  <c r="E603" i="4"/>
  <c r="F603" i="4"/>
  <c r="S603" i="3"/>
  <c r="T603" i="3"/>
  <c r="U603" i="3"/>
  <c r="K603" i="3"/>
  <c r="L603" i="3"/>
  <c r="J604" i="3"/>
  <c r="F605" i="3"/>
  <c r="R604" i="3"/>
  <c r="D604" i="3"/>
  <c r="H604" i="3"/>
  <c r="M147" i="3"/>
  <c r="C146" i="4"/>
  <c r="AC146" i="3"/>
  <c r="AD146" i="3"/>
  <c r="S604" i="3"/>
  <c r="T604" i="3"/>
  <c r="U604" i="3"/>
  <c r="R605" i="3"/>
  <c r="D605" i="3"/>
  <c r="H605" i="3"/>
  <c r="J605" i="3"/>
  <c r="F606" i="3"/>
  <c r="I604" i="3"/>
  <c r="D604" i="4"/>
  <c r="E604" i="4"/>
  <c r="F604" i="4"/>
  <c r="K604" i="3"/>
  <c r="L604" i="3"/>
  <c r="S605" i="3"/>
  <c r="T605" i="3"/>
  <c r="U605" i="3"/>
  <c r="K605" i="3"/>
  <c r="L605" i="3"/>
  <c r="D606" i="3"/>
  <c r="H606" i="3"/>
  <c r="F607" i="3"/>
  <c r="J606" i="3"/>
  <c r="R606" i="3"/>
  <c r="I605" i="3"/>
  <c r="D605" i="4"/>
  <c r="E605" i="4"/>
  <c r="F605" i="4"/>
  <c r="G146" i="4"/>
  <c r="I146" i="4"/>
  <c r="J146" i="4"/>
  <c r="H146" i="4"/>
  <c r="AI147" i="3"/>
  <c r="O147" i="3"/>
  <c r="N147" i="3"/>
  <c r="P147" i="3"/>
  <c r="Q147" i="3"/>
  <c r="L147" i="4"/>
  <c r="V147" i="3"/>
  <c r="E606" i="4"/>
  <c r="F606" i="4"/>
  <c r="I606" i="3"/>
  <c r="D606" i="4"/>
  <c r="D607" i="3"/>
  <c r="H607" i="3"/>
  <c r="R607" i="3"/>
  <c r="J607" i="3"/>
  <c r="K607" i="3"/>
  <c r="L607" i="3"/>
  <c r="F608" i="3"/>
  <c r="K606" i="3"/>
  <c r="L606" i="3"/>
  <c r="K146" i="4"/>
  <c r="M146" i="4"/>
  <c r="S606" i="3"/>
  <c r="T606" i="3"/>
  <c r="U606" i="3"/>
  <c r="F609" i="3"/>
  <c r="R608" i="3"/>
  <c r="J608" i="3"/>
  <c r="K608" i="3"/>
  <c r="L608" i="3"/>
  <c r="D608" i="3"/>
  <c r="H608" i="3"/>
  <c r="S607" i="3"/>
  <c r="T607" i="3"/>
  <c r="U607" i="3"/>
  <c r="E607" i="4"/>
  <c r="F607" i="4"/>
  <c r="I607" i="3"/>
  <c r="D607" i="4"/>
  <c r="W147" i="3"/>
  <c r="X147" i="3"/>
  <c r="Y147" i="3"/>
  <c r="Z147" i="3"/>
  <c r="AA147" i="3"/>
  <c r="AB147" i="3"/>
  <c r="M148" i="3"/>
  <c r="C147" i="4"/>
  <c r="AC147" i="3"/>
  <c r="AD147" i="3"/>
  <c r="S608" i="3"/>
  <c r="T608" i="3"/>
  <c r="U608" i="3"/>
  <c r="E608" i="4"/>
  <c r="F608" i="4"/>
  <c r="I608" i="3"/>
  <c r="D608" i="4"/>
  <c r="R609" i="3"/>
  <c r="F610" i="3"/>
  <c r="J609" i="3"/>
  <c r="D609" i="3"/>
  <c r="H609" i="3"/>
  <c r="K609" i="3"/>
  <c r="L609" i="3"/>
  <c r="F611" i="3"/>
  <c r="D610" i="3"/>
  <c r="H610" i="3"/>
  <c r="R610" i="3"/>
  <c r="J610" i="3"/>
  <c r="G147" i="4"/>
  <c r="I147" i="4"/>
  <c r="J147" i="4"/>
  <c r="H147" i="4"/>
  <c r="I609" i="3"/>
  <c r="D609" i="4"/>
  <c r="E609" i="4"/>
  <c r="F609" i="4"/>
  <c r="S609" i="3"/>
  <c r="T609" i="3"/>
  <c r="U609" i="3"/>
  <c r="AI148" i="3"/>
  <c r="N148" i="3"/>
  <c r="O148" i="3"/>
  <c r="P148" i="3"/>
  <c r="Q148" i="3"/>
  <c r="K610" i="3"/>
  <c r="L610" i="3"/>
  <c r="I610" i="3"/>
  <c r="D610" i="4"/>
  <c r="E610" i="4"/>
  <c r="F610" i="4"/>
  <c r="K147" i="4"/>
  <c r="M147" i="4"/>
  <c r="S610" i="3"/>
  <c r="T610" i="3"/>
  <c r="U610" i="3"/>
  <c r="J611" i="3"/>
  <c r="F612" i="3"/>
  <c r="R611" i="3"/>
  <c r="D611" i="3"/>
  <c r="H611" i="3"/>
  <c r="E611" i="4"/>
  <c r="F611" i="4"/>
  <c r="I611" i="3"/>
  <c r="D611" i="4"/>
  <c r="K611" i="3"/>
  <c r="L611" i="3"/>
  <c r="S611" i="3"/>
  <c r="T611" i="3"/>
  <c r="U611" i="3"/>
  <c r="J612" i="3"/>
  <c r="D612" i="3"/>
  <c r="H612" i="3"/>
  <c r="F613" i="3"/>
  <c r="R612" i="3"/>
  <c r="L148" i="4"/>
  <c r="V148" i="3"/>
  <c r="S612" i="3"/>
  <c r="T612" i="3"/>
  <c r="U612" i="3"/>
  <c r="W148" i="3"/>
  <c r="X148" i="3"/>
  <c r="Y148" i="3"/>
  <c r="Z148" i="3"/>
  <c r="AA148" i="3"/>
  <c r="AB148" i="3"/>
  <c r="F614" i="3"/>
  <c r="R613" i="3"/>
  <c r="D613" i="3"/>
  <c r="H613" i="3"/>
  <c r="J613" i="3"/>
  <c r="K613" i="3"/>
  <c r="L613" i="3"/>
  <c r="K612" i="3"/>
  <c r="L612" i="3"/>
  <c r="E612" i="4"/>
  <c r="F612" i="4"/>
  <c r="I612" i="3"/>
  <c r="D612" i="4"/>
  <c r="AC148" i="3"/>
  <c r="AD148" i="3"/>
  <c r="M149" i="3"/>
  <c r="C148" i="4"/>
  <c r="S613" i="3"/>
  <c r="T613" i="3"/>
  <c r="U613" i="3"/>
  <c r="I613" i="3"/>
  <c r="D613" i="4"/>
  <c r="E613" i="4"/>
  <c r="F613" i="4"/>
  <c r="D614" i="3"/>
  <c r="H614" i="3"/>
  <c r="F615" i="3"/>
  <c r="J614" i="3"/>
  <c r="R614" i="3"/>
  <c r="E614" i="4"/>
  <c r="F614" i="4"/>
  <c r="I614" i="3"/>
  <c r="D614" i="4"/>
  <c r="F616" i="3"/>
  <c r="R615" i="3"/>
  <c r="J615" i="3"/>
  <c r="D615" i="3"/>
  <c r="H615" i="3"/>
  <c r="K614" i="3"/>
  <c r="L614" i="3"/>
  <c r="S614" i="3"/>
  <c r="T614" i="3"/>
  <c r="U614" i="3"/>
  <c r="G148" i="4"/>
  <c r="I148" i="4"/>
  <c r="J148" i="4"/>
  <c r="H148" i="4"/>
  <c r="O149" i="3"/>
  <c r="AI149" i="3"/>
  <c r="N149" i="3"/>
  <c r="P149" i="3"/>
  <c r="Q149" i="3"/>
  <c r="L149" i="4"/>
  <c r="V149" i="3"/>
  <c r="E615" i="4"/>
  <c r="F615" i="4"/>
  <c r="I615" i="3"/>
  <c r="D615" i="4"/>
  <c r="R616" i="3"/>
  <c r="J616" i="3"/>
  <c r="D616" i="3"/>
  <c r="H616" i="3"/>
  <c r="F617" i="3"/>
  <c r="K148" i="4"/>
  <c r="M148" i="4"/>
  <c r="K615" i="3"/>
  <c r="L615" i="3"/>
  <c r="S615" i="3"/>
  <c r="T615" i="3"/>
  <c r="U615" i="3"/>
  <c r="D617" i="3"/>
  <c r="H617" i="3"/>
  <c r="R617" i="3"/>
  <c r="F618" i="3"/>
  <c r="J617" i="3"/>
  <c r="K617" i="3"/>
  <c r="L617" i="3"/>
  <c r="K616" i="3"/>
  <c r="L616" i="3"/>
  <c r="E616" i="4"/>
  <c r="F616" i="4"/>
  <c r="I616" i="3"/>
  <c r="D616" i="4"/>
  <c r="S616" i="3"/>
  <c r="T616" i="3"/>
  <c r="U616" i="3"/>
  <c r="W149" i="3"/>
  <c r="X149" i="3"/>
  <c r="Y149" i="3"/>
  <c r="Z149" i="3"/>
  <c r="AA149" i="3"/>
  <c r="AB149" i="3"/>
  <c r="C149" i="4"/>
  <c r="AC149" i="3"/>
  <c r="AD149" i="3"/>
  <c r="M150" i="3"/>
  <c r="J618" i="3"/>
  <c r="R618" i="3"/>
  <c r="D618" i="3"/>
  <c r="H618" i="3"/>
  <c r="F619" i="3"/>
  <c r="S617" i="3"/>
  <c r="T617" i="3"/>
  <c r="U617" i="3"/>
  <c r="I617" i="3"/>
  <c r="D617" i="4"/>
  <c r="E617" i="4"/>
  <c r="F617" i="4"/>
  <c r="E618" i="4"/>
  <c r="F618" i="4"/>
  <c r="I618" i="3"/>
  <c r="D618" i="4"/>
  <c r="S618" i="3"/>
  <c r="T618" i="3"/>
  <c r="U618" i="3"/>
  <c r="D619" i="3"/>
  <c r="H619" i="3"/>
  <c r="R619" i="3"/>
  <c r="F620" i="3"/>
  <c r="J619" i="3"/>
  <c r="K619" i="3"/>
  <c r="L619" i="3"/>
  <c r="AI150" i="3"/>
  <c r="O150" i="3"/>
  <c r="N150" i="3"/>
  <c r="P150" i="3"/>
  <c r="Q150" i="3"/>
  <c r="K618" i="3"/>
  <c r="L618" i="3"/>
  <c r="G149" i="4"/>
  <c r="I149" i="4"/>
  <c r="J149" i="4"/>
  <c r="H149" i="4"/>
  <c r="L150" i="4"/>
  <c r="V150" i="3"/>
  <c r="S619" i="3"/>
  <c r="T619" i="3"/>
  <c r="U619" i="3"/>
  <c r="M149" i="4"/>
  <c r="K149" i="4"/>
  <c r="E619" i="4"/>
  <c r="F619" i="4"/>
  <c r="I619" i="3"/>
  <c r="D619" i="4"/>
  <c r="F621" i="3"/>
  <c r="J620" i="3"/>
  <c r="R620" i="3"/>
  <c r="D620" i="3"/>
  <c r="H620" i="3"/>
  <c r="S620" i="3"/>
  <c r="T620" i="3"/>
  <c r="U620" i="3"/>
  <c r="K620" i="3"/>
  <c r="L620" i="3"/>
  <c r="I620" i="3"/>
  <c r="D620" i="4"/>
  <c r="E620" i="4"/>
  <c r="F620" i="4"/>
  <c r="W150" i="3"/>
  <c r="X150" i="3"/>
  <c r="Y150" i="3"/>
  <c r="Z150" i="3"/>
  <c r="AA150" i="3"/>
  <c r="AB150" i="3"/>
  <c r="R621" i="3"/>
  <c r="D621" i="3"/>
  <c r="H621" i="3"/>
  <c r="J621" i="3"/>
  <c r="F622" i="3"/>
  <c r="R622" i="3"/>
  <c r="F623" i="3"/>
  <c r="J622" i="3"/>
  <c r="D622" i="3"/>
  <c r="H622" i="3"/>
  <c r="E621" i="4"/>
  <c r="F621" i="4"/>
  <c r="I621" i="3"/>
  <c r="D621" i="4"/>
  <c r="K621" i="3"/>
  <c r="L621" i="3"/>
  <c r="S621" i="3"/>
  <c r="T621" i="3"/>
  <c r="U621" i="3"/>
  <c r="AC150" i="3"/>
  <c r="AD150" i="3"/>
  <c r="M151" i="3"/>
  <c r="C150" i="4"/>
  <c r="I622" i="3"/>
  <c r="D622" i="4"/>
  <c r="E622" i="4"/>
  <c r="F622" i="4"/>
  <c r="G150" i="4"/>
  <c r="I150" i="4"/>
  <c r="J150" i="4"/>
  <c r="H150" i="4"/>
  <c r="AI151" i="3"/>
  <c r="N151" i="3"/>
  <c r="O151" i="3"/>
  <c r="K622" i="3"/>
  <c r="L622" i="3"/>
  <c r="R623" i="3"/>
  <c r="J623" i="3"/>
  <c r="K623" i="3"/>
  <c r="L623" i="3"/>
  <c r="D623" i="3"/>
  <c r="H623" i="3"/>
  <c r="F624" i="3"/>
  <c r="S622" i="3"/>
  <c r="T622" i="3"/>
  <c r="U622" i="3"/>
  <c r="P151" i="3"/>
  <c r="Q151" i="3"/>
  <c r="S623" i="3"/>
  <c r="T623" i="3"/>
  <c r="U623" i="3"/>
  <c r="I623" i="3"/>
  <c r="D623" i="4"/>
  <c r="E623" i="4"/>
  <c r="F623" i="4"/>
  <c r="J624" i="3"/>
  <c r="K624" i="3"/>
  <c r="L624" i="3"/>
  <c r="D624" i="3"/>
  <c r="H624" i="3"/>
  <c r="F625" i="3"/>
  <c r="R624" i="3"/>
  <c r="K150" i="4"/>
  <c r="M150" i="4"/>
  <c r="S624" i="3"/>
  <c r="T624" i="3"/>
  <c r="U624" i="3"/>
  <c r="J625" i="3"/>
  <c r="R625" i="3"/>
  <c r="F626" i="3"/>
  <c r="D625" i="3"/>
  <c r="H625" i="3"/>
  <c r="E624" i="4"/>
  <c r="F624" i="4"/>
  <c r="I624" i="3"/>
  <c r="D624" i="4"/>
  <c r="L151" i="4"/>
  <c r="V151" i="3"/>
  <c r="W151" i="3"/>
  <c r="X151" i="3"/>
  <c r="Y151" i="3"/>
  <c r="Z151" i="3"/>
  <c r="AA151" i="3"/>
  <c r="AB151" i="3"/>
  <c r="K625" i="3"/>
  <c r="L625" i="3"/>
  <c r="R626" i="3"/>
  <c r="D626" i="3"/>
  <c r="H626" i="3"/>
  <c r="F627" i="3"/>
  <c r="J626" i="3"/>
  <c r="K626" i="3"/>
  <c r="L626" i="3"/>
  <c r="I625" i="3"/>
  <c r="D625" i="4"/>
  <c r="E625" i="4"/>
  <c r="F625" i="4"/>
  <c r="S625" i="3"/>
  <c r="T625" i="3"/>
  <c r="U625" i="3"/>
  <c r="AC151" i="3"/>
  <c r="AD151" i="3"/>
  <c r="C151" i="4"/>
  <c r="M152" i="3"/>
  <c r="E626" i="4"/>
  <c r="F626" i="4"/>
  <c r="I626" i="3"/>
  <c r="D626" i="4"/>
  <c r="J627" i="3"/>
  <c r="D627" i="3"/>
  <c r="H627" i="3"/>
  <c r="F628" i="3"/>
  <c r="R627" i="3"/>
  <c r="S626" i="3"/>
  <c r="T626" i="3"/>
  <c r="U626" i="3"/>
  <c r="F629" i="3"/>
  <c r="J628" i="3"/>
  <c r="K628" i="3"/>
  <c r="L628" i="3"/>
  <c r="D628" i="3"/>
  <c r="H628" i="3"/>
  <c r="R628" i="3"/>
  <c r="S627" i="3"/>
  <c r="T627" i="3"/>
  <c r="U627" i="3"/>
  <c r="G151" i="4"/>
  <c r="I151" i="4"/>
  <c r="J151" i="4"/>
  <c r="H151" i="4"/>
  <c r="I627" i="3"/>
  <c r="D627" i="4"/>
  <c r="E627" i="4"/>
  <c r="F627" i="4"/>
  <c r="K627" i="3"/>
  <c r="L627" i="3"/>
  <c r="AI152" i="3"/>
  <c r="N152" i="3"/>
  <c r="P152" i="3"/>
  <c r="Q152" i="3"/>
  <c r="O152" i="3"/>
  <c r="L152" i="4"/>
  <c r="V152" i="3"/>
  <c r="K151" i="4"/>
  <c r="M151" i="4"/>
  <c r="S628" i="3"/>
  <c r="T628" i="3"/>
  <c r="U628" i="3"/>
  <c r="E628" i="4"/>
  <c r="F628" i="4"/>
  <c r="I628" i="3"/>
  <c r="D628" i="4"/>
  <c r="D629" i="3"/>
  <c r="H629" i="3"/>
  <c r="J629" i="3"/>
  <c r="K629" i="3"/>
  <c r="L629" i="3"/>
  <c r="R629" i="3"/>
  <c r="F630" i="3"/>
  <c r="F631" i="3"/>
  <c r="D630" i="3"/>
  <c r="H630" i="3"/>
  <c r="J630" i="3"/>
  <c r="R630" i="3"/>
  <c r="S629" i="3"/>
  <c r="T629" i="3"/>
  <c r="U629" i="3"/>
  <c r="E629" i="4"/>
  <c r="F629" i="4"/>
  <c r="I629" i="3"/>
  <c r="D629" i="4"/>
  <c r="W152" i="3"/>
  <c r="X152" i="3"/>
  <c r="Y152" i="3"/>
  <c r="Z152" i="3"/>
  <c r="AA152" i="3"/>
  <c r="AB152" i="3"/>
  <c r="C152" i="4"/>
  <c r="AC152" i="3"/>
  <c r="AD152" i="3"/>
  <c r="M153" i="3"/>
  <c r="S630" i="3"/>
  <c r="T630" i="3"/>
  <c r="U630" i="3"/>
  <c r="E630" i="4"/>
  <c r="F630" i="4"/>
  <c r="I630" i="3"/>
  <c r="D630" i="4"/>
  <c r="K630" i="3"/>
  <c r="L630" i="3"/>
  <c r="R631" i="3"/>
  <c r="D631" i="3"/>
  <c r="H631" i="3"/>
  <c r="F632" i="3"/>
  <c r="J631" i="3"/>
  <c r="K631" i="3"/>
  <c r="L631" i="3"/>
  <c r="D632" i="3"/>
  <c r="H632" i="3"/>
  <c r="F633" i="3"/>
  <c r="J632" i="3"/>
  <c r="K632" i="3"/>
  <c r="L632" i="3"/>
  <c r="R632" i="3"/>
  <c r="O153" i="3"/>
  <c r="N153" i="3"/>
  <c r="P153" i="3"/>
  <c r="Q153" i="3"/>
  <c r="AI153" i="3"/>
  <c r="S631" i="3"/>
  <c r="T631" i="3"/>
  <c r="U631" i="3"/>
  <c r="I631" i="3"/>
  <c r="D631" i="4"/>
  <c r="E631" i="4"/>
  <c r="F631" i="4"/>
  <c r="G152" i="4"/>
  <c r="I152" i="4"/>
  <c r="J152" i="4"/>
  <c r="H152" i="4"/>
  <c r="M152" i="4"/>
  <c r="K152" i="4"/>
  <c r="S632" i="3"/>
  <c r="T632" i="3"/>
  <c r="U632" i="3"/>
  <c r="J633" i="3"/>
  <c r="K633" i="3"/>
  <c r="L633" i="3"/>
  <c r="D633" i="3"/>
  <c r="H633" i="3"/>
  <c r="R633" i="3"/>
  <c r="F634" i="3"/>
  <c r="L153" i="4"/>
  <c r="V153" i="3"/>
  <c r="I632" i="3"/>
  <c r="D632" i="4"/>
  <c r="E632" i="4"/>
  <c r="F632" i="4"/>
  <c r="W153" i="3"/>
  <c r="X153" i="3"/>
  <c r="Y153" i="3"/>
  <c r="Z153" i="3"/>
  <c r="AA153" i="3"/>
  <c r="AB153" i="3"/>
  <c r="S633" i="3"/>
  <c r="T633" i="3"/>
  <c r="U633" i="3"/>
  <c r="J634" i="3"/>
  <c r="K634" i="3"/>
  <c r="L634" i="3"/>
  <c r="F635" i="3"/>
  <c r="R634" i="3"/>
  <c r="D634" i="3"/>
  <c r="H634" i="3"/>
  <c r="E633" i="4"/>
  <c r="F633" i="4"/>
  <c r="I633" i="3"/>
  <c r="D633" i="4"/>
  <c r="M154" i="3"/>
  <c r="C153" i="4"/>
  <c r="AC153" i="3"/>
  <c r="AD153" i="3"/>
  <c r="S634" i="3"/>
  <c r="T634" i="3"/>
  <c r="U634" i="3"/>
  <c r="I634" i="3"/>
  <c r="D634" i="4"/>
  <c r="E634" i="4"/>
  <c r="F634" i="4"/>
  <c r="D635" i="3"/>
  <c r="H635" i="3"/>
  <c r="R635" i="3"/>
  <c r="F636" i="3"/>
  <c r="J635" i="3"/>
  <c r="K635" i="3"/>
  <c r="L635" i="3"/>
  <c r="I635" i="3"/>
  <c r="D635" i="4"/>
  <c r="E635" i="4"/>
  <c r="F635" i="4"/>
  <c r="R636" i="3"/>
  <c r="D636" i="3"/>
  <c r="H636" i="3"/>
  <c r="J636" i="3"/>
  <c r="K636" i="3"/>
  <c r="L636" i="3"/>
  <c r="F637" i="3"/>
  <c r="S635" i="3"/>
  <c r="T635" i="3"/>
  <c r="U635" i="3"/>
  <c r="G153" i="4"/>
  <c r="I153" i="4"/>
  <c r="J153" i="4"/>
  <c r="H153" i="4"/>
  <c r="N154" i="3"/>
  <c r="P154" i="3"/>
  <c r="Q154" i="3"/>
  <c r="O154" i="3"/>
  <c r="AI154" i="3"/>
  <c r="L154" i="4"/>
  <c r="C28" i="5"/>
  <c r="N28" i="5"/>
  <c r="V154" i="3"/>
  <c r="D637" i="3"/>
  <c r="H637" i="3"/>
  <c r="J637" i="3"/>
  <c r="R637" i="3"/>
  <c r="F638" i="3"/>
  <c r="S636" i="3"/>
  <c r="T636" i="3"/>
  <c r="U636" i="3"/>
  <c r="M153" i="4"/>
  <c r="K153" i="4"/>
  <c r="E636" i="4"/>
  <c r="F636" i="4"/>
  <c r="I636" i="3"/>
  <c r="D636" i="4"/>
  <c r="J638" i="3"/>
  <c r="D638" i="3"/>
  <c r="H638" i="3"/>
  <c r="F639" i="3"/>
  <c r="R638" i="3"/>
  <c r="S637" i="3"/>
  <c r="T637" i="3"/>
  <c r="U637" i="3"/>
  <c r="K637" i="3"/>
  <c r="L637" i="3"/>
  <c r="E637" i="4"/>
  <c r="F637" i="4"/>
  <c r="I637" i="3"/>
  <c r="D637" i="4"/>
  <c r="W154" i="3"/>
  <c r="X154" i="3"/>
  <c r="Y154" i="3"/>
  <c r="Z154" i="3"/>
  <c r="AA154" i="3"/>
  <c r="AB154" i="3"/>
  <c r="C154" i="4"/>
  <c r="AC154" i="3"/>
  <c r="AD154" i="3"/>
  <c r="M155" i="3"/>
  <c r="R639" i="3"/>
  <c r="J639" i="3"/>
  <c r="F640" i="3"/>
  <c r="D639" i="3"/>
  <c r="H639" i="3"/>
  <c r="E638" i="4"/>
  <c r="F638" i="4"/>
  <c r="I638" i="3"/>
  <c r="D638" i="4"/>
  <c r="S638" i="3"/>
  <c r="T638" i="3"/>
  <c r="U638" i="3"/>
  <c r="K638" i="3"/>
  <c r="L638" i="3"/>
  <c r="J640" i="3"/>
  <c r="R640" i="3"/>
  <c r="D640" i="3"/>
  <c r="H640" i="3"/>
  <c r="F641" i="3"/>
  <c r="K639" i="3"/>
  <c r="L639" i="3"/>
  <c r="N155" i="3"/>
  <c r="O155" i="3"/>
  <c r="AI155" i="3"/>
  <c r="I639" i="3"/>
  <c r="D639" i="4"/>
  <c r="E639" i="4"/>
  <c r="F639" i="4"/>
  <c r="S639" i="3"/>
  <c r="T639" i="3"/>
  <c r="U639" i="3"/>
  <c r="G154" i="4"/>
  <c r="I154" i="4"/>
  <c r="J154" i="4"/>
  <c r="H154" i="4"/>
  <c r="F642" i="3"/>
  <c r="R641" i="3"/>
  <c r="J641" i="3"/>
  <c r="D641" i="3"/>
  <c r="H641" i="3"/>
  <c r="S640" i="3"/>
  <c r="T640" i="3"/>
  <c r="U640" i="3"/>
  <c r="I640" i="3"/>
  <c r="D640" i="4"/>
  <c r="E640" i="4"/>
  <c r="F640" i="4"/>
  <c r="M154" i="4"/>
  <c r="D28" i="5"/>
  <c r="K154" i="4"/>
  <c r="E28" i="5"/>
  <c r="P155" i="3"/>
  <c r="Q155" i="3"/>
  <c r="K640" i="3"/>
  <c r="L640" i="3"/>
  <c r="K641" i="3"/>
  <c r="L641" i="3"/>
  <c r="L155" i="4"/>
  <c r="V155" i="3"/>
  <c r="S641" i="3"/>
  <c r="T641" i="3"/>
  <c r="U641" i="3"/>
  <c r="E641" i="4"/>
  <c r="F641" i="4"/>
  <c r="I641" i="3"/>
  <c r="D641" i="4"/>
  <c r="R642" i="3"/>
  <c r="J642" i="3"/>
  <c r="D642" i="3"/>
  <c r="H642" i="3"/>
  <c r="F643" i="3"/>
  <c r="R643" i="3"/>
  <c r="D643" i="3"/>
  <c r="H643" i="3"/>
  <c r="F644" i="3"/>
  <c r="J643" i="3"/>
  <c r="K643" i="3"/>
  <c r="L643" i="3"/>
  <c r="K642" i="3"/>
  <c r="L642" i="3"/>
  <c r="I642" i="3"/>
  <c r="D642" i="4"/>
  <c r="E642" i="4"/>
  <c r="F642" i="4"/>
  <c r="S642" i="3"/>
  <c r="T642" i="3"/>
  <c r="U642" i="3"/>
  <c r="W155" i="3"/>
  <c r="X155" i="3"/>
  <c r="Y155" i="3"/>
  <c r="Z155" i="3"/>
  <c r="AA155" i="3"/>
  <c r="AB155" i="3"/>
  <c r="C155" i="4"/>
  <c r="AC155" i="3"/>
  <c r="AD155" i="3"/>
  <c r="M156" i="3"/>
  <c r="E643" i="4"/>
  <c r="F643" i="4"/>
  <c r="I643" i="3"/>
  <c r="D643" i="4"/>
  <c r="R644" i="3"/>
  <c r="J644" i="3"/>
  <c r="F645" i="3"/>
  <c r="D644" i="3"/>
  <c r="H644" i="3"/>
  <c r="S643" i="3"/>
  <c r="T643" i="3"/>
  <c r="U643" i="3"/>
  <c r="K644" i="3"/>
  <c r="L644" i="3"/>
  <c r="F646" i="3"/>
  <c r="J645" i="3"/>
  <c r="D645" i="3"/>
  <c r="H645" i="3"/>
  <c r="R645" i="3"/>
  <c r="E644" i="4"/>
  <c r="F644" i="4"/>
  <c r="I644" i="3"/>
  <c r="D644" i="4"/>
  <c r="S644" i="3"/>
  <c r="T644" i="3"/>
  <c r="U644" i="3"/>
  <c r="N156" i="3"/>
  <c r="O156" i="3"/>
  <c r="AI156" i="3"/>
  <c r="G155" i="4"/>
  <c r="I155" i="4"/>
  <c r="J155" i="4"/>
  <c r="H155" i="4"/>
  <c r="P156" i="3"/>
  <c r="Q156" i="3"/>
  <c r="I645" i="3"/>
  <c r="D645" i="4"/>
  <c r="E645" i="4"/>
  <c r="F645" i="4"/>
  <c r="M155" i="4"/>
  <c r="K155" i="4"/>
  <c r="K645" i="3"/>
  <c r="L645" i="3"/>
  <c r="S645" i="3"/>
  <c r="T645" i="3"/>
  <c r="U645" i="3"/>
  <c r="J646" i="3"/>
  <c r="R646" i="3"/>
  <c r="F647" i="3"/>
  <c r="D646" i="3"/>
  <c r="H646" i="3"/>
  <c r="D647" i="3"/>
  <c r="H647" i="3"/>
  <c r="J647" i="3"/>
  <c r="K647" i="3"/>
  <c r="L647" i="3"/>
  <c r="R647" i="3"/>
  <c r="F648" i="3"/>
  <c r="K646" i="3"/>
  <c r="L646" i="3"/>
  <c r="E646" i="4"/>
  <c r="F646" i="4"/>
  <c r="I646" i="3"/>
  <c r="D646" i="4"/>
  <c r="S646" i="3"/>
  <c r="T646" i="3"/>
  <c r="U646" i="3"/>
  <c r="L156" i="4"/>
  <c r="V156" i="3"/>
  <c r="W156" i="3"/>
  <c r="X156" i="3"/>
  <c r="Y156" i="3"/>
  <c r="Z156" i="3"/>
  <c r="AA156" i="3"/>
  <c r="AB156" i="3"/>
  <c r="S647" i="3"/>
  <c r="T647" i="3"/>
  <c r="U647" i="3"/>
  <c r="D648" i="3"/>
  <c r="H648" i="3"/>
  <c r="R648" i="3"/>
  <c r="F649" i="3"/>
  <c r="J648" i="3"/>
  <c r="K648" i="3"/>
  <c r="L648" i="3"/>
  <c r="I647" i="3"/>
  <c r="D647" i="4"/>
  <c r="E647" i="4"/>
  <c r="F647" i="4"/>
  <c r="S648" i="3"/>
  <c r="T648" i="3"/>
  <c r="U648" i="3"/>
  <c r="J649" i="3"/>
  <c r="R649" i="3"/>
  <c r="F650" i="3"/>
  <c r="D649" i="3"/>
  <c r="H649" i="3"/>
  <c r="M157" i="3"/>
  <c r="AC156" i="3"/>
  <c r="AD156" i="3"/>
  <c r="C156" i="4"/>
  <c r="E648" i="4"/>
  <c r="F648" i="4"/>
  <c r="I648" i="3"/>
  <c r="D648" i="4"/>
  <c r="G156" i="4"/>
  <c r="I156" i="4"/>
  <c r="J156" i="4"/>
  <c r="H156" i="4"/>
  <c r="N157" i="3"/>
  <c r="AI157" i="3"/>
  <c r="O157" i="3"/>
  <c r="E649" i="4"/>
  <c r="F649" i="4"/>
  <c r="I649" i="3"/>
  <c r="D649" i="4"/>
  <c r="S649" i="3"/>
  <c r="T649" i="3"/>
  <c r="U649" i="3"/>
  <c r="D650" i="3"/>
  <c r="H650" i="3"/>
  <c r="J650" i="3"/>
  <c r="R650" i="3"/>
  <c r="F651" i="3"/>
  <c r="K649" i="3"/>
  <c r="L649" i="3"/>
  <c r="J651" i="3"/>
  <c r="F652" i="3"/>
  <c r="D651" i="3"/>
  <c r="H651" i="3"/>
  <c r="R651" i="3"/>
  <c r="K650" i="3"/>
  <c r="L650" i="3"/>
  <c r="P157" i="3"/>
  <c r="Q157" i="3"/>
  <c r="I650" i="3"/>
  <c r="D650" i="4"/>
  <c r="E650" i="4"/>
  <c r="F650" i="4"/>
  <c r="S650" i="3"/>
  <c r="T650" i="3"/>
  <c r="U650" i="3"/>
  <c r="K156" i="4"/>
  <c r="M156" i="4"/>
  <c r="L157" i="4"/>
  <c r="V157" i="3"/>
  <c r="S651" i="3"/>
  <c r="T651" i="3"/>
  <c r="U651" i="3"/>
  <c r="K651" i="3"/>
  <c r="L651" i="3"/>
  <c r="I651" i="3"/>
  <c r="D651" i="4"/>
  <c r="E651" i="4"/>
  <c r="F651" i="4"/>
  <c r="R652" i="3"/>
  <c r="J652" i="3"/>
  <c r="F653" i="3"/>
  <c r="D652" i="3"/>
  <c r="H652" i="3"/>
  <c r="K652" i="3"/>
  <c r="L652" i="3"/>
  <c r="W157" i="3"/>
  <c r="X157" i="3"/>
  <c r="Y157" i="3"/>
  <c r="Z157" i="3"/>
  <c r="AA157" i="3"/>
  <c r="AB157" i="3"/>
  <c r="I652" i="3"/>
  <c r="D652" i="4"/>
  <c r="E652" i="4"/>
  <c r="F652" i="4"/>
  <c r="R653" i="3"/>
  <c r="F654" i="3"/>
  <c r="D653" i="3"/>
  <c r="H653" i="3"/>
  <c r="J653" i="3"/>
  <c r="S652" i="3"/>
  <c r="T652" i="3"/>
  <c r="U652" i="3"/>
  <c r="C157" i="4"/>
  <c r="M158" i="3"/>
  <c r="AC157" i="3"/>
  <c r="AD157" i="3"/>
  <c r="I653" i="3"/>
  <c r="D653" i="4"/>
  <c r="E653" i="4"/>
  <c r="F653" i="4"/>
  <c r="K653" i="3"/>
  <c r="L653" i="3"/>
  <c r="S653" i="3"/>
  <c r="T653" i="3"/>
  <c r="U653" i="3"/>
  <c r="F655" i="3"/>
  <c r="R654" i="3"/>
  <c r="J654" i="3"/>
  <c r="D654" i="3"/>
  <c r="H654" i="3"/>
  <c r="R655" i="3"/>
  <c r="D655" i="3"/>
  <c r="H655" i="3"/>
  <c r="F656" i="3"/>
  <c r="J655" i="3"/>
  <c r="K655" i="3"/>
  <c r="L655" i="3"/>
  <c r="K654" i="3"/>
  <c r="L654" i="3"/>
  <c r="I654" i="3"/>
  <c r="D654" i="4"/>
  <c r="E654" i="4"/>
  <c r="F654" i="4"/>
  <c r="AI158" i="3"/>
  <c r="O158" i="3"/>
  <c r="N158" i="3"/>
  <c r="P158" i="3"/>
  <c r="Q158" i="3"/>
  <c r="S654" i="3"/>
  <c r="T654" i="3"/>
  <c r="U654" i="3"/>
  <c r="G157" i="4"/>
  <c r="I157" i="4"/>
  <c r="J157" i="4"/>
  <c r="H157" i="4"/>
  <c r="L158" i="4"/>
  <c r="V158" i="3"/>
  <c r="M157" i="4"/>
  <c r="K157" i="4"/>
  <c r="I655" i="3"/>
  <c r="D655" i="4"/>
  <c r="E655" i="4"/>
  <c r="F655" i="4"/>
  <c r="D656" i="3"/>
  <c r="H656" i="3"/>
  <c r="F657" i="3"/>
  <c r="R656" i="3"/>
  <c r="J656" i="3"/>
  <c r="K656" i="3"/>
  <c r="L656" i="3"/>
  <c r="S655" i="3"/>
  <c r="T655" i="3"/>
  <c r="U655" i="3"/>
  <c r="S656" i="3"/>
  <c r="T656" i="3"/>
  <c r="U656" i="3"/>
  <c r="F658" i="3"/>
  <c r="J657" i="3"/>
  <c r="R657" i="3"/>
  <c r="D657" i="3"/>
  <c r="H657" i="3"/>
  <c r="I656" i="3"/>
  <c r="D656" i="4"/>
  <c r="E656" i="4"/>
  <c r="F656" i="4"/>
  <c r="W158" i="3"/>
  <c r="X158" i="3"/>
  <c r="Y158" i="3"/>
  <c r="Z158" i="3"/>
  <c r="AA158" i="3"/>
  <c r="AB158" i="3"/>
  <c r="I657" i="3"/>
  <c r="D657" i="4"/>
  <c r="E657" i="4"/>
  <c r="F657" i="4"/>
  <c r="K657" i="3"/>
  <c r="L657" i="3"/>
  <c r="M159" i="3"/>
  <c r="AC158" i="3"/>
  <c r="AD158" i="3"/>
  <c r="C158" i="4"/>
  <c r="S657" i="3"/>
  <c r="T657" i="3"/>
  <c r="U657" i="3"/>
  <c r="D658" i="3"/>
  <c r="H658" i="3"/>
  <c r="R658" i="3"/>
  <c r="F659" i="3"/>
  <c r="J658" i="3"/>
  <c r="F660" i="3"/>
  <c r="J659" i="3"/>
  <c r="R659" i="3"/>
  <c r="D659" i="3"/>
  <c r="H659" i="3"/>
  <c r="G158" i="4"/>
  <c r="I158" i="4"/>
  <c r="J158" i="4"/>
  <c r="H158" i="4"/>
  <c r="S658" i="3"/>
  <c r="T658" i="3"/>
  <c r="U658" i="3"/>
  <c r="E658" i="4"/>
  <c r="F658" i="4"/>
  <c r="I658" i="3"/>
  <c r="D658" i="4"/>
  <c r="K658" i="3"/>
  <c r="L658" i="3"/>
  <c r="AI159" i="3"/>
  <c r="O159" i="3"/>
  <c r="N159" i="3"/>
  <c r="P159" i="3"/>
  <c r="Q159" i="3"/>
  <c r="L159" i="4"/>
  <c r="V159" i="3"/>
  <c r="M158" i="4"/>
  <c r="K158" i="4"/>
  <c r="K659" i="3"/>
  <c r="L659" i="3"/>
  <c r="I659" i="3"/>
  <c r="D659" i="4"/>
  <c r="E659" i="4"/>
  <c r="F659" i="4"/>
  <c r="S659" i="3"/>
  <c r="T659" i="3"/>
  <c r="U659" i="3"/>
  <c r="R660" i="3"/>
  <c r="F661" i="3"/>
  <c r="D660" i="3"/>
  <c r="H660" i="3"/>
  <c r="J660" i="3"/>
  <c r="I660" i="3"/>
  <c r="D660" i="4"/>
  <c r="E660" i="4"/>
  <c r="F660" i="4"/>
  <c r="S660" i="3"/>
  <c r="T660" i="3"/>
  <c r="U660" i="3"/>
  <c r="F662" i="3"/>
  <c r="R661" i="3"/>
  <c r="J661" i="3"/>
  <c r="D661" i="3"/>
  <c r="H661" i="3"/>
  <c r="K660" i="3"/>
  <c r="L660" i="3"/>
  <c r="W159" i="3"/>
  <c r="X159" i="3"/>
  <c r="Y159" i="3"/>
  <c r="Z159" i="3"/>
  <c r="AA159" i="3"/>
  <c r="AB159" i="3"/>
  <c r="M160" i="3"/>
  <c r="AC159" i="3"/>
  <c r="AD159" i="3"/>
  <c r="C159" i="4"/>
  <c r="S661" i="3"/>
  <c r="T661" i="3"/>
  <c r="U661" i="3"/>
  <c r="E661" i="4"/>
  <c r="F661" i="4"/>
  <c r="I661" i="3"/>
  <c r="D661" i="4"/>
  <c r="J662" i="3"/>
  <c r="F663" i="3"/>
  <c r="R662" i="3"/>
  <c r="D662" i="3"/>
  <c r="H662" i="3"/>
  <c r="K661" i="3"/>
  <c r="L661" i="3"/>
  <c r="I662" i="3"/>
  <c r="D662" i="4"/>
  <c r="E662" i="4"/>
  <c r="F662" i="4"/>
  <c r="S662" i="3"/>
  <c r="T662" i="3"/>
  <c r="U662" i="3"/>
  <c r="K662" i="3"/>
  <c r="L662" i="3"/>
  <c r="F664" i="3"/>
  <c r="R663" i="3"/>
  <c r="J663" i="3"/>
  <c r="D663" i="3"/>
  <c r="H663" i="3"/>
  <c r="G159" i="4"/>
  <c r="I159" i="4"/>
  <c r="J159" i="4"/>
  <c r="H159" i="4"/>
  <c r="N160" i="3"/>
  <c r="O160" i="3"/>
  <c r="AI160" i="3"/>
  <c r="E663" i="4"/>
  <c r="F663" i="4"/>
  <c r="I663" i="3"/>
  <c r="D663" i="4"/>
  <c r="J664" i="3"/>
  <c r="F665" i="3"/>
  <c r="D664" i="3"/>
  <c r="H664" i="3"/>
  <c r="R664" i="3"/>
  <c r="M159" i="4"/>
  <c r="K159" i="4"/>
  <c r="S663" i="3"/>
  <c r="T663" i="3"/>
  <c r="U663" i="3"/>
  <c r="P160" i="3"/>
  <c r="Q160" i="3"/>
  <c r="K663" i="3"/>
  <c r="L663" i="3"/>
  <c r="L160" i="4"/>
  <c r="V160" i="3"/>
  <c r="J665" i="3"/>
  <c r="F666" i="3"/>
  <c r="D665" i="3"/>
  <c r="H665" i="3"/>
  <c r="R665" i="3"/>
  <c r="E664" i="4"/>
  <c r="F664" i="4"/>
  <c r="I664" i="3"/>
  <c r="D664" i="4"/>
  <c r="S664" i="3"/>
  <c r="T664" i="3"/>
  <c r="U664" i="3"/>
  <c r="K664" i="3"/>
  <c r="L664" i="3"/>
  <c r="E665" i="4"/>
  <c r="F665" i="4"/>
  <c r="I665" i="3"/>
  <c r="D665" i="4"/>
  <c r="J666" i="3"/>
  <c r="R666" i="3"/>
  <c r="D666" i="3"/>
  <c r="H666" i="3"/>
  <c r="F667" i="3"/>
  <c r="W160" i="3"/>
  <c r="X160" i="3"/>
  <c r="Y160" i="3"/>
  <c r="Z160" i="3"/>
  <c r="AA160" i="3"/>
  <c r="AB160" i="3"/>
  <c r="S665" i="3"/>
  <c r="T665" i="3"/>
  <c r="U665" i="3"/>
  <c r="K665" i="3"/>
  <c r="L665" i="3"/>
  <c r="M161" i="3"/>
  <c r="AC160" i="3"/>
  <c r="AD160" i="3"/>
  <c r="C160" i="4"/>
  <c r="K666" i="3"/>
  <c r="L666" i="3"/>
  <c r="I666" i="3"/>
  <c r="D666" i="4"/>
  <c r="E666" i="4"/>
  <c r="F666" i="4"/>
  <c r="R667" i="3"/>
  <c r="F668" i="3"/>
  <c r="J667" i="3"/>
  <c r="D667" i="3"/>
  <c r="H667" i="3"/>
  <c r="S666" i="3"/>
  <c r="T666" i="3"/>
  <c r="U666" i="3"/>
  <c r="K667" i="3"/>
  <c r="L667" i="3"/>
  <c r="J668" i="3"/>
  <c r="F669" i="3"/>
  <c r="D668" i="3"/>
  <c r="H668" i="3"/>
  <c r="R668" i="3"/>
  <c r="S667" i="3"/>
  <c r="T667" i="3"/>
  <c r="U667" i="3"/>
  <c r="E667" i="4"/>
  <c r="F667" i="4"/>
  <c r="I667" i="3"/>
  <c r="D667" i="4"/>
  <c r="G160" i="4"/>
  <c r="I160" i="4"/>
  <c r="J160" i="4"/>
  <c r="H160" i="4"/>
  <c r="O161" i="3"/>
  <c r="N161" i="3"/>
  <c r="AI161" i="3"/>
  <c r="M160" i="4"/>
  <c r="K160" i="4"/>
  <c r="E668" i="4"/>
  <c r="F668" i="4"/>
  <c r="I668" i="3"/>
  <c r="D668" i="4"/>
  <c r="P161" i="3"/>
  <c r="Q161" i="3"/>
  <c r="S668" i="3"/>
  <c r="T668" i="3"/>
  <c r="U668" i="3"/>
  <c r="J669" i="3"/>
  <c r="D669" i="3"/>
  <c r="H669" i="3"/>
  <c r="R669" i="3"/>
  <c r="F670" i="3"/>
  <c r="K668" i="3"/>
  <c r="L668" i="3"/>
  <c r="J670" i="3"/>
  <c r="D670" i="3"/>
  <c r="H670" i="3"/>
  <c r="R670" i="3"/>
  <c r="F671" i="3"/>
  <c r="S669" i="3"/>
  <c r="T669" i="3"/>
  <c r="U669" i="3"/>
  <c r="K669" i="3"/>
  <c r="L669" i="3"/>
  <c r="I669" i="3"/>
  <c r="D669" i="4"/>
  <c r="E669" i="4"/>
  <c r="F669" i="4"/>
  <c r="L161" i="4"/>
  <c r="V161" i="3"/>
  <c r="W161" i="3"/>
  <c r="X161" i="3"/>
  <c r="Y161" i="3"/>
  <c r="Z161" i="3"/>
  <c r="AA161" i="3"/>
  <c r="AB161" i="3"/>
  <c r="R671" i="3"/>
  <c r="J671" i="3"/>
  <c r="F672" i="3"/>
  <c r="D671" i="3"/>
  <c r="H671" i="3"/>
  <c r="S670" i="3"/>
  <c r="T670" i="3"/>
  <c r="U670" i="3"/>
  <c r="K670" i="3"/>
  <c r="L670" i="3"/>
  <c r="I670" i="3"/>
  <c r="D670" i="4"/>
  <c r="E670" i="4"/>
  <c r="F670" i="4"/>
  <c r="K671" i="3"/>
  <c r="L671" i="3"/>
  <c r="S671" i="3"/>
  <c r="T671" i="3"/>
  <c r="U671" i="3"/>
  <c r="I671" i="3"/>
  <c r="D671" i="4"/>
  <c r="E671" i="4"/>
  <c r="F671" i="4"/>
  <c r="R672" i="3"/>
  <c r="D672" i="3"/>
  <c r="H672" i="3"/>
  <c r="F673" i="3"/>
  <c r="J672" i="3"/>
  <c r="K672" i="3"/>
  <c r="L672" i="3"/>
  <c r="M162" i="3"/>
  <c r="AC161" i="3"/>
  <c r="AD161" i="3"/>
  <c r="C161" i="4"/>
  <c r="G161" i="4"/>
  <c r="I161" i="4"/>
  <c r="J161" i="4"/>
  <c r="H161" i="4"/>
  <c r="O162" i="3"/>
  <c r="N162" i="3"/>
  <c r="P162" i="3"/>
  <c r="Q162" i="3"/>
  <c r="AI162" i="3"/>
  <c r="S672" i="3"/>
  <c r="T672" i="3"/>
  <c r="U672" i="3"/>
  <c r="R673" i="3"/>
  <c r="D673" i="3"/>
  <c r="H673" i="3"/>
  <c r="F674" i="3"/>
  <c r="J673" i="3"/>
  <c r="I672" i="3"/>
  <c r="D672" i="4"/>
  <c r="E672" i="4"/>
  <c r="F672" i="4"/>
  <c r="L162" i="4"/>
  <c r="V162" i="3"/>
  <c r="E673" i="4"/>
  <c r="F673" i="4"/>
  <c r="I673" i="3"/>
  <c r="D673" i="4"/>
  <c r="R674" i="3"/>
  <c r="F675" i="3"/>
  <c r="D674" i="3"/>
  <c r="H674" i="3"/>
  <c r="J674" i="3"/>
  <c r="K673" i="3"/>
  <c r="L673" i="3"/>
  <c r="S673" i="3"/>
  <c r="T673" i="3"/>
  <c r="U673" i="3"/>
  <c r="M161" i="4"/>
  <c r="K161" i="4"/>
  <c r="I674" i="3"/>
  <c r="D674" i="4"/>
  <c r="E674" i="4"/>
  <c r="F674" i="4"/>
  <c r="S674" i="3"/>
  <c r="T674" i="3"/>
  <c r="U674" i="3"/>
  <c r="K674" i="3"/>
  <c r="L674" i="3"/>
  <c r="J675" i="3"/>
  <c r="K675" i="3"/>
  <c r="L675" i="3"/>
  <c r="R675" i="3"/>
  <c r="F676" i="3"/>
  <c r="D675" i="3"/>
  <c r="H675" i="3"/>
  <c r="W162" i="3"/>
  <c r="X162" i="3"/>
  <c r="Y162" i="3"/>
  <c r="Z162" i="3"/>
  <c r="AA162" i="3"/>
  <c r="AB162" i="3"/>
  <c r="C162" i="4"/>
  <c r="AC162" i="3"/>
  <c r="AD162" i="3"/>
  <c r="M163" i="3"/>
  <c r="D676" i="3"/>
  <c r="H676" i="3"/>
  <c r="F677" i="3"/>
  <c r="R676" i="3"/>
  <c r="J676" i="3"/>
  <c r="K676" i="3"/>
  <c r="L676" i="3"/>
  <c r="I675" i="3"/>
  <c r="D675" i="4"/>
  <c r="E675" i="4"/>
  <c r="F675" i="4"/>
  <c r="S675" i="3"/>
  <c r="T675" i="3"/>
  <c r="U675" i="3"/>
  <c r="R677" i="3"/>
  <c r="J677" i="3"/>
  <c r="F678" i="3"/>
  <c r="D677" i="3"/>
  <c r="H677" i="3"/>
  <c r="S676" i="3"/>
  <c r="T676" i="3"/>
  <c r="U676" i="3"/>
  <c r="E676" i="4"/>
  <c r="F676" i="4"/>
  <c r="I676" i="3"/>
  <c r="D676" i="4"/>
  <c r="N163" i="3"/>
  <c r="P163" i="3"/>
  <c r="Q163" i="3"/>
  <c r="O163" i="3"/>
  <c r="AI163" i="3"/>
  <c r="G162" i="4"/>
  <c r="I162" i="4"/>
  <c r="J162" i="4"/>
  <c r="H162" i="4"/>
  <c r="M162" i="4"/>
  <c r="K162" i="4"/>
  <c r="L163" i="4"/>
  <c r="V163" i="3"/>
  <c r="K677" i="3"/>
  <c r="L677" i="3"/>
  <c r="E677" i="4"/>
  <c r="F677" i="4"/>
  <c r="I677" i="3"/>
  <c r="D677" i="4"/>
  <c r="R678" i="3"/>
  <c r="F679" i="3"/>
  <c r="D678" i="3"/>
  <c r="H678" i="3"/>
  <c r="J678" i="3"/>
  <c r="K678" i="3"/>
  <c r="L678" i="3"/>
  <c r="S677" i="3"/>
  <c r="T677" i="3"/>
  <c r="U677" i="3"/>
  <c r="E678" i="4"/>
  <c r="F678" i="4"/>
  <c r="I678" i="3"/>
  <c r="D678" i="4"/>
  <c r="R679" i="3"/>
  <c r="F680" i="3"/>
  <c r="D679" i="3"/>
  <c r="H679" i="3"/>
  <c r="J679" i="3"/>
  <c r="W163" i="3"/>
  <c r="X163" i="3"/>
  <c r="Y163" i="3"/>
  <c r="Z163" i="3"/>
  <c r="AA163" i="3"/>
  <c r="AB163" i="3"/>
  <c r="S678" i="3"/>
  <c r="T678" i="3"/>
  <c r="U678" i="3"/>
  <c r="M164" i="3"/>
  <c r="C163" i="4"/>
  <c r="AC163" i="3"/>
  <c r="AD163" i="3"/>
  <c r="I679" i="3"/>
  <c r="D679" i="4"/>
  <c r="E679" i="4"/>
  <c r="F679" i="4"/>
  <c r="K679" i="3"/>
  <c r="L679" i="3"/>
  <c r="S679" i="3"/>
  <c r="T679" i="3"/>
  <c r="U679" i="3"/>
  <c r="D680" i="3"/>
  <c r="H680" i="3"/>
  <c r="J680" i="3"/>
  <c r="K680" i="3"/>
  <c r="L680" i="3"/>
  <c r="F681" i="3"/>
  <c r="R680" i="3"/>
  <c r="S680" i="3"/>
  <c r="T680" i="3"/>
  <c r="U680" i="3"/>
  <c r="R681" i="3"/>
  <c r="J681" i="3"/>
  <c r="D681" i="3"/>
  <c r="H681" i="3"/>
  <c r="F682" i="3"/>
  <c r="I680" i="3"/>
  <c r="D680" i="4"/>
  <c r="E680" i="4"/>
  <c r="F680" i="4"/>
  <c r="G163" i="4"/>
  <c r="I163" i="4"/>
  <c r="J163" i="4"/>
  <c r="H163" i="4"/>
  <c r="N164" i="3"/>
  <c r="O164" i="3"/>
  <c r="AI164" i="3"/>
  <c r="K163" i="4"/>
  <c r="M163" i="4"/>
  <c r="I681" i="3"/>
  <c r="D681" i="4"/>
  <c r="E681" i="4"/>
  <c r="F681" i="4"/>
  <c r="R682" i="3"/>
  <c r="D682" i="3"/>
  <c r="H682" i="3"/>
  <c r="J682" i="3"/>
  <c r="F683" i="3"/>
  <c r="P164" i="3"/>
  <c r="Q164" i="3"/>
  <c r="K681" i="3"/>
  <c r="L681" i="3"/>
  <c r="S681" i="3"/>
  <c r="T681" i="3"/>
  <c r="U681" i="3"/>
  <c r="D683" i="3"/>
  <c r="H683" i="3"/>
  <c r="F684" i="3"/>
  <c r="R683" i="3"/>
  <c r="J683" i="3"/>
  <c r="K683" i="3"/>
  <c r="L683" i="3"/>
  <c r="L164" i="4"/>
  <c r="V164" i="3"/>
  <c r="S682" i="3"/>
  <c r="T682" i="3"/>
  <c r="U682" i="3"/>
  <c r="K682" i="3"/>
  <c r="L682" i="3"/>
  <c r="E682" i="4"/>
  <c r="F682" i="4"/>
  <c r="I682" i="3"/>
  <c r="D682" i="4"/>
  <c r="W164" i="3"/>
  <c r="X164" i="3"/>
  <c r="Y164" i="3"/>
  <c r="Z164" i="3"/>
  <c r="AA164" i="3"/>
  <c r="AB164" i="3"/>
  <c r="S683" i="3"/>
  <c r="T683" i="3"/>
  <c r="U683" i="3"/>
  <c r="J684" i="3"/>
  <c r="F685" i="3"/>
  <c r="R684" i="3"/>
  <c r="D684" i="3"/>
  <c r="H684" i="3"/>
  <c r="I683" i="3"/>
  <c r="D683" i="4"/>
  <c r="E683" i="4"/>
  <c r="F683" i="4"/>
  <c r="E684" i="4"/>
  <c r="F684" i="4"/>
  <c r="I684" i="3"/>
  <c r="D684" i="4"/>
  <c r="S684" i="3"/>
  <c r="T684" i="3"/>
  <c r="U684" i="3"/>
  <c r="D685" i="3"/>
  <c r="H685" i="3"/>
  <c r="J685" i="3"/>
  <c r="K685" i="3"/>
  <c r="L685" i="3"/>
  <c r="F686" i="3"/>
  <c r="R685" i="3"/>
  <c r="K684" i="3"/>
  <c r="L684" i="3"/>
  <c r="M165" i="3"/>
  <c r="C164" i="4"/>
  <c r="AC164" i="3"/>
  <c r="AD164" i="3"/>
  <c r="G164" i="4"/>
  <c r="I164" i="4"/>
  <c r="J164" i="4"/>
  <c r="H164" i="4"/>
  <c r="O165" i="3"/>
  <c r="N165" i="3"/>
  <c r="P165" i="3"/>
  <c r="Q165" i="3"/>
  <c r="AI165" i="3"/>
  <c r="S685" i="3"/>
  <c r="T685" i="3"/>
  <c r="U685" i="3"/>
  <c r="R686" i="3"/>
  <c r="F687" i="3"/>
  <c r="J686" i="3"/>
  <c r="D686" i="3"/>
  <c r="H686" i="3"/>
  <c r="E685" i="4"/>
  <c r="F685" i="4"/>
  <c r="I685" i="3"/>
  <c r="D685" i="4"/>
  <c r="E686" i="4"/>
  <c r="F686" i="4"/>
  <c r="I686" i="3"/>
  <c r="D686" i="4"/>
  <c r="L165" i="4"/>
  <c r="V165" i="3"/>
  <c r="K686" i="3"/>
  <c r="L686" i="3"/>
  <c r="D687" i="3"/>
  <c r="H687" i="3"/>
  <c r="R687" i="3"/>
  <c r="J687" i="3"/>
  <c r="F688" i="3"/>
  <c r="S686" i="3"/>
  <c r="T686" i="3"/>
  <c r="U686" i="3"/>
  <c r="K164" i="4"/>
  <c r="M164" i="4"/>
  <c r="I687" i="3"/>
  <c r="D687" i="4"/>
  <c r="E687" i="4"/>
  <c r="F687" i="4"/>
  <c r="J688" i="3"/>
  <c r="D688" i="3"/>
  <c r="H688" i="3"/>
  <c r="F689" i="3"/>
  <c r="R688" i="3"/>
  <c r="S687" i="3"/>
  <c r="T687" i="3"/>
  <c r="U687" i="3"/>
  <c r="K687" i="3"/>
  <c r="L687" i="3"/>
  <c r="W165" i="3"/>
  <c r="X165" i="3"/>
  <c r="Y165" i="3"/>
  <c r="Z165" i="3"/>
  <c r="AA165" i="3"/>
  <c r="AB165" i="3"/>
  <c r="M166" i="3"/>
  <c r="C165" i="4"/>
  <c r="AC165" i="3"/>
  <c r="AD165" i="3"/>
  <c r="S688" i="3"/>
  <c r="T688" i="3"/>
  <c r="U688" i="3"/>
  <c r="J689" i="3"/>
  <c r="F690" i="3"/>
  <c r="R689" i="3"/>
  <c r="D689" i="3"/>
  <c r="H689" i="3"/>
  <c r="K688" i="3"/>
  <c r="L688" i="3"/>
  <c r="I688" i="3"/>
  <c r="D688" i="4"/>
  <c r="E688" i="4"/>
  <c r="F688" i="4"/>
  <c r="S689" i="3"/>
  <c r="T689" i="3"/>
  <c r="U689" i="3"/>
  <c r="E689" i="4"/>
  <c r="F689" i="4"/>
  <c r="I689" i="3"/>
  <c r="D689" i="4"/>
  <c r="K689" i="3"/>
  <c r="L689" i="3"/>
  <c r="J690" i="3"/>
  <c r="F691" i="3"/>
  <c r="D690" i="3"/>
  <c r="H690" i="3"/>
  <c r="R690" i="3"/>
  <c r="G165" i="4"/>
  <c r="I165" i="4"/>
  <c r="J165" i="4"/>
  <c r="H165" i="4"/>
  <c r="O166" i="3"/>
  <c r="N166" i="3"/>
  <c r="P166" i="3"/>
  <c r="Q166" i="3"/>
  <c r="AI166" i="3"/>
  <c r="K165" i="4"/>
  <c r="M165" i="4"/>
  <c r="K690" i="3"/>
  <c r="L690" i="3"/>
  <c r="L166" i="4"/>
  <c r="V166" i="3"/>
  <c r="I690" i="3"/>
  <c r="D690" i="4"/>
  <c r="E690" i="4"/>
  <c r="F690" i="4"/>
  <c r="S690" i="3"/>
  <c r="T690" i="3"/>
  <c r="U690" i="3"/>
  <c r="R691" i="3"/>
  <c r="J691" i="3"/>
  <c r="K691" i="3"/>
  <c r="L691" i="3"/>
  <c r="F692" i="3"/>
  <c r="D691" i="3"/>
  <c r="H691" i="3"/>
  <c r="E691" i="4"/>
  <c r="F691" i="4"/>
  <c r="I691" i="3"/>
  <c r="D691" i="4"/>
  <c r="W166" i="3"/>
  <c r="X166" i="3"/>
  <c r="Y166" i="3"/>
  <c r="Z166" i="3"/>
  <c r="AA166" i="3"/>
  <c r="AB166" i="3"/>
  <c r="S691" i="3"/>
  <c r="T691" i="3"/>
  <c r="U691" i="3"/>
  <c r="D692" i="3"/>
  <c r="H692" i="3"/>
  <c r="F693" i="3"/>
  <c r="R692" i="3"/>
  <c r="J692" i="3"/>
  <c r="M167" i="3"/>
  <c r="C166" i="4"/>
  <c r="AC166" i="3"/>
  <c r="AD166" i="3"/>
  <c r="J693" i="3"/>
  <c r="R693" i="3"/>
  <c r="D693" i="3"/>
  <c r="H693" i="3"/>
  <c r="F694" i="3"/>
  <c r="E692" i="4"/>
  <c r="F692" i="4"/>
  <c r="I692" i="3"/>
  <c r="D692" i="4"/>
  <c r="S692" i="3"/>
  <c r="T692" i="3"/>
  <c r="U692" i="3"/>
  <c r="K692" i="3"/>
  <c r="L692" i="3"/>
  <c r="E693" i="4"/>
  <c r="F693" i="4"/>
  <c r="I693" i="3"/>
  <c r="D693" i="4"/>
  <c r="K693" i="3"/>
  <c r="L693" i="3"/>
  <c r="F695" i="3"/>
  <c r="J694" i="3"/>
  <c r="K694" i="3"/>
  <c r="L694" i="3"/>
  <c r="D694" i="3"/>
  <c r="H694" i="3"/>
  <c r="R694" i="3"/>
  <c r="S693" i="3"/>
  <c r="T693" i="3"/>
  <c r="U693" i="3"/>
  <c r="G166" i="4"/>
  <c r="I166" i="4"/>
  <c r="J166" i="4"/>
  <c r="H166" i="4"/>
  <c r="N167" i="3"/>
  <c r="O167" i="3"/>
  <c r="AI167" i="3"/>
  <c r="M166" i="4"/>
  <c r="K166" i="4"/>
  <c r="P167" i="3"/>
  <c r="Q167" i="3"/>
  <c r="I694" i="3"/>
  <c r="D694" i="4"/>
  <c r="E694" i="4"/>
  <c r="F694" i="4"/>
  <c r="S694" i="3"/>
  <c r="T694" i="3"/>
  <c r="U694" i="3"/>
  <c r="R695" i="3"/>
  <c r="J695" i="3"/>
  <c r="F696" i="3"/>
  <c r="D695" i="3"/>
  <c r="H695" i="3"/>
  <c r="K695" i="3"/>
  <c r="L695" i="3"/>
  <c r="S695" i="3"/>
  <c r="T695" i="3"/>
  <c r="U695" i="3"/>
  <c r="I695" i="3"/>
  <c r="D695" i="4"/>
  <c r="E695" i="4"/>
  <c r="F695" i="4"/>
  <c r="J696" i="3"/>
  <c r="F697" i="3"/>
  <c r="R696" i="3"/>
  <c r="D696" i="3"/>
  <c r="H696" i="3"/>
  <c r="L167" i="4"/>
  <c r="V167" i="3"/>
  <c r="I696" i="3"/>
  <c r="D696" i="4"/>
  <c r="E696" i="4"/>
  <c r="F696" i="4"/>
  <c r="S696" i="3"/>
  <c r="T696" i="3"/>
  <c r="U696" i="3"/>
  <c r="F698" i="3"/>
  <c r="J697" i="3"/>
  <c r="D697" i="3"/>
  <c r="H697" i="3"/>
  <c r="R697" i="3"/>
  <c r="W167" i="3"/>
  <c r="X167" i="3"/>
  <c r="Y167" i="3"/>
  <c r="Z167" i="3"/>
  <c r="AA167" i="3"/>
  <c r="AB167" i="3"/>
  <c r="K696" i="3"/>
  <c r="L696" i="3"/>
  <c r="I697" i="3"/>
  <c r="D697" i="4"/>
  <c r="E697" i="4"/>
  <c r="F697" i="4"/>
  <c r="K697" i="3"/>
  <c r="L697" i="3"/>
  <c r="C167" i="4"/>
  <c r="AC167" i="3"/>
  <c r="AD167" i="3"/>
  <c r="M168" i="3"/>
  <c r="S697" i="3"/>
  <c r="T697" i="3"/>
  <c r="U697" i="3"/>
  <c r="F699" i="3"/>
  <c r="J698" i="3"/>
  <c r="R698" i="3"/>
  <c r="D698" i="3"/>
  <c r="H698" i="3"/>
  <c r="S698" i="3"/>
  <c r="T698" i="3"/>
  <c r="U698" i="3"/>
  <c r="E698" i="4"/>
  <c r="F698" i="4"/>
  <c r="I698" i="3"/>
  <c r="D698" i="4"/>
  <c r="G167" i="4"/>
  <c r="I167" i="4"/>
  <c r="J167" i="4"/>
  <c r="H167" i="4"/>
  <c r="R699" i="3"/>
  <c r="D699" i="3"/>
  <c r="H699" i="3"/>
  <c r="J699" i="3"/>
  <c r="F700" i="3"/>
  <c r="K698" i="3"/>
  <c r="L698" i="3"/>
  <c r="AI168" i="3"/>
  <c r="O168" i="3"/>
  <c r="N168" i="3"/>
  <c r="P168" i="3"/>
  <c r="Q168" i="3"/>
  <c r="F701" i="3"/>
  <c r="R700" i="3"/>
  <c r="D700" i="3"/>
  <c r="H700" i="3"/>
  <c r="J700" i="3"/>
  <c r="K700" i="3"/>
  <c r="L700" i="3"/>
  <c r="E699" i="4"/>
  <c r="F699" i="4"/>
  <c r="I699" i="3"/>
  <c r="D699" i="4"/>
  <c r="L168" i="4"/>
  <c r="V168" i="3"/>
  <c r="K167" i="4"/>
  <c r="M167" i="4"/>
  <c r="K699" i="3"/>
  <c r="L699" i="3"/>
  <c r="S699" i="3"/>
  <c r="T699" i="3"/>
  <c r="U699" i="3"/>
  <c r="W168" i="3"/>
  <c r="X168" i="3"/>
  <c r="Y168" i="3"/>
  <c r="Z168" i="3"/>
  <c r="AA168" i="3"/>
  <c r="AB168" i="3"/>
  <c r="S700" i="3"/>
  <c r="T700" i="3"/>
  <c r="U700" i="3"/>
  <c r="I700" i="3"/>
  <c r="D700" i="4"/>
  <c r="E700" i="4"/>
  <c r="F700" i="4"/>
  <c r="R701" i="3"/>
  <c r="J701" i="3"/>
  <c r="F702" i="3"/>
  <c r="D701" i="3"/>
  <c r="H701" i="3"/>
  <c r="C168" i="4"/>
  <c r="M169" i="3"/>
  <c r="AC168" i="3"/>
  <c r="AD168" i="3"/>
  <c r="K701" i="3"/>
  <c r="L701" i="3"/>
  <c r="I701" i="3"/>
  <c r="D701" i="4"/>
  <c r="E701" i="4"/>
  <c r="F701" i="4"/>
  <c r="D702" i="3"/>
  <c r="H702" i="3"/>
  <c r="J702" i="3"/>
  <c r="K702" i="3"/>
  <c r="L702" i="3"/>
  <c r="R702" i="3"/>
  <c r="F703" i="3"/>
  <c r="S701" i="3"/>
  <c r="T701" i="3"/>
  <c r="U701" i="3"/>
  <c r="F704" i="3"/>
  <c r="J703" i="3"/>
  <c r="D703" i="3"/>
  <c r="H703" i="3"/>
  <c r="R703" i="3"/>
  <c r="E702" i="4"/>
  <c r="F702" i="4"/>
  <c r="I702" i="3"/>
  <c r="D702" i="4"/>
  <c r="S702" i="3"/>
  <c r="T702" i="3"/>
  <c r="U702" i="3"/>
  <c r="O169" i="3"/>
  <c r="N169" i="3"/>
  <c r="AI169" i="3"/>
  <c r="G168" i="4"/>
  <c r="I168" i="4"/>
  <c r="J168" i="4"/>
  <c r="H168" i="4"/>
  <c r="K168" i="4"/>
  <c r="M168" i="4"/>
  <c r="P169" i="3"/>
  <c r="Q169" i="3"/>
  <c r="S703" i="3"/>
  <c r="T703" i="3"/>
  <c r="U703" i="3"/>
  <c r="K703" i="3"/>
  <c r="L703" i="3"/>
  <c r="I703" i="3"/>
  <c r="D703" i="4"/>
  <c r="E703" i="4"/>
  <c r="F703" i="4"/>
  <c r="J704" i="3"/>
  <c r="R704" i="3"/>
  <c r="F705" i="3"/>
  <c r="D704" i="3"/>
  <c r="H704" i="3"/>
  <c r="E704" i="4"/>
  <c r="F704" i="4"/>
  <c r="I704" i="3"/>
  <c r="D704" i="4"/>
  <c r="F706" i="3"/>
  <c r="J705" i="3"/>
  <c r="R705" i="3"/>
  <c r="D705" i="3"/>
  <c r="H705" i="3"/>
  <c r="K704" i="3"/>
  <c r="L704" i="3"/>
  <c r="S704" i="3"/>
  <c r="T704" i="3"/>
  <c r="U704" i="3"/>
  <c r="L169" i="4"/>
  <c r="V169" i="3"/>
  <c r="S705" i="3"/>
  <c r="T705" i="3"/>
  <c r="U705" i="3"/>
  <c r="I705" i="3"/>
  <c r="D705" i="4"/>
  <c r="E705" i="4"/>
  <c r="F705" i="4"/>
  <c r="W169" i="3"/>
  <c r="X169" i="3"/>
  <c r="Y169" i="3"/>
  <c r="Z169" i="3"/>
  <c r="AA169" i="3"/>
  <c r="AB169" i="3"/>
  <c r="K705" i="3"/>
  <c r="L705" i="3"/>
  <c r="R706" i="3"/>
  <c r="F707" i="3"/>
  <c r="D706" i="3"/>
  <c r="H706" i="3"/>
  <c r="J706" i="3"/>
  <c r="K706" i="3"/>
  <c r="L706" i="3"/>
  <c r="C169" i="4"/>
  <c r="AC169" i="3"/>
  <c r="AD169" i="3"/>
  <c r="M170" i="3"/>
  <c r="E706" i="4"/>
  <c r="F706" i="4"/>
  <c r="I706" i="3"/>
  <c r="D706" i="4"/>
  <c r="R707" i="3"/>
  <c r="J707" i="3"/>
  <c r="D707" i="3"/>
  <c r="H707" i="3"/>
  <c r="F708" i="3"/>
  <c r="S706" i="3"/>
  <c r="T706" i="3"/>
  <c r="U706" i="3"/>
  <c r="I707" i="3"/>
  <c r="D707" i="4"/>
  <c r="E707" i="4"/>
  <c r="F707" i="4"/>
  <c r="K707" i="3"/>
  <c r="L707" i="3"/>
  <c r="R708" i="3"/>
  <c r="J708" i="3"/>
  <c r="F709" i="3"/>
  <c r="D708" i="3"/>
  <c r="H708" i="3"/>
  <c r="S707" i="3"/>
  <c r="T707" i="3"/>
  <c r="U707" i="3"/>
  <c r="N170" i="3"/>
  <c r="O170" i="3"/>
  <c r="AI170" i="3"/>
  <c r="G169" i="4"/>
  <c r="I169" i="4"/>
  <c r="J169" i="4"/>
  <c r="H169" i="4"/>
  <c r="K169" i="4"/>
  <c r="M169" i="4"/>
  <c r="R709" i="3"/>
  <c r="J709" i="3"/>
  <c r="F710" i="3"/>
  <c r="D709" i="3"/>
  <c r="H709" i="3"/>
  <c r="E708" i="4"/>
  <c r="F708" i="4"/>
  <c r="I708" i="3"/>
  <c r="D708" i="4"/>
  <c r="P170" i="3"/>
  <c r="Q170" i="3"/>
  <c r="K708" i="3"/>
  <c r="L708" i="3"/>
  <c r="S708" i="3"/>
  <c r="T708" i="3"/>
  <c r="U708" i="3"/>
  <c r="E709" i="4"/>
  <c r="F709" i="4"/>
  <c r="I709" i="3"/>
  <c r="D709" i="4"/>
  <c r="J710" i="3"/>
  <c r="R710" i="3"/>
  <c r="F711" i="3"/>
  <c r="D710" i="3"/>
  <c r="H710" i="3"/>
  <c r="L170" i="4"/>
  <c r="V170" i="3"/>
  <c r="K709" i="3"/>
  <c r="L709" i="3"/>
  <c r="S709" i="3"/>
  <c r="T709" i="3"/>
  <c r="U709" i="3"/>
  <c r="W170" i="3"/>
  <c r="X170" i="3"/>
  <c r="Y170" i="3"/>
  <c r="Z170" i="3"/>
  <c r="AA170" i="3"/>
  <c r="AB170" i="3"/>
  <c r="S710" i="3"/>
  <c r="T710" i="3"/>
  <c r="U710" i="3"/>
  <c r="E710" i="4"/>
  <c r="F710" i="4"/>
  <c r="I710" i="3"/>
  <c r="D710" i="4"/>
  <c r="J711" i="3"/>
  <c r="K711" i="3"/>
  <c r="L711" i="3"/>
  <c r="D711" i="3"/>
  <c r="H711" i="3"/>
  <c r="R711" i="3"/>
  <c r="F712" i="3"/>
  <c r="K710" i="3"/>
  <c r="L710" i="3"/>
  <c r="M171" i="3"/>
  <c r="C170" i="4"/>
  <c r="AC170" i="3"/>
  <c r="AD170" i="3"/>
  <c r="S711" i="3"/>
  <c r="T711" i="3"/>
  <c r="U711" i="3"/>
  <c r="I711" i="3"/>
  <c r="D711" i="4"/>
  <c r="E711" i="4"/>
  <c r="F711" i="4"/>
  <c r="D712" i="3"/>
  <c r="H712" i="3"/>
  <c r="J712" i="3"/>
  <c r="K712" i="3"/>
  <c r="L712" i="3"/>
  <c r="R712" i="3"/>
  <c r="F713" i="3"/>
  <c r="F714" i="3"/>
  <c r="R713" i="3"/>
  <c r="D713" i="3"/>
  <c r="H713" i="3"/>
  <c r="J713" i="3"/>
  <c r="K713" i="3"/>
  <c r="L713" i="3"/>
  <c r="S712" i="3"/>
  <c r="T712" i="3"/>
  <c r="U712" i="3"/>
  <c r="I712" i="3"/>
  <c r="D712" i="4"/>
  <c r="E712" i="4"/>
  <c r="F712" i="4"/>
  <c r="G170" i="4"/>
  <c r="I170" i="4"/>
  <c r="J170" i="4"/>
  <c r="H170" i="4"/>
  <c r="O171" i="3"/>
  <c r="N171" i="3"/>
  <c r="P171" i="3"/>
  <c r="Q171" i="3"/>
  <c r="AI171" i="3"/>
  <c r="K170" i="4"/>
  <c r="M170" i="4"/>
  <c r="S713" i="3"/>
  <c r="T713" i="3"/>
  <c r="U713" i="3"/>
  <c r="L171" i="4"/>
  <c r="V171" i="3"/>
  <c r="I713" i="3"/>
  <c r="D713" i="4"/>
  <c r="E713" i="4"/>
  <c r="F713" i="4"/>
  <c r="D714" i="3"/>
  <c r="H714" i="3"/>
  <c r="J714" i="3"/>
  <c r="K714" i="3"/>
  <c r="L714" i="3"/>
  <c r="F715" i="3"/>
  <c r="R714" i="3"/>
  <c r="S714" i="3"/>
  <c r="T714" i="3"/>
  <c r="U714" i="3"/>
  <c r="E714" i="4"/>
  <c r="F714" i="4"/>
  <c r="I714" i="3"/>
  <c r="D714" i="4"/>
  <c r="F716" i="3"/>
  <c r="J715" i="3"/>
  <c r="K715" i="3"/>
  <c r="L715" i="3"/>
  <c r="D715" i="3"/>
  <c r="H715" i="3"/>
  <c r="R715" i="3"/>
  <c r="W171" i="3"/>
  <c r="X171" i="3"/>
  <c r="Y171" i="3"/>
  <c r="Z171" i="3"/>
  <c r="AA171" i="3"/>
  <c r="AB171" i="3"/>
  <c r="M172" i="3"/>
  <c r="AC171" i="3"/>
  <c r="AD171" i="3"/>
  <c r="C171" i="4"/>
  <c r="I715" i="3"/>
  <c r="D715" i="4"/>
  <c r="E715" i="4"/>
  <c r="F715" i="4"/>
  <c r="D716" i="3"/>
  <c r="H716" i="3"/>
  <c r="R716" i="3"/>
  <c r="F717" i="3"/>
  <c r="J716" i="3"/>
  <c r="K716" i="3"/>
  <c r="L716" i="3"/>
  <c r="S715" i="3"/>
  <c r="T715" i="3"/>
  <c r="U715" i="3"/>
  <c r="S716" i="3"/>
  <c r="T716" i="3"/>
  <c r="U716" i="3"/>
  <c r="F718" i="3"/>
  <c r="D717" i="3"/>
  <c r="H717" i="3"/>
  <c r="R717" i="3"/>
  <c r="J717" i="3"/>
  <c r="I716" i="3"/>
  <c r="D716" i="4"/>
  <c r="E716" i="4"/>
  <c r="F716" i="4"/>
  <c r="G171" i="4"/>
  <c r="I171" i="4"/>
  <c r="J171" i="4"/>
  <c r="H171" i="4"/>
  <c r="AI172" i="3"/>
  <c r="N172" i="3"/>
  <c r="O172" i="3"/>
  <c r="I717" i="3"/>
  <c r="D717" i="4"/>
  <c r="E717" i="4"/>
  <c r="F717" i="4"/>
  <c r="P172" i="3"/>
  <c r="Q172" i="3"/>
  <c r="S717" i="3"/>
  <c r="T717" i="3"/>
  <c r="U717" i="3"/>
  <c r="M171" i="4"/>
  <c r="K171" i="4"/>
  <c r="K717" i="3"/>
  <c r="L717" i="3"/>
  <c r="F719" i="3"/>
  <c r="D718" i="3"/>
  <c r="H718" i="3"/>
  <c r="J718" i="3"/>
  <c r="R718" i="3"/>
  <c r="D719" i="3"/>
  <c r="H719" i="3"/>
  <c r="R719" i="3"/>
  <c r="J719" i="3"/>
  <c r="K719" i="3"/>
  <c r="L719" i="3"/>
  <c r="F720" i="3"/>
  <c r="S718" i="3"/>
  <c r="T718" i="3"/>
  <c r="U718" i="3"/>
  <c r="K718" i="3"/>
  <c r="L718" i="3"/>
  <c r="L172" i="4"/>
  <c r="V172" i="3"/>
  <c r="E718" i="4"/>
  <c r="F718" i="4"/>
  <c r="I718" i="3"/>
  <c r="D718" i="4"/>
  <c r="W172" i="3"/>
  <c r="X172" i="3"/>
  <c r="Y172" i="3"/>
  <c r="Z172" i="3"/>
  <c r="AA172" i="3"/>
  <c r="AB172" i="3"/>
  <c r="S719" i="3"/>
  <c r="T719" i="3"/>
  <c r="U719" i="3"/>
  <c r="D720" i="3"/>
  <c r="H720" i="3"/>
  <c r="J720" i="3"/>
  <c r="K720" i="3"/>
  <c r="L720" i="3"/>
  <c r="F721" i="3"/>
  <c r="R720" i="3"/>
  <c r="I719" i="3"/>
  <c r="D719" i="4"/>
  <c r="E719" i="4"/>
  <c r="F719" i="4"/>
  <c r="J721" i="3"/>
  <c r="K721" i="3"/>
  <c r="L721" i="3"/>
  <c r="F722" i="3"/>
  <c r="D721" i="3"/>
  <c r="H721" i="3"/>
  <c r="R721" i="3"/>
  <c r="AC172" i="3"/>
  <c r="AD172" i="3"/>
  <c r="M173" i="3"/>
  <c r="C172" i="4"/>
  <c r="S720" i="3"/>
  <c r="T720" i="3"/>
  <c r="U720" i="3"/>
  <c r="E720" i="4"/>
  <c r="F720" i="4"/>
  <c r="I720" i="3"/>
  <c r="D720" i="4"/>
  <c r="I721" i="3"/>
  <c r="D721" i="4"/>
  <c r="E721" i="4"/>
  <c r="F721" i="4"/>
  <c r="G172" i="4"/>
  <c r="I172" i="4"/>
  <c r="J172" i="4"/>
  <c r="H172" i="4"/>
  <c r="O173" i="3"/>
  <c r="AI173" i="3"/>
  <c r="N173" i="3"/>
  <c r="P173" i="3"/>
  <c r="Q173" i="3"/>
  <c r="S721" i="3"/>
  <c r="T721" i="3"/>
  <c r="U721" i="3"/>
  <c r="J722" i="3"/>
  <c r="K722" i="3"/>
  <c r="L722" i="3"/>
  <c r="R722" i="3"/>
  <c r="D722" i="3"/>
  <c r="H722" i="3"/>
  <c r="F723" i="3"/>
  <c r="R723" i="3"/>
  <c r="J723" i="3"/>
  <c r="D723" i="3"/>
  <c r="H723" i="3"/>
  <c r="F724" i="3"/>
  <c r="S722" i="3"/>
  <c r="T722" i="3"/>
  <c r="U722" i="3"/>
  <c r="K172" i="4"/>
  <c r="M172" i="4"/>
  <c r="L173" i="4"/>
  <c r="V173" i="3"/>
  <c r="I722" i="3"/>
  <c r="D722" i="4"/>
  <c r="E722" i="4"/>
  <c r="F722" i="4"/>
  <c r="W173" i="3"/>
  <c r="X173" i="3"/>
  <c r="Y173" i="3"/>
  <c r="Z173" i="3"/>
  <c r="AA173" i="3"/>
  <c r="AB173" i="3"/>
  <c r="J724" i="3"/>
  <c r="D724" i="3"/>
  <c r="H724" i="3"/>
  <c r="F725" i="3"/>
  <c r="R724" i="3"/>
  <c r="S723" i="3"/>
  <c r="T723" i="3"/>
  <c r="U723" i="3"/>
  <c r="E723" i="4"/>
  <c r="F723" i="4"/>
  <c r="I723" i="3"/>
  <c r="D723" i="4"/>
  <c r="K723" i="3"/>
  <c r="L723" i="3"/>
  <c r="M174" i="3"/>
  <c r="AC173" i="3"/>
  <c r="AD173" i="3"/>
  <c r="C173" i="4"/>
  <c r="F726" i="3"/>
  <c r="J725" i="3"/>
  <c r="D725" i="3"/>
  <c r="H725" i="3"/>
  <c r="R725" i="3"/>
  <c r="I724" i="3"/>
  <c r="D724" i="4"/>
  <c r="E724" i="4"/>
  <c r="F724" i="4"/>
  <c r="S724" i="3"/>
  <c r="T724" i="3"/>
  <c r="U724" i="3"/>
  <c r="K724" i="3"/>
  <c r="L724" i="3"/>
  <c r="I725" i="3"/>
  <c r="D725" i="4"/>
  <c r="E725" i="4"/>
  <c r="F725" i="4"/>
  <c r="K725" i="3"/>
  <c r="L725" i="3"/>
  <c r="S725" i="3"/>
  <c r="T725" i="3"/>
  <c r="U725" i="3"/>
  <c r="F727" i="3"/>
  <c r="R726" i="3"/>
  <c r="D726" i="3"/>
  <c r="H726" i="3"/>
  <c r="J726" i="3"/>
  <c r="G173" i="4"/>
  <c r="I173" i="4"/>
  <c r="J173" i="4"/>
  <c r="H173" i="4"/>
  <c r="N174" i="3"/>
  <c r="O174" i="3"/>
  <c r="AI174" i="3"/>
  <c r="S726" i="3"/>
  <c r="T726" i="3"/>
  <c r="U726" i="3"/>
  <c r="M173" i="4"/>
  <c r="K173" i="4"/>
  <c r="J727" i="3"/>
  <c r="R727" i="3"/>
  <c r="F728" i="3"/>
  <c r="D727" i="3"/>
  <c r="H727" i="3"/>
  <c r="I726" i="3"/>
  <c r="D726" i="4"/>
  <c r="E726" i="4"/>
  <c r="F726" i="4"/>
  <c r="P174" i="3"/>
  <c r="Q174" i="3"/>
  <c r="K726" i="3"/>
  <c r="L726" i="3"/>
  <c r="D728" i="3"/>
  <c r="H728" i="3"/>
  <c r="J728" i="3"/>
  <c r="K728" i="3"/>
  <c r="L728" i="3"/>
  <c r="F729" i="3"/>
  <c r="R728" i="3"/>
  <c r="K727" i="3"/>
  <c r="L727" i="3"/>
  <c r="L174" i="4"/>
  <c r="V174" i="3"/>
  <c r="E727" i="4"/>
  <c r="F727" i="4"/>
  <c r="I727" i="3"/>
  <c r="D727" i="4"/>
  <c r="S727" i="3"/>
  <c r="T727" i="3"/>
  <c r="U727" i="3"/>
  <c r="D729" i="3"/>
  <c r="H729" i="3"/>
  <c r="R729" i="3"/>
  <c r="J729" i="3"/>
  <c r="K729" i="3"/>
  <c r="L729" i="3"/>
  <c r="F730" i="3"/>
  <c r="W174" i="3"/>
  <c r="X174" i="3"/>
  <c r="Y174" i="3"/>
  <c r="Z174" i="3"/>
  <c r="AA174" i="3"/>
  <c r="AB174" i="3"/>
  <c r="S728" i="3"/>
  <c r="T728" i="3"/>
  <c r="U728" i="3"/>
  <c r="E728" i="4"/>
  <c r="F728" i="4"/>
  <c r="I728" i="3"/>
  <c r="D728" i="4"/>
  <c r="C174" i="4"/>
  <c r="M175" i="3"/>
  <c r="AC174" i="3"/>
  <c r="AD174" i="3"/>
  <c r="J730" i="3"/>
  <c r="F731" i="3"/>
  <c r="R730" i="3"/>
  <c r="D730" i="3"/>
  <c r="H730" i="3"/>
  <c r="S729" i="3"/>
  <c r="T729" i="3"/>
  <c r="U729" i="3"/>
  <c r="E729" i="4"/>
  <c r="F729" i="4"/>
  <c r="I729" i="3"/>
  <c r="D729" i="4"/>
  <c r="F732" i="3"/>
  <c r="R731" i="3"/>
  <c r="D731" i="3"/>
  <c r="H731" i="3"/>
  <c r="J731" i="3"/>
  <c r="K731" i="3"/>
  <c r="L731" i="3"/>
  <c r="E730" i="4"/>
  <c r="F730" i="4"/>
  <c r="I730" i="3"/>
  <c r="D730" i="4"/>
  <c r="S730" i="3"/>
  <c r="T730" i="3"/>
  <c r="U730" i="3"/>
  <c r="O175" i="3"/>
  <c r="N175" i="3"/>
  <c r="P175" i="3"/>
  <c r="Q175" i="3"/>
  <c r="AI175" i="3"/>
  <c r="K730" i="3"/>
  <c r="L730" i="3"/>
  <c r="G174" i="4"/>
  <c r="I174" i="4"/>
  <c r="J174" i="4"/>
  <c r="H174" i="4"/>
  <c r="M174" i="4"/>
  <c r="K174" i="4"/>
  <c r="R732" i="3"/>
  <c r="D732" i="3"/>
  <c r="H732" i="3"/>
  <c r="J732" i="3"/>
  <c r="F733" i="3"/>
  <c r="L175" i="4"/>
  <c r="V175" i="3"/>
  <c r="I731" i="3"/>
  <c r="D731" i="4"/>
  <c r="E731" i="4"/>
  <c r="F731" i="4"/>
  <c r="S731" i="3"/>
  <c r="T731" i="3"/>
  <c r="U731" i="3"/>
  <c r="W175" i="3"/>
  <c r="X175" i="3"/>
  <c r="Y175" i="3"/>
  <c r="Z175" i="3"/>
  <c r="AA175" i="3"/>
  <c r="AB175" i="3"/>
  <c r="K732" i="3"/>
  <c r="L732" i="3"/>
  <c r="D733" i="3"/>
  <c r="H733" i="3"/>
  <c r="R733" i="3"/>
  <c r="J733" i="3"/>
  <c r="K733" i="3"/>
  <c r="L733" i="3"/>
  <c r="F734" i="3"/>
  <c r="I732" i="3"/>
  <c r="D732" i="4"/>
  <c r="E732" i="4"/>
  <c r="F732" i="4"/>
  <c r="S732" i="3"/>
  <c r="T732" i="3"/>
  <c r="U732" i="3"/>
  <c r="M176" i="3"/>
  <c r="C175" i="4"/>
  <c r="AC175" i="3"/>
  <c r="AD175" i="3"/>
  <c r="D734" i="3"/>
  <c r="H734" i="3"/>
  <c r="R734" i="3"/>
  <c r="F735" i="3"/>
  <c r="J734" i="3"/>
  <c r="S733" i="3"/>
  <c r="T733" i="3"/>
  <c r="U733" i="3"/>
  <c r="E733" i="4"/>
  <c r="F733" i="4"/>
  <c r="I733" i="3"/>
  <c r="D733" i="4"/>
  <c r="I734" i="3"/>
  <c r="D734" i="4"/>
  <c r="E734" i="4"/>
  <c r="F734" i="4"/>
  <c r="D735" i="3"/>
  <c r="H735" i="3"/>
  <c r="R735" i="3"/>
  <c r="J735" i="3"/>
  <c r="K735" i="3"/>
  <c r="L735" i="3"/>
  <c r="F736" i="3"/>
  <c r="K734" i="3"/>
  <c r="L734" i="3"/>
  <c r="S734" i="3"/>
  <c r="T734" i="3"/>
  <c r="U734" i="3"/>
  <c r="G175" i="4"/>
  <c r="I175" i="4"/>
  <c r="J175" i="4"/>
  <c r="H175" i="4"/>
  <c r="AI176" i="3"/>
  <c r="N176" i="3"/>
  <c r="O176" i="3"/>
  <c r="J736" i="3"/>
  <c r="R736" i="3"/>
  <c r="D736" i="3"/>
  <c r="H736" i="3"/>
  <c r="F737" i="3"/>
  <c r="S735" i="3"/>
  <c r="T735" i="3"/>
  <c r="U735" i="3"/>
  <c r="P176" i="3"/>
  <c r="Q176" i="3"/>
  <c r="M175" i="4"/>
  <c r="K175" i="4"/>
  <c r="E735" i="4"/>
  <c r="F735" i="4"/>
  <c r="I735" i="3"/>
  <c r="D735" i="4"/>
  <c r="I736" i="3"/>
  <c r="D736" i="4"/>
  <c r="E736" i="4"/>
  <c r="F736" i="4"/>
  <c r="F738" i="3"/>
  <c r="D737" i="3"/>
  <c r="H737" i="3"/>
  <c r="R737" i="3"/>
  <c r="J737" i="3"/>
  <c r="K737" i="3"/>
  <c r="L737" i="3"/>
  <c r="S736" i="3"/>
  <c r="T736" i="3"/>
  <c r="U736" i="3"/>
  <c r="L176" i="4"/>
  <c r="V176" i="3"/>
  <c r="K736" i="3"/>
  <c r="L736" i="3"/>
  <c r="W176" i="3"/>
  <c r="X176" i="3"/>
  <c r="Y176" i="3"/>
  <c r="Z176" i="3"/>
  <c r="AA176" i="3"/>
  <c r="AB176" i="3"/>
  <c r="S737" i="3"/>
  <c r="T737" i="3"/>
  <c r="U737" i="3"/>
  <c r="F739" i="3"/>
  <c r="J738" i="3"/>
  <c r="R738" i="3"/>
  <c r="D738" i="3"/>
  <c r="H738" i="3"/>
  <c r="I737" i="3"/>
  <c r="D737" i="4"/>
  <c r="E737" i="4"/>
  <c r="F737" i="4"/>
  <c r="C176" i="4"/>
  <c r="AC176" i="3"/>
  <c r="AD176" i="3"/>
  <c r="M177" i="3"/>
  <c r="K738" i="3"/>
  <c r="L738" i="3"/>
  <c r="E738" i="4"/>
  <c r="F738" i="4"/>
  <c r="I738" i="3"/>
  <c r="D738" i="4"/>
  <c r="S738" i="3"/>
  <c r="T738" i="3"/>
  <c r="U738" i="3"/>
  <c r="D739" i="3"/>
  <c r="H739" i="3"/>
  <c r="J739" i="3"/>
  <c r="K739" i="3"/>
  <c r="L739" i="3"/>
  <c r="R739" i="3"/>
  <c r="F740" i="3"/>
  <c r="R740" i="3"/>
  <c r="F741" i="3"/>
  <c r="J740" i="3"/>
  <c r="D740" i="3"/>
  <c r="H740" i="3"/>
  <c r="S739" i="3"/>
  <c r="T739" i="3"/>
  <c r="U739" i="3"/>
  <c r="G176" i="4"/>
  <c r="I176" i="4"/>
  <c r="J176" i="4"/>
  <c r="H176" i="4"/>
  <c r="E739" i="4"/>
  <c r="F739" i="4"/>
  <c r="I739" i="3"/>
  <c r="D739" i="4"/>
  <c r="O177" i="3"/>
  <c r="N177" i="3"/>
  <c r="AI177" i="3"/>
  <c r="P177" i="3"/>
  <c r="Q177" i="3"/>
  <c r="I740" i="3"/>
  <c r="D740" i="4"/>
  <c r="E740" i="4"/>
  <c r="F740" i="4"/>
  <c r="K176" i="4"/>
  <c r="M176" i="4"/>
  <c r="F742" i="3"/>
  <c r="J741" i="3"/>
  <c r="K741" i="3"/>
  <c r="L741" i="3"/>
  <c r="D741" i="3"/>
  <c r="H741" i="3"/>
  <c r="R741" i="3"/>
  <c r="K740" i="3"/>
  <c r="L740" i="3"/>
  <c r="S740" i="3"/>
  <c r="T740" i="3"/>
  <c r="U740" i="3"/>
  <c r="S741" i="3"/>
  <c r="T741" i="3"/>
  <c r="U741" i="3"/>
  <c r="R742" i="3"/>
  <c r="F743" i="3"/>
  <c r="J742" i="3"/>
  <c r="D742" i="3"/>
  <c r="H742" i="3"/>
  <c r="E741" i="4"/>
  <c r="F741" i="4"/>
  <c r="I741" i="3"/>
  <c r="D741" i="4"/>
  <c r="L177" i="4"/>
  <c r="V177" i="3"/>
  <c r="W177" i="3"/>
  <c r="X177" i="3"/>
  <c r="Y177" i="3"/>
  <c r="Z177" i="3"/>
  <c r="AA177" i="3"/>
  <c r="AB177" i="3"/>
  <c r="R743" i="3"/>
  <c r="J743" i="3"/>
  <c r="F744" i="3"/>
  <c r="D743" i="3"/>
  <c r="H743" i="3"/>
  <c r="E742" i="4"/>
  <c r="F742" i="4"/>
  <c r="I742" i="3"/>
  <c r="D742" i="4"/>
  <c r="K742" i="3"/>
  <c r="L742" i="3"/>
  <c r="S742" i="3"/>
  <c r="T742" i="3"/>
  <c r="U742" i="3"/>
  <c r="I743" i="3"/>
  <c r="D743" i="4"/>
  <c r="E743" i="4"/>
  <c r="F743" i="4"/>
  <c r="S743" i="3"/>
  <c r="T743" i="3"/>
  <c r="U743" i="3"/>
  <c r="AC177" i="3"/>
  <c r="AD177" i="3"/>
  <c r="M178" i="3"/>
  <c r="C177" i="4"/>
  <c r="R744" i="3"/>
  <c r="F745" i="3"/>
  <c r="D744" i="3"/>
  <c r="H744" i="3"/>
  <c r="J744" i="3"/>
  <c r="K744" i="3"/>
  <c r="L744" i="3"/>
  <c r="K743" i="3"/>
  <c r="L743" i="3"/>
  <c r="G177" i="4"/>
  <c r="I177" i="4"/>
  <c r="J177" i="4"/>
  <c r="H177" i="4"/>
  <c r="S744" i="3"/>
  <c r="T744" i="3"/>
  <c r="U744" i="3"/>
  <c r="N178" i="3"/>
  <c r="P178" i="3"/>
  <c r="Q178" i="3"/>
  <c r="O178" i="3"/>
  <c r="AI178" i="3"/>
  <c r="I744" i="3"/>
  <c r="D744" i="4"/>
  <c r="E744" i="4"/>
  <c r="F744" i="4"/>
  <c r="F746" i="3"/>
  <c r="D745" i="3"/>
  <c r="H745" i="3"/>
  <c r="J745" i="3"/>
  <c r="R745" i="3"/>
  <c r="E745" i="4"/>
  <c r="F745" i="4"/>
  <c r="I745" i="3"/>
  <c r="D745" i="4"/>
  <c r="S745" i="3"/>
  <c r="T745" i="3"/>
  <c r="U745" i="3"/>
  <c r="L178" i="4"/>
  <c r="V178" i="3"/>
  <c r="K745" i="3"/>
  <c r="L745" i="3"/>
  <c r="M177" i="4"/>
  <c r="K177" i="4"/>
  <c r="D746" i="3"/>
  <c r="H746" i="3"/>
  <c r="J746" i="3"/>
  <c r="F747" i="3"/>
  <c r="R746" i="3"/>
  <c r="S746" i="3"/>
  <c r="T746" i="3"/>
  <c r="U746" i="3"/>
  <c r="K746" i="3"/>
  <c r="L746" i="3"/>
  <c r="I746" i="3"/>
  <c r="D746" i="4"/>
  <c r="E746" i="4"/>
  <c r="F746" i="4"/>
  <c r="W178" i="3"/>
  <c r="X178" i="3"/>
  <c r="Y178" i="3"/>
  <c r="Z178" i="3"/>
  <c r="AA178" i="3"/>
  <c r="AB178" i="3"/>
  <c r="F748" i="3"/>
  <c r="D747" i="3"/>
  <c r="H747" i="3"/>
  <c r="R747" i="3"/>
  <c r="J747" i="3"/>
  <c r="R748" i="3"/>
  <c r="J748" i="3"/>
  <c r="D748" i="3"/>
  <c r="H748" i="3"/>
  <c r="F749" i="3"/>
  <c r="E747" i="4"/>
  <c r="F747" i="4"/>
  <c r="I747" i="3"/>
  <c r="D747" i="4"/>
  <c r="K747" i="3"/>
  <c r="L747" i="3"/>
  <c r="S747" i="3"/>
  <c r="T747" i="3"/>
  <c r="U747" i="3"/>
  <c r="AC178" i="3"/>
  <c r="AD178" i="3"/>
  <c r="C178" i="4"/>
  <c r="M179" i="3"/>
  <c r="G178" i="4"/>
  <c r="I178" i="4"/>
  <c r="J178" i="4"/>
  <c r="H178" i="4"/>
  <c r="F750" i="3"/>
  <c r="J749" i="3"/>
  <c r="K749" i="3"/>
  <c r="L749" i="3"/>
  <c r="D749" i="3"/>
  <c r="H749" i="3"/>
  <c r="R749" i="3"/>
  <c r="K748" i="3"/>
  <c r="L748" i="3"/>
  <c r="N179" i="3"/>
  <c r="AI179" i="3"/>
  <c r="O179" i="3"/>
  <c r="E748" i="4"/>
  <c r="F748" i="4"/>
  <c r="I748" i="3"/>
  <c r="D748" i="4"/>
  <c r="S748" i="3"/>
  <c r="T748" i="3"/>
  <c r="U748" i="3"/>
  <c r="S749" i="3"/>
  <c r="T749" i="3"/>
  <c r="U749" i="3"/>
  <c r="E749" i="4"/>
  <c r="F749" i="4"/>
  <c r="I749" i="3"/>
  <c r="D749" i="4"/>
  <c r="D750" i="3"/>
  <c r="H750" i="3"/>
  <c r="F751" i="3"/>
  <c r="J750" i="3"/>
  <c r="K750" i="3"/>
  <c r="L750" i="3"/>
  <c r="R750" i="3"/>
  <c r="P179" i="3"/>
  <c r="Q179" i="3"/>
  <c r="K178" i="4"/>
  <c r="M178" i="4"/>
  <c r="R751" i="3"/>
  <c r="D751" i="3"/>
  <c r="H751" i="3"/>
  <c r="F752" i="3"/>
  <c r="J751" i="3"/>
  <c r="K751" i="3"/>
  <c r="L751" i="3"/>
  <c r="L179" i="4"/>
  <c r="V179" i="3"/>
  <c r="S750" i="3"/>
  <c r="T750" i="3"/>
  <c r="U750" i="3"/>
  <c r="E750" i="4"/>
  <c r="F750" i="4"/>
  <c r="I750" i="3"/>
  <c r="D750" i="4"/>
  <c r="W179" i="3"/>
  <c r="X179" i="3"/>
  <c r="Y179" i="3"/>
  <c r="Z179" i="3"/>
  <c r="AA179" i="3"/>
  <c r="AB179" i="3"/>
  <c r="F753" i="3"/>
  <c r="J752" i="3"/>
  <c r="R752" i="3"/>
  <c r="D752" i="3"/>
  <c r="H752" i="3"/>
  <c r="I751" i="3"/>
  <c r="D751" i="4"/>
  <c r="E751" i="4"/>
  <c r="F751" i="4"/>
  <c r="S751" i="3"/>
  <c r="T751" i="3"/>
  <c r="U751" i="3"/>
  <c r="K752" i="3"/>
  <c r="L752" i="3"/>
  <c r="M180" i="3"/>
  <c r="AC179" i="3"/>
  <c r="AD179" i="3"/>
  <c r="C179" i="4"/>
  <c r="I752" i="3"/>
  <c r="D752" i="4"/>
  <c r="E752" i="4"/>
  <c r="F752" i="4"/>
  <c r="S752" i="3"/>
  <c r="T752" i="3"/>
  <c r="U752" i="3"/>
  <c r="F754" i="3"/>
  <c r="R753" i="3"/>
  <c r="J753" i="3"/>
  <c r="D753" i="3"/>
  <c r="H753" i="3"/>
  <c r="F755" i="3"/>
  <c r="J754" i="3"/>
  <c r="R754" i="3"/>
  <c r="D754" i="3"/>
  <c r="H754" i="3"/>
  <c r="I753" i="3"/>
  <c r="D753" i="4"/>
  <c r="E753" i="4"/>
  <c r="F753" i="4"/>
  <c r="S753" i="3"/>
  <c r="T753" i="3"/>
  <c r="U753" i="3"/>
  <c r="O180" i="3"/>
  <c r="AI180" i="3"/>
  <c r="N180" i="3"/>
  <c r="P180" i="3"/>
  <c r="Q180" i="3"/>
  <c r="K753" i="3"/>
  <c r="L753" i="3"/>
  <c r="G179" i="4"/>
  <c r="I179" i="4"/>
  <c r="J179" i="4"/>
  <c r="H179" i="4"/>
  <c r="K179" i="4"/>
  <c r="M179" i="4"/>
  <c r="I754" i="3"/>
  <c r="D754" i="4"/>
  <c r="E754" i="4"/>
  <c r="F754" i="4"/>
  <c r="K754" i="3"/>
  <c r="L754" i="3"/>
  <c r="L180" i="4"/>
  <c r="V180" i="3"/>
  <c r="S754" i="3"/>
  <c r="T754" i="3"/>
  <c r="U754" i="3"/>
  <c r="J755" i="3"/>
  <c r="F756" i="3"/>
  <c r="D755" i="3"/>
  <c r="H755" i="3"/>
  <c r="R755" i="3"/>
  <c r="S755" i="3"/>
  <c r="T755" i="3"/>
  <c r="U755" i="3"/>
  <c r="I755" i="3"/>
  <c r="D755" i="4"/>
  <c r="E755" i="4"/>
  <c r="F755" i="4"/>
  <c r="R756" i="3"/>
  <c r="D756" i="3"/>
  <c r="H756" i="3"/>
  <c r="F757" i="3"/>
  <c r="J756" i="3"/>
  <c r="K756" i="3"/>
  <c r="L756" i="3"/>
  <c r="K755" i="3"/>
  <c r="L755" i="3"/>
  <c r="W180" i="3"/>
  <c r="X180" i="3"/>
  <c r="Y180" i="3"/>
  <c r="Z180" i="3"/>
  <c r="AA180" i="3"/>
  <c r="AB180" i="3"/>
  <c r="F758" i="3"/>
  <c r="D757" i="3"/>
  <c r="H757" i="3"/>
  <c r="J757" i="3"/>
  <c r="K757" i="3"/>
  <c r="L757" i="3"/>
  <c r="R757" i="3"/>
  <c r="C180" i="4"/>
  <c r="AC180" i="3"/>
  <c r="AD180" i="3"/>
  <c r="M181" i="3"/>
  <c r="S756" i="3"/>
  <c r="T756" i="3"/>
  <c r="U756" i="3"/>
  <c r="I756" i="3"/>
  <c r="D756" i="4"/>
  <c r="E756" i="4"/>
  <c r="F756" i="4"/>
  <c r="S757" i="3"/>
  <c r="T757" i="3"/>
  <c r="U757" i="3"/>
  <c r="R758" i="3"/>
  <c r="F759" i="3"/>
  <c r="J758" i="3"/>
  <c r="K758" i="3"/>
  <c r="L758" i="3"/>
  <c r="D758" i="3"/>
  <c r="H758" i="3"/>
  <c r="AI181" i="3"/>
  <c r="O181" i="3"/>
  <c r="N181" i="3"/>
  <c r="G180" i="4"/>
  <c r="I180" i="4"/>
  <c r="J180" i="4"/>
  <c r="H180" i="4"/>
  <c r="E757" i="4"/>
  <c r="F757" i="4"/>
  <c r="I757" i="3"/>
  <c r="D757" i="4"/>
  <c r="J759" i="3"/>
  <c r="R759" i="3"/>
  <c r="F760" i="3"/>
  <c r="D759" i="3"/>
  <c r="H759" i="3"/>
  <c r="K180" i="4"/>
  <c r="M180" i="4"/>
  <c r="P181" i="3"/>
  <c r="Q181" i="3"/>
  <c r="E758" i="4"/>
  <c r="F758" i="4"/>
  <c r="I758" i="3"/>
  <c r="D758" i="4"/>
  <c r="S758" i="3"/>
  <c r="T758" i="3"/>
  <c r="U758" i="3"/>
  <c r="L181" i="4"/>
  <c r="V181" i="3"/>
  <c r="R760" i="3"/>
  <c r="D760" i="3"/>
  <c r="H760" i="3"/>
  <c r="J760" i="3"/>
  <c r="F761" i="3"/>
  <c r="S759" i="3"/>
  <c r="T759" i="3"/>
  <c r="U759" i="3"/>
  <c r="I759" i="3"/>
  <c r="D759" i="4"/>
  <c r="E759" i="4"/>
  <c r="F759" i="4"/>
  <c r="K759" i="3"/>
  <c r="L759" i="3"/>
  <c r="J761" i="3"/>
  <c r="F762" i="3"/>
  <c r="D761" i="3"/>
  <c r="H761" i="3"/>
  <c r="R761" i="3"/>
  <c r="S760" i="3"/>
  <c r="T760" i="3"/>
  <c r="U760" i="3"/>
  <c r="E760" i="4"/>
  <c r="F760" i="4"/>
  <c r="I760" i="3"/>
  <c r="D760" i="4"/>
  <c r="K760" i="3"/>
  <c r="L760" i="3"/>
  <c r="W181" i="3"/>
  <c r="X181" i="3"/>
  <c r="Y181" i="3"/>
  <c r="Z181" i="3"/>
  <c r="AA181" i="3"/>
  <c r="AB181" i="3"/>
  <c r="AC181" i="3"/>
  <c r="AD181" i="3"/>
  <c r="M182" i="3"/>
  <c r="C181" i="4"/>
  <c r="E761" i="4"/>
  <c r="F761" i="4"/>
  <c r="I761" i="3"/>
  <c r="D761" i="4"/>
  <c r="J762" i="3"/>
  <c r="D762" i="3"/>
  <c r="H762" i="3"/>
  <c r="R762" i="3"/>
  <c r="F763" i="3"/>
  <c r="S761" i="3"/>
  <c r="T761" i="3"/>
  <c r="U761" i="3"/>
  <c r="K761" i="3"/>
  <c r="L761" i="3"/>
  <c r="E762" i="4"/>
  <c r="F762" i="4"/>
  <c r="I762" i="3"/>
  <c r="D762" i="4"/>
  <c r="R763" i="3"/>
  <c r="J763" i="3"/>
  <c r="D763" i="3"/>
  <c r="H763" i="3"/>
  <c r="F764" i="3"/>
  <c r="K762" i="3"/>
  <c r="L762" i="3"/>
  <c r="S762" i="3"/>
  <c r="T762" i="3"/>
  <c r="U762" i="3"/>
  <c r="N182" i="3"/>
  <c r="P182" i="3"/>
  <c r="Q182" i="3"/>
  <c r="O182" i="3"/>
  <c r="AI182" i="3"/>
  <c r="G181" i="4"/>
  <c r="I181" i="4"/>
  <c r="J181" i="4"/>
  <c r="H181" i="4"/>
  <c r="L182" i="4"/>
  <c r="V182" i="3"/>
  <c r="M181" i="4"/>
  <c r="K181" i="4"/>
  <c r="J764" i="3"/>
  <c r="D764" i="3"/>
  <c r="H764" i="3"/>
  <c r="F765" i="3"/>
  <c r="R764" i="3"/>
  <c r="S763" i="3"/>
  <c r="T763" i="3"/>
  <c r="U763" i="3"/>
  <c r="E763" i="4"/>
  <c r="F763" i="4"/>
  <c r="I763" i="3"/>
  <c r="D763" i="4"/>
  <c r="K763" i="3"/>
  <c r="L763" i="3"/>
  <c r="S764" i="3"/>
  <c r="T764" i="3"/>
  <c r="U764" i="3"/>
  <c r="D765" i="3"/>
  <c r="H765" i="3"/>
  <c r="J765" i="3"/>
  <c r="K765" i="3"/>
  <c r="L765" i="3"/>
  <c r="R765" i="3"/>
  <c r="F766" i="3"/>
  <c r="K764" i="3"/>
  <c r="L764" i="3"/>
  <c r="W182" i="3"/>
  <c r="X182" i="3"/>
  <c r="Y182" i="3"/>
  <c r="Z182" i="3"/>
  <c r="AA182" i="3"/>
  <c r="AB182" i="3"/>
  <c r="E764" i="4"/>
  <c r="F764" i="4"/>
  <c r="I764" i="3"/>
  <c r="D764" i="4"/>
  <c r="M183" i="3"/>
  <c r="C182" i="4"/>
  <c r="AC182" i="3"/>
  <c r="AD182" i="3"/>
  <c r="F767" i="3"/>
  <c r="D766" i="3"/>
  <c r="H766" i="3"/>
  <c r="R766" i="3"/>
  <c r="J766" i="3"/>
  <c r="S765" i="3"/>
  <c r="T765" i="3"/>
  <c r="U765" i="3"/>
  <c r="E765" i="4"/>
  <c r="F765" i="4"/>
  <c r="I765" i="3"/>
  <c r="D765" i="4"/>
  <c r="E766" i="4"/>
  <c r="F766" i="4"/>
  <c r="I766" i="3"/>
  <c r="D766" i="4"/>
  <c r="S766" i="3"/>
  <c r="T766" i="3"/>
  <c r="U766" i="3"/>
  <c r="G182" i="4"/>
  <c r="I182" i="4"/>
  <c r="J182" i="4"/>
  <c r="H182" i="4"/>
  <c r="K766" i="3"/>
  <c r="L766" i="3"/>
  <c r="R767" i="3"/>
  <c r="D767" i="3"/>
  <c r="H767" i="3"/>
  <c r="J767" i="3"/>
  <c r="K767" i="3"/>
  <c r="L767" i="3"/>
  <c r="F768" i="3"/>
  <c r="AI183" i="3"/>
  <c r="O183" i="3"/>
  <c r="N183" i="3"/>
  <c r="P183" i="3"/>
  <c r="Q183" i="3"/>
  <c r="S767" i="3"/>
  <c r="T767" i="3"/>
  <c r="U767" i="3"/>
  <c r="J768" i="3"/>
  <c r="F769" i="3"/>
  <c r="D768" i="3"/>
  <c r="H768" i="3"/>
  <c r="R768" i="3"/>
  <c r="I767" i="3"/>
  <c r="D767" i="4"/>
  <c r="E767" i="4"/>
  <c r="F767" i="4"/>
  <c r="M182" i="4"/>
  <c r="K182" i="4"/>
  <c r="L183" i="4"/>
  <c r="V183" i="3"/>
  <c r="W183" i="3"/>
  <c r="X183" i="3"/>
  <c r="Y183" i="3"/>
  <c r="Z183" i="3"/>
  <c r="AA183" i="3"/>
  <c r="AB183" i="3"/>
  <c r="R769" i="3"/>
  <c r="D769" i="3"/>
  <c r="H769" i="3"/>
  <c r="F770" i="3"/>
  <c r="J769" i="3"/>
  <c r="K769" i="3"/>
  <c r="L769" i="3"/>
  <c r="S768" i="3"/>
  <c r="T768" i="3"/>
  <c r="U768" i="3"/>
  <c r="E768" i="4"/>
  <c r="F768" i="4"/>
  <c r="I768" i="3"/>
  <c r="D768" i="4"/>
  <c r="K768" i="3"/>
  <c r="L768" i="3"/>
  <c r="I769" i="3"/>
  <c r="D769" i="4"/>
  <c r="E769" i="4"/>
  <c r="F769" i="4"/>
  <c r="AC183" i="3"/>
  <c r="AD183" i="3"/>
  <c r="M184" i="3"/>
  <c r="C183" i="4"/>
  <c r="D770" i="3"/>
  <c r="H770" i="3"/>
  <c r="J770" i="3"/>
  <c r="F771" i="3"/>
  <c r="R770" i="3"/>
  <c r="S769" i="3"/>
  <c r="T769" i="3"/>
  <c r="U769" i="3"/>
  <c r="I770" i="3"/>
  <c r="D770" i="4"/>
  <c r="E770" i="4"/>
  <c r="F770" i="4"/>
  <c r="J771" i="3"/>
  <c r="R771" i="3"/>
  <c r="D771" i="3"/>
  <c r="H771" i="3"/>
  <c r="F772" i="3"/>
  <c r="G183" i="4"/>
  <c r="I183" i="4"/>
  <c r="J183" i="4"/>
  <c r="H183" i="4"/>
  <c r="S770" i="3"/>
  <c r="T770" i="3"/>
  <c r="U770" i="3"/>
  <c r="K770" i="3"/>
  <c r="L770" i="3"/>
  <c r="AI184" i="3"/>
  <c r="N184" i="3"/>
  <c r="O184" i="3"/>
  <c r="P184" i="3"/>
  <c r="Q184" i="3"/>
  <c r="K771" i="3"/>
  <c r="L771" i="3"/>
  <c r="I771" i="3"/>
  <c r="D771" i="4"/>
  <c r="E771" i="4"/>
  <c r="F771" i="4"/>
  <c r="K183" i="4"/>
  <c r="M183" i="4"/>
  <c r="D772" i="3"/>
  <c r="H772" i="3"/>
  <c r="F773" i="3"/>
  <c r="R772" i="3"/>
  <c r="J772" i="3"/>
  <c r="S771" i="3"/>
  <c r="T771" i="3"/>
  <c r="U771" i="3"/>
  <c r="F774" i="3"/>
  <c r="J773" i="3"/>
  <c r="R773" i="3"/>
  <c r="D773" i="3"/>
  <c r="H773" i="3"/>
  <c r="S772" i="3"/>
  <c r="T772" i="3"/>
  <c r="U772" i="3"/>
  <c r="K772" i="3"/>
  <c r="L772" i="3"/>
  <c r="L184" i="4"/>
  <c r="V184" i="3"/>
  <c r="I772" i="3"/>
  <c r="D772" i="4"/>
  <c r="E772" i="4"/>
  <c r="F772" i="4"/>
  <c r="E773" i="4"/>
  <c r="F773" i="4"/>
  <c r="I773" i="3"/>
  <c r="D773" i="4"/>
  <c r="W184" i="3"/>
  <c r="X184" i="3"/>
  <c r="Y184" i="3"/>
  <c r="Z184" i="3"/>
  <c r="AA184" i="3"/>
  <c r="AB184" i="3"/>
  <c r="K773" i="3"/>
  <c r="L773" i="3"/>
  <c r="S773" i="3"/>
  <c r="T773" i="3"/>
  <c r="U773" i="3"/>
  <c r="D774" i="3"/>
  <c r="H774" i="3"/>
  <c r="F775" i="3"/>
  <c r="J774" i="3"/>
  <c r="R774" i="3"/>
  <c r="I774" i="3"/>
  <c r="D774" i="4"/>
  <c r="E774" i="4"/>
  <c r="F774" i="4"/>
  <c r="S774" i="3"/>
  <c r="T774" i="3"/>
  <c r="U774" i="3"/>
  <c r="C184" i="4"/>
  <c r="M185" i="3"/>
  <c r="AC184" i="3"/>
  <c r="AD184" i="3"/>
  <c r="J775" i="3"/>
  <c r="K775" i="3"/>
  <c r="L775" i="3"/>
  <c r="R775" i="3"/>
  <c r="D775" i="3"/>
  <c r="H775" i="3"/>
  <c r="F776" i="3"/>
  <c r="K774" i="3"/>
  <c r="L774" i="3"/>
  <c r="R776" i="3"/>
  <c r="F777" i="3"/>
  <c r="J776" i="3"/>
  <c r="D776" i="3"/>
  <c r="H776" i="3"/>
  <c r="E775" i="4"/>
  <c r="F775" i="4"/>
  <c r="I775" i="3"/>
  <c r="D775" i="4"/>
  <c r="S775" i="3"/>
  <c r="T775" i="3"/>
  <c r="U775" i="3"/>
  <c r="AI185" i="3"/>
  <c r="N185" i="3"/>
  <c r="O185" i="3"/>
  <c r="G184" i="4"/>
  <c r="I184" i="4"/>
  <c r="J184" i="4"/>
  <c r="H184" i="4"/>
  <c r="K184" i="4"/>
  <c r="M184" i="4"/>
  <c r="I776" i="3"/>
  <c r="D776" i="4"/>
  <c r="E776" i="4"/>
  <c r="F776" i="4"/>
  <c r="F778" i="3"/>
  <c r="R777" i="3"/>
  <c r="D777" i="3"/>
  <c r="H777" i="3"/>
  <c r="J777" i="3"/>
  <c r="P185" i="3"/>
  <c r="Q185" i="3"/>
  <c r="K776" i="3"/>
  <c r="L776" i="3"/>
  <c r="S776" i="3"/>
  <c r="T776" i="3"/>
  <c r="U776" i="3"/>
  <c r="E777" i="4"/>
  <c r="F777" i="4"/>
  <c r="I777" i="3"/>
  <c r="D777" i="4"/>
  <c r="K777" i="3"/>
  <c r="L777" i="3"/>
  <c r="R778" i="3"/>
  <c r="F779" i="3"/>
  <c r="J778" i="3"/>
  <c r="K778" i="3"/>
  <c r="L778" i="3"/>
  <c r="D778" i="3"/>
  <c r="H778" i="3"/>
  <c r="L185" i="4"/>
  <c r="V185" i="3"/>
  <c r="S777" i="3"/>
  <c r="T777" i="3"/>
  <c r="U777" i="3"/>
  <c r="I778" i="3"/>
  <c r="D778" i="4"/>
  <c r="E778" i="4"/>
  <c r="F778" i="4"/>
  <c r="S778" i="3"/>
  <c r="T778" i="3"/>
  <c r="U778" i="3"/>
  <c r="W185" i="3"/>
  <c r="X185" i="3"/>
  <c r="Y185" i="3"/>
  <c r="Z185" i="3"/>
  <c r="AA185" i="3"/>
  <c r="AB185" i="3"/>
  <c r="R779" i="3"/>
  <c r="F780" i="3"/>
  <c r="D779" i="3"/>
  <c r="H779" i="3"/>
  <c r="J779" i="3"/>
  <c r="K779" i="3"/>
  <c r="L779" i="3"/>
  <c r="AC185" i="3"/>
  <c r="AD185" i="3"/>
  <c r="C185" i="4"/>
  <c r="M186" i="3"/>
  <c r="S779" i="3"/>
  <c r="T779" i="3"/>
  <c r="U779" i="3"/>
  <c r="I779" i="3"/>
  <c r="D779" i="4"/>
  <c r="E779" i="4"/>
  <c r="F779" i="4"/>
  <c r="D780" i="3"/>
  <c r="H780" i="3"/>
  <c r="J780" i="3"/>
  <c r="R780" i="3"/>
  <c r="F781" i="3"/>
  <c r="K780" i="3"/>
  <c r="L780" i="3"/>
  <c r="S780" i="3"/>
  <c r="T780" i="3"/>
  <c r="U780" i="3"/>
  <c r="I780" i="3"/>
  <c r="D780" i="4"/>
  <c r="E780" i="4"/>
  <c r="F780" i="4"/>
  <c r="G185" i="4"/>
  <c r="I185" i="4"/>
  <c r="J185" i="4"/>
  <c r="H185" i="4"/>
  <c r="R781" i="3"/>
  <c r="F782" i="3"/>
  <c r="D781" i="3"/>
  <c r="H781" i="3"/>
  <c r="J781" i="3"/>
  <c r="K781" i="3"/>
  <c r="L781" i="3"/>
  <c r="AI186" i="3"/>
  <c r="O186" i="3"/>
  <c r="N186" i="3"/>
  <c r="P186" i="3"/>
  <c r="Q186" i="3"/>
  <c r="L186" i="4"/>
  <c r="V186" i="3"/>
  <c r="F783" i="3"/>
  <c r="D782" i="3"/>
  <c r="H782" i="3"/>
  <c r="R782" i="3"/>
  <c r="J782" i="3"/>
  <c r="E781" i="4"/>
  <c r="F781" i="4"/>
  <c r="I781" i="3"/>
  <c r="D781" i="4"/>
  <c r="S781" i="3"/>
  <c r="T781" i="3"/>
  <c r="U781" i="3"/>
  <c r="M185" i="4"/>
  <c r="K185" i="4"/>
  <c r="E782" i="4"/>
  <c r="F782" i="4"/>
  <c r="I782" i="3"/>
  <c r="D782" i="4"/>
  <c r="W186" i="3"/>
  <c r="X186" i="3"/>
  <c r="Y186" i="3"/>
  <c r="Z186" i="3"/>
  <c r="AA186" i="3"/>
  <c r="AB186" i="3"/>
  <c r="S782" i="3"/>
  <c r="T782" i="3"/>
  <c r="U782" i="3"/>
  <c r="K782" i="3"/>
  <c r="L782" i="3"/>
  <c r="D783" i="3"/>
  <c r="H783" i="3"/>
  <c r="J783" i="3"/>
  <c r="K783" i="3"/>
  <c r="L783" i="3"/>
  <c r="F784" i="3"/>
  <c r="R783" i="3"/>
  <c r="S783" i="3"/>
  <c r="T783" i="3"/>
  <c r="U783" i="3"/>
  <c r="R784" i="3"/>
  <c r="D784" i="3"/>
  <c r="H784" i="3"/>
  <c r="F785" i="3"/>
  <c r="J784" i="3"/>
  <c r="K784" i="3"/>
  <c r="L784" i="3"/>
  <c r="E783" i="4"/>
  <c r="F783" i="4"/>
  <c r="I783" i="3"/>
  <c r="D783" i="4"/>
  <c r="AC186" i="3"/>
  <c r="AD186" i="3"/>
  <c r="C186" i="4"/>
  <c r="M187" i="3"/>
  <c r="G186" i="4"/>
  <c r="I186" i="4"/>
  <c r="J186" i="4"/>
  <c r="H186" i="4"/>
  <c r="E784" i="4"/>
  <c r="F784" i="4"/>
  <c r="I784" i="3"/>
  <c r="D784" i="4"/>
  <c r="AI187" i="3"/>
  <c r="N187" i="3"/>
  <c r="O187" i="3"/>
  <c r="R785" i="3"/>
  <c r="J785" i="3"/>
  <c r="F786" i="3"/>
  <c r="D785" i="3"/>
  <c r="H785" i="3"/>
  <c r="S784" i="3"/>
  <c r="T784" i="3"/>
  <c r="U784" i="3"/>
  <c r="D786" i="3"/>
  <c r="H786" i="3"/>
  <c r="R786" i="3"/>
  <c r="F787" i="3"/>
  <c r="J786" i="3"/>
  <c r="P187" i="3"/>
  <c r="Q187" i="3"/>
  <c r="K785" i="3"/>
  <c r="L785" i="3"/>
  <c r="S785" i="3"/>
  <c r="T785" i="3"/>
  <c r="U785" i="3"/>
  <c r="E785" i="4"/>
  <c r="F785" i="4"/>
  <c r="I785" i="3"/>
  <c r="D785" i="4"/>
  <c r="K186" i="4"/>
  <c r="M186" i="4"/>
  <c r="L187" i="4"/>
  <c r="V187" i="3"/>
  <c r="F788" i="3"/>
  <c r="D787" i="3"/>
  <c r="H787" i="3"/>
  <c r="R787" i="3"/>
  <c r="J787" i="3"/>
  <c r="K787" i="3"/>
  <c r="L787" i="3"/>
  <c r="E786" i="4"/>
  <c r="F786" i="4"/>
  <c r="I786" i="3"/>
  <c r="D786" i="4"/>
  <c r="K786" i="3"/>
  <c r="L786" i="3"/>
  <c r="S786" i="3"/>
  <c r="T786" i="3"/>
  <c r="U786" i="3"/>
  <c r="S787" i="3"/>
  <c r="T787" i="3"/>
  <c r="U787" i="3"/>
  <c r="W187" i="3"/>
  <c r="X187" i="3"/>
  <c r="Y187" i="3"/>
  <c r="Z187" i="3"/>
  <c r="AA187" i="3"/>
  <c r="AB187" i="3"/>
  <c r="F789" i="3"/>
  <c r="R788" i="3"/>
  <c r="J788" i="3"/>
  <c r="D788" i="3"/>
  <c r="H788" i="3"/>
  <c r="E787" i="4"/>
  <c r="F787" i="4"/>
  <c r="I787" i="3"/>
  <c r="D787" i="4"/>
  <c r="M188" i="3"/>
  <c r="C187" i="4"/>
  <c r="AC187" i="3"/>
  <c r="AD187" i="3"/>
  <c r="S788" i="3"/>
  <c r="T788" i="3"/>
  <c r="U788" i="3"/>
  <c r="R789" i="3"/>
  <c r="F790" i="3"/>
  <c r="J789" i="3"/>
  <c r="D789" i="3"/>
  <c r="H789" i="3"/>
  <c r="I788" i="3"/>
  <c r="D788" i="4"/>
  <c r="E788" i="4"/>
  <c r="F788" i="4"/>
  <c r="K788" i="3"/>
  <c r="L788" i="3"/>
  <c r="I789" i="3"/>
  <c r="D789" i="4"/>
  <c r="E789" i="4"/>
  <c r="F789" i="4"/>
  <c r="S789" i="3"/>
  <c r="T789" i="3"/>
  <c r="U789" i="3"/>
  <c r="D790" i="3"/>
  <c r="H790" i="3"/>
  <c r="F791" i="3"/>
  <c r="R790" i="3"/>
  <c r="J790" i="3"/>
  <c r="G187" i="4"/>
  <c r="I187" i="4"/>
  <c r="J187" i="4"/>
  <c r="H187" i="4"/>
  <c r="K789" i="3"/>
  <c r="L789" i="3"/>
  <c r="AI188" i="3"/>
  <c r="N188" i="3"/>
  <c r="P188" i="3"/>
  <c r="Q188" i="3"/>
  <c r="O188" i="3"/>
  <c r="M187" i="4"/>
  <c r="K187" i="4"/>
  <c r="L188" i="4"/>
  <c r="V188" i="3"/>
  <c r="I790" i="3"/>
  <c r="D790" i="4"/>
  <c r="E790" i="4"/>
  <c r="F790" i="4"/>
  <c r="K790" i="3"/>
  <c r="L790" i="3"/>
  <c r="S790" i="3"/>
  <c r="T790" i="3"/>
  <c r="U790" i="3"/>
  <c r="R791" i="3"/>
  <c r="F792" i="3"/>
  <c r="J791" i="3"/>
  <c r="D791" i="3"/>
  <c r="H791" i="3"/>
  <c r="S791" i="3"/>
  <c r="T791" i="3"/>
  <c r="U791" i="3"/>
  <c r="I791" i="3"/>
  <c r="D791" i="4"/>
  <c r="E791" i="4"/>
  <c r="F791" i="4"/>
  <c r="J792" i="3"/>
  <c r="D792" i="3"/>
  <c r="H792" i="3"/>
  <c r="F793" i="3"/>
  <c r="R792" i="3"/>
  <c r="K791" i="3"/>
  <c r="L791" i="3"/>
  <c r="W188" i="3"/>
  <c r="X188" i="3"/>
  <c r="Y188" i="3"/>
  <c r="Z188" i="3"/>
  <c r="AA188" i="3"/>
  <c r="AB188" i="3"/>
  <c r="C188" i="4"/>
  <c r="AC188" i="3"/>
  <c r="AD188" i="3"/>
  <c r="M189" i="3"/>
  <c r="K792" i="3"/>
  <c r="L792" i="3"/>
  <c r="S792" i="3"/>
  <c r="T792" i="3"/>
  <c r="U792" i="3"/>
  <c r="R793" i="3"/>
  <c r="J793" i="3"/>
  <c r="F794" i="3"/>
  <c r="D793" i="3"/>
  <c r="H793" i="3"/>
  <c r="E792" i="4"/>
  <c r="F792" i="4"/>
  <c r="I792" i="3"/>
  <c r="D792" i="4"/>
  <c r="I793" i="3"/>
  <c r="D793" i="4"/>
  <c r="E793" i="4"/>
  <c r="F793" i="4"/>
  <c r="S793" i="3"/>
  <c r="T793" i="3"/>
  <c r="U793" i="3"/>
  <c r="K793" i="3"/>
  <c r="L793" i="3"/>
  <c r="N189" i="3"/>
  <c r="P189" i="3"/>
  <c r="Q189" i="3"/>
  <c r="AI189" i="3"/>
  <c r="O189" i="3"/>
  <c r="D794" i="3"/>
  <c r="H794" i="3"/>
  <c r="J794" i="3"/>
  <c r="R794" i="3"/>
  <c r="F795" i="3"/>
  <c r="G188" i="4"/>
  <c r="I188" i="4"/>
  <c r="J188" i="4"/>
  <c r="H188" i="4"/>
  <c r="M188" i="4"/>
  <c r="K188" i="4"/>
  <c r="E794" i="4"/>
  <c r="F794" i="4"/>
  <c r="I794" i="3"/>
  <c r="D794" i="4"/>
  <c r="L189" i="4"/>
  <c r="V189" i="3"/>
  <c r="R795" i="3"/>
  <c r="F796" i="3"/>
  <c r="D795" i="3"/>
  <c r="H795" i="3"/>
  <c r="J795" i="3"/>
  <c r="K795" i="3"/>
  <c r="L795" i="3"/>
  <c r="S794" i="3"/>
  <c r="T794" i="3"/>
  <c r="U794" i="3"/>
  <c r="K794" i="3"/>
  <c r="L794" i="3"/>
  <c r="S795" i="3"/>
  <c r="T795" i="3"/>
  <c r="U795" i="3"/>
  <c r="I795" i="3"/>
  <c r="D795" i="4"/>
  <c r="E795" i="4"/>
  <c r="F795" i="4"/>
  <c r="J796" i="3"/>
  <c r="R796" i="3"/>
  <c r="D796" i="3"/>
  <c r="H796" i="3"/>
  <c r="F797" i="3"/>
  <c r="W189" i="3"/>
  <c r="X189" i="3"/>
  <c r="Y189" i="3"/>
  <c r="Z189" i="3"/>
  <c r="AA189" i="3"/>
  <c r="AB189" i="3"/>
  <c r="M190" i="3"/>
  <c r="C189" i="4"/>
  <c r="AC189" i="3"/>
  <c r="AD189" i="3"/>
  <c r="J797" i="3"/>
  <c r="D797" i="3"/>
  <c r="H797" i="3"/>
  <c r="F798" i="3"/>
  <c r="R797" i="3"/>
  <c r="K796" i="3"/>
  <c r="L796" i="3"/>
  <c r="E796" i="4"/>
  <c r="F796" i="4"/>
  <c r="I796" i="3"/>
  <c r="D796" i="4"/>
  <c r="S796" i="3"/>
  <c r="T796" i="3"/>
  <c r="U796" i="3"/>
  <c r="I797" i="3"/>
  <c r="D797" i="4"/>
  <c r="E797" i="4"/>
  <c r="F797" i="4"/>
  <c r="S797" i="3"/>
  <c r="T797" i="3"/>
  <c r="U797" i="3"/>
  <c r="J798" i="3"/>
  <c r="R798" i="3"/>
  <c r="F799" i="3"/>
  <c r="D798" i="3"/>
  <c r="H798" i="3"/>
  <c r="G189" i="4"/>
  <c r="I189" i="4"/>
  <c r="J189" i="4"/>
  <c r="H189" i="4"/>
  <c r="K797" i="3"/>
  <c r="L797" i="3"/>
  <c r="AI190" i="3"/>
  <c r="N190" i="3"/>
  <c r="O190" i="3"/>
  <c r="K189" i="4"/>
  <c r="M189" i="4"/>
  <c r="F800" i="3"/>
  <c r="R799" i="3"/>
  <c r="J799" i="3"/>
  <c r="K799" i="3"/>
  <c r="L799" i="3"/>
  <c r="D799" i="3"/>
  <c r="H799" i="3"/>
  <c r="K798" i="3"/>
  <c r="L798" i="3"/>
  <c r="P190" i="3"/>
  <c r="Q190" i="3"/>
  <c r="E798" i="4"/>
  <c r="F798" i="4"/>
  <c r="I798" i="3"/>
  <c r="D798" i="4"/>
  <c r="S798" i="3"/>
  <c r="T798" i="3"/>
  <c r="U798" i="3"/>
  <c r="F801" i="3"/>
  <c r="R800" i="3"/>
  <c r="J800" i="3"/>
  <c r="D800" i="3"/>
  <c r="H800" i="3"/>
  <c r="L190" i="4"/>
  <c r="V190" i="3"/>
  <c r="E799" i="4"/>
  <c r="F799" i="4"/>
  <c r="I799" i="3"/>
  <c r="D799" i="4"/>
  <c r="S799" i="3"/>
  <c r="T799" i="3"/>
  <c r="U799" i="3"/>
  <c r="W190" i="3"/>
  <c r="X190" i="3"/>
  <c r="Y190" i="3"/>
  <c r="Z190" i="3"/>
  <c r="AA190" i="3"/>
  <c r="AB190" i="3"/>
  <c r="E800" i="4"/>
  <c r="F800" i="4"/>
  <c r="I800" i="3"/>
  <c r="D800" i="4"/>
  <c r="K800" i="3"/>
  <c r="L800" i="3"/>
  <c r="S800" i="3"/>
  <c r="T800" i="3"/>
  <c r="U800" i="3"/>
  <c r="F802" i="3"/>
  <c r="D801" i="3"/>
  <c r="H801" i="3"/>
  <c r="R801" i="3"/>
  <c r="J801" i="3"/>
  <c r="K801" i="3"/>
  <c r="L801" i="3"/>
  <c r="S801" i="3"/>
  <c r="T801" i="3"/>
  <c r="U801" i="3"/>
  <c r="AC190" i="3"/>
  <c r="AD190" i="3"/>
  <c r="C190" i="4"/>
  <c r="M191" i="3"/>
  <c r="E801" i="4"/>
  <c r="F801" i="4"/>
  <c r="I801" i="3"/>
  <c r="D801" i="4"/>
  <c r="R802" i="3"/>
  <c r="J802" i="3"/>
  <c r="D802" i="3"/>
  <c r="H802" i="3"/>
  <c r="F803" i="3"/>
  <c r="I802" i="3"/>
  <c r="D802" i="4"/>
  <c r="E802" i="4"/>
  <c r="F802" i="4"/>
  <c r="S802" i="3"/>
  <c r="T802" i="3"/>
  <c r="U802" i="3"/>
  <c r="J803" i="3"/>
  <c r="F804" i="3"/>
  <c r="R803" i="3"/>
  <c r="D803" i="3"/>
  <c r="H803" i="3"/>
  <c r="N191" i="3"/>
  <c r="O191" i="3"/>
  <c r="AI191" i="3"/>
  <c r="K802" i="3"/>
  <c r="L802" i="3"/>
  <c r="G190" i="4"/>
  <c r="I190" i="4"/>
  <c r="J190" i="4"/>
  <c r="H190" i="4"/>
  <c r="I803" i="3"/>
  <c r="D803" i="4"/>
  <c r="E803" i="4"/>
  <c r="F803" i="4"/>
  <c r="K803" i="3"/>
  <c r="L803" i="3"/>
  <c r="M190" i="4"/>
  <c r="K190" i="4"/>
  <c r="P191" i="3"/>
  <c r="Q191" i="3"/>
  <c r="S803" i="3"/>
  <c r="T803" i="3"/>
  <c r="U803" i="3"/>
  <c r="J804" i="3"/>
  <c r="F805" i="3"/>
  <c r="D804" i="3"/>
  <c r="H804" i="3"/>
  <c r="R804" i="3"/>
  <c r="F806" i="3"/>
  <c r="D805" i="3"/>
  <c r="H805" i="3"/>
  <c r="J805" i="3"/>
  <c r="R805" i="3"/>
  <c r="S804" i="3"/>
  <c r="T804" i="3"/>
  <c r="U804" i="3"/>
  <c r="L191" i="4"/>
  <c r="V191" i="3"/>
  <c r="K804" i="3"/>
  <c r="L804" i="3"/>
  <c r="I804" i="3"/>
  <c r="D804" i="4"/>
  <c r="E804" i="4"/>
  <c r="F804" i="4"/>
  <c r="E805" i="4"/>
  <c r="F805" i="4"/>
  <c r="I805" i="3"/>
  <c r="D805" i="4"/>
  <c r="W191" i="3"/>
  <c r="X191" i="3"/>
  <c r="Y191" i="3"/>
  <c r="Z191" i="3"/>
  <c r="AA191" i="3"/>
  <c r="AB191" i="3"/>
  <c r="S805" i="3"/>
  <c r="T805" i="3"/>
  <c r="U805" i="3"/>
  <c r="K805" i="3"/>
  <c r="L805" i="3"/>
  <c r="F807" i="3"/>
  <c r="D806" i="3"/>
  <c r="H806" i="3"/>
  <c r="J806" i="3"/>
  <c r="R806" i="3"/>
  <c r="E806" i="4"/>
  <c r="F806" i="4"/>
  <c r="I806" i="3"/>
  <c r="D806" i="4"/>
  <c r="S806" i="3"/>
  <c r="T806" i="3"/>
  <c r="U806" i="3"/>
  <c r="K806" i="3"/>
  <c r="L806" i="3"/>
  <c r="D807" i="3"/>
  <c r="H807" i="3"/>
  <c r="J807" i="3"/>
  <c r="R807" i="3"/>
  <c r="F808" i="3"/>
  <c r="AC191" i="3"/>
  <c r="AD191" i="3"/>
  <c r="C191" i="4"/>
  <c r="M192" i="3"/>
  <c r="E807" i="4"/>
  <c r="F807" i="4"/>
  <c r="I807" i="3"/>
  <c r="D807" i="4"/>
  <c r="D808" i="3"/>
  <c r="H808" i="3"/>
  <c r="J808" i="3"/>
  <c r="R808" i="3"/>
  <c r="F809" i="3"/>
  <c r="AI192" i="3"/>
  <c r="N192" i="3"/>
  <c r="P192" i="3"/>
  <c r="Q192" i="3"/>
  <c r="O192" i="3"/>
  <c r="G191" i="4"/>
  <c r="I191" i="4"/>
  <c r="J191" i="4"/>
  <c r="H191" i="4"/>
  <c r="S807" i="3"/>
  <c r="T807" i="3"/>
  <c r="U807" i="3"/>
  <c r="K807" i="3"/>
  <c r="L807" i="3"/>
  <c r="L192" i="4"/>
  <c r="V192" i="3"/>
  <c r="S808" i="3"/>
  <c r="T808" i="3"/>
  <c r="U808" i="3"/>
  <c r="K191" i="4"/>
  <c r="M191" i="4"/>
  <c r="R809" i="3"/>
  <c r="D809" i="3"/>
  <c r="H809" i="3"/>
  <c r="J809" i="3"/>
  <c r="K809" i="3"/>
  <c r="L809" i="3"/>
  <c r="F810" i="3"/>
  <c r="E808" i="4"/>
  <c r="F808" i="4"/>
  <c r="I808" i="3"/>
  <c r="D808" i="4"/>
  <c r="K808" i="3"/>
  <c r="L808" i="3"/>
  <c r="J810" i="3"/>
  <c r="D810" i="3"/>
  <c r="H810" i="3"/>
  <c r="R810" i="3"/>
  <c r="F811" i="3"/>
  <c r="S809" i="3"/>
  <c r="T809" i="3"/>
  <c r="U809" i="3"/>
  <c r="E809" i="4"/>
  <c r="F809" i="4"/>
  <c r="I809" i="3"/>
  <c r="D809" i="4"/>
  <c r="W192" i="3"/>
  <c r="X192" i="3"/>
  <c r="Y192" i="3"/>
  <c r="Z192" i="3"/>
  <c r="AA192" i="3"/>
  <c r="AB192" i="3"/>
  <c r="AC192" i="3"/>
  <c r="AD192" i="3"/>
  <c r="M193" i="3"/>
  <c r="C192" i="4"/>
  <c r="S810" i="3"/>
  <c r="T810" i="3"/>
  <c r="U810" i="3"/>
  <c r="J811" i="3"/>
  <c r="R811" i="3"/>
  <c r="F812" i="3"/>
  <c r="D811" i="3"/>
  <c r="H811" i="3"/>
  <c r="E810" i="4"/>
  <c r="F810" i="4"/>
  <c r="I810" i="3"/>
  <c r="D810" i="4"/>
  <c r="K810" i="3"/>
  <c r="L810" i="3"/>
  <c r="R812" i="3"/>
  <c r="D812" i="3"/>
  <c r="H812" i="3"/>
  <c r="J812" i="3"/>
  <c r="K812" i="3"/>
  <c r="L812" i="3"/>
  <c r="F813" i="3"/>
  <c r="S811" i="3"/>
  <c r="T811" i="3"/>
  <c r="U811" i="3"/>
  <c r="I811" i="3"/>
  <c r="D811" i="4"/>
  <c r="E811" i="4"/>
  <c r="F811" i="4"/>
  <c r="K811" i="3"/>
  <c r="L811" i="3"/>
  <c r="AI193" i="3"/>
  <c r="N193" i="3"/>
  <c r="O193" i="3"/>
  <c r="G192" i="4"/>
  <c r="I192" i="4"/>
  <c r="J192" i="4"/>
  <c r="H192" i="4"/>
  <c r="K192" i="4"/>
  <c r="M192" i="4"/>
  <c r="P193" i="3"/>
  <c r="Q193" i="3"/>
  <c r="F814" i="3"/>
  <c r="R813" i="3"/>
  <c r="D813" i="3"/>
  <c r="H813" i="3"/>
  <c r="J813" i="3"/>
  <c r="K813" i="3"/>
  <c r="L813" i="3"/>
  <c r="E812" i="4"/>
  <c r="F812" i="4"/>
  <c r="I812" i="3"/>
  <c r="D812" i="4"/>
  <c r="S812" i="3"/>
  <c r="T812" i="3"/>
  <c r="U812" i="3"/>
  <c r="F815" i="3"/>
  <c r="J814" i="3"/>
  <c r="D814" i="3"/>
  <c r="H814" i="3"/>
  <c r="R814" i="3"/>
  <c r="L193" i="4"/>
  <c r="V193" i="3"/>
  <c r="I813" i="3"/>
  <c r="D813" i="4"/>
  <c r="E813" i="4"/>
  <c r="F813" i="4"/>
  <c r="S813" i="3"/>
  <c r="T813" i="3"/>
  <c r="U813" i="3"/>
  <c r="W193" i="3"/>
  <c r="X193" i="3"/>
  <c r="Y193" i="3"/>
  <c r="Z193" i="3"/>
  <c r="AA193" i="3"/>
  <c r="AB193" i="3"/>
  <c r="K814" i="3"/>
  <c r="L814" i="3"/>
  <c r="I814" i="3"/>
  <c r="D814" i="4"/>
  <c r="E814" i="4"/>
  <c r="F814" i="4"/>
  <c r="S814" i="3"/>
  <c r="T814" i="3"/>
  <c r="U814" i="3"/>
  <c r="J815" i="3"/>
  <c r="F816" i="3"/>
  <c r="D815" i="3"/>
  <c r="H815" i="3"/>
  <c r="R815" i="3"/>
  <c r="E815" i="4"/>
  <c r="F815" i="4"/>
  <c r="I815" i="3"/>
  <c r="D815" i="4"/>
  <c r="K815" i="3"/>
  <c r="L815" i="3"/>
  <c r="S815" i="3"/>
  <c r="T815" i="3"/>
  <c r="U815" i="3"/>
  <c r="R816" i="3"/>
  <c r="D816" i="3"/>
  <c r="H816" i="3"/>
  <c r="J816" i="3"/>
  <c r="F817" i="3"/>
  <c r="M194" i="3"/>
  <c r="AC193" i="3"/>
  <c r="AD193" i="3"/>
  <c r="C193" i="4"/>
  <c r="J817" i="3"/>
  <c r="D817" i="3"/>
  <c r="H817" i="3"/>
  <c r="R817" i="3"/>
  <c r="F818" i="3"/>
  <c r="K816" i="3"/>
  <c r="L816" i="3"/>
  <c r="G193" i="4"/>
  <c r="I193" i="4"/>
  <c r="J193" i="4"/>
  <c r="H193" i="4"/>
  <c r="AI194" i="3"/>
  <c r="N194" i="3"/>
  <c r="P194" i="3"/>
  <c r="Q194" i="3"/>
  <c r="O194" i="3"/>
  <c r="E816" i="4"/>
  <c r="F816" i="4"/>
  <c r="I816" i="3"/>
  <c r="D816" i="4"/>
  <c r="S816" i="3"/>
  <c r="T816" i="3"/>
  <c r="U816" i="3"/>
  <c r="L194" i="4"/>
  <c r="V194" i="3"/>
  <c r="M193" i="4"/>
  <c r="K193" i="4"/>
  <c r="I817" i="3"/>
  <c r="D817" i="4"/>
  <c r="E817" i="4"/>
  <c r="F817" i="4"/>
  <c r="J818" i="3"/>
  <c r="K818" i="3"/>
  <c r="L818" i="3"/>
  <c r="D818" i="3"/>
  <c r="H818" i="3"/>
  <c r="R818" i="3"/>
  <c r="F819" i="3"/>
  <c r="S817" i="3"/>
  <c r="T817" i="3"/>
  <c r="U817" i="3"/>
  <c r="K817" i="3"/>
  <c r="L817" i="3"/>
  <c r="S818" i="3"/>
  <c r="T818" i="3"/>
  <c r="U818" i="3"/>
  <c r="J819" i="3"/>
  <c r="R819" i="3"/>
  <c r="F820" i="3"/>
  <c r="D819" i="3"/>
  <c r="H819" i="3"/>
  <c r="W194" i="3"/>
  <c r="X194" i="3"/>
  <c r="Y194" i="3"/>
  <c r="Z194" i="3"/>
  <c r="AA194" i="3"/>
  <c r="AB194" i="3"/>
  <c r="E818" i="4"/>
  <c r="F818" i="4"/>
  <c r="I818" i="3"/>
  <c r="D818" i="4"/>
  <c r="C194" i="4"/>
  <c r="AC194" i="3"/>
  <c r="AD194" i="3"/>
  <c r="M195" i="3"/>
  <c r="I819" i="3"/>
  <c r="D819" i="4"/>
  <c r="E819" i="4"/>
  <c r="F819" i="4"/>
  <c r="S819" i="3"/>
  <c r="T819" i="3"/>
  <c r="U819" i="3"/>
  <c r="J820" i="3"/>
  <c r="D820" i="3"/>
  <c r="H820" i="3"/>
  <c r="R820" i="3"/>
  <c r="F821" i="3"/>
  <c r="K819" i="3"/>
  <c r="L819" i="3"/>
  <c r="S820" i="3"/>
  <c r="T820" i="3"/>
  <c r="U820" i="3"/>
  <c r="K820" i="3"/>
  <c r="L820" i="3"/>
  <c r="D821" i="3"/>
  <c r="H821" i="3"/>
  <c r="R821" i="3"/>
  <c r="J821" i="3"/>
  <c r="K821" i="3"/>
  <c r="L821" i="3"/>
  <c r="F822" i="3"/>
  <c r="AI195" i="3"/>
  <c r="O195" i="3"/>
  <c r="N195" i="3"/>
  <c r="P195" i="3"/>
  <c r="Q195" i="3"/>
  <c r="E820" i="4"/>
  <c r="F820" i="4"/>
  <c r="I820" i="3"/>
  <c r="D820" i="4"/>
  <c r="G194" i="4"/>
  <c r="I194" i="4"/>
  <c r="J194" i="4"/>
  <c r="H194" i="4"/>
  <c r="L195" i="4"/>
  <c r="V195" i="3"/>
  <c r="S821" i="3"/>
  <c r="T821" i="3"/>
  <c r="U821" i="3"/>
  <c r="K194" i="4"/>
  <c r="M194" i="4"/>
  <c r="F823" i="3"/>
  <c r="D822" i="3"/>
  <c r="H822" i="3"/>
  <c r="R822" i="3"/>
  <c r="J822" i="3"/>
  <c r="K822" i="3"/>
  <c r="L822" i="3"/>
  <c r="E821" i="4"/>
  <c r="F821" i="4"/>
  <c r="I821" i="3"/>
  <c r="D821" i="4"/>
  <c r="S822" i="3"/>
  <c r="T822" i="3"/>
  <c r="U822" i="3"/>
  <c r="R823" i="3"/>
  <c r="D823" i="3"/>
  <c r="H823" i="3"/>
  <c r="F824" i="3"/>
  <c r="J823" i="3"/>
  <c r="K823" i="3"/>
  <c r="L823" i="3"/>
  <c r="E822" i="4"/>
  <c r="F822" i="4"/>
  <c r="I822" i="3"/>
  <c r="D822" i="4"/>
  <c r="W195" i="3"/>
  <c r="X195" i="3"/>
  <c r="Y195" i="3"/>
  <c r="Z195" i="3"/>
  <c r="AA195" i="3"/>
  <c r="AB195" i="3"/>
  <c r="C195" i="4"/>
  <c r="AC195" i="3"/>
  <c r="AD195" i="3"/>
  <c r="M196" i="3"/>
  <c r="J824" i="3"/>
  <c r="F825" i="3"/>
  <c r="R824" i="3"/>
  <c r="D824" i="3"/>
  <c r="H824" i="3"/>
  <c r="E823" i="4"/>
  <c r="F823" i="4"/>
  <c r="I823" i="3"/>
  <c r="D823" i="4"/>
  <c r="S823" i="3"/>
  <c r="T823" i="3"/>
  <c r="U823" i="3"/>
  <c r="S824" i="3"/>
  <c r="T824" i="3"/>
  <c r="U824" i="3"/>
  <c r="F826" i="3"/>
  <c r="J825" i="3"/>
  <c r="K825" i="3"/>
  <c r="L825" i="3"/>
  <c r="D825" i="3"/>
  <c r="H825" i="3"/>
  <c r="R825" i="3"/>
  <c r="I824" i="3"/>
  <c r="D824" i="4"/>
  <c r="E824" i="4"/>
  <c r="F824" i="4"/>
  <c r="K824" i="3"/>
  <c r="L824" i="3"/>
  <c r="N196" i="3"/>
  <c r="O196" i="3"/>
  <c r="AI196" i="3"/>
  <c r="G195" i="4"/>
  <c r="I195" i="4"/>
  <c r="J195" i="4"/>
  <c r="H195" i="4"/>
  <c r="K195" i="4"/>
  <c r="M195" i="4"/>
  <c r="P196" i="3"/>
  <c r="Q196" i="3"/>
  <c r="S825" i="3"/>
  <c r="T825" i="3"/>
  <c r="U825" i="3"/>
  <c r="E825" i="4"/>
  <c r="F825" i="4"/>
  <c r="I825" i="3"/>
  <c r="D825" i="4"/>
  <c r="F827" i="3"/>
  <c r="D826" i="3"/>
  <c r="H826" i="3"/>
  <c r="R826" i="3"/>
  <c r="J826" i="3"/>
  <c r="I826" i="3"/>
  <c r="D826" i="4"/>
  <c r="E826" i="4"/>
  <c r="F826" i="4"/>
  <c r="K826" i="3"/>
  <c r="L826" i="3"/>
  <c r="S826" i="3"/>
  <c r="T826" i="3"/>
  <c r="U826" i="3"/>
  <c r="F828" i="3"/>
  <c r="R827" i="3"/>
  <c r="J827" i="3"/>
  <c r="D827" i="3"/>
  <c r="H827" i="3"/>
  <c r="L196" i="4"/>
  <c r="C29" i="5"/>
  <c r="N29" i="5"/>
  <c r="V196" i="3"/>
  <c r="W196" i="3"/>
  <c r="X196" i="3"/>
  <c r="Y196" i="3"/>
  <c r="Z196" i="3"/>
  <c r="AA196" i="3"/>
  <c r="AB196" i="3"/>
  <c r="S827" i="3"/>
  <c r="T827" i="3"/>
  <c r="U827" i="3"/>
  <c r="K827" i="3"/>
  <c r="L827" i="3"/>
  <c r="I827" i="3"/>
  <c r="D827" i="4"/>
  <c r="E827" i="4"/>
  <c r="F827" i="4"/>
  <c r="D828" i="3"/>
  <c r="H828" i="3"/>
  <c r="R828" i="3"/>
  <c r="F829" i="3"/>
  <c r="J828" i="3"/>
  <c r="J829" i="3"/>
  <c r="D829" i="3"/>
  <c r="H829" i="3"/>
  <c r="F830" i="3"/>
  <c r="R829" i="3"/>
  <c r="K828" i="3"/>
  <c r="L828" i="3"/>
  <c r="S828" i="3"/>
  <c r="T828" i="3"/>
  <c r="U828" i="3"/>
  <c r="E828" i="4"/>
  <c r="F828" i="4"/>
  <c r="I828" i="3"/>
  <c r="D828" i="4"/>
  <c r="M197" i="3"/>
  <c r="AC196" i="3"/>
  <c r="AD196" i="3"/>
  <c r="C196" i="4"/>
  <c r="G196" i="4"/>
  <c r="I196" i="4"/>
  <c r="J196" i="4"/>
  <c r="H196" i="4"/>
  <c r="AI197" i="3"/>
  <c r="O197" i="3"/>
  <c r="N197" i="3"/>
  <c r="P197" i="3"/>
  <c r="Q197" i="3"/>
  <c r="D830" i="3"/>
  <c r="H830" i="3"/>
  <c r="F831" i="3"/>
  <c r="J830" i="3"/>
  <c r="R830" i="3"/>
  <c r="E829" i="4"/>
  <c r="F829" i="4"/>
  <c r="I829" i="3"/>
  <c r="D829" i="4"/>
  <c r="S829" i="3"/>
  <c r="T829" i="3"/>
  <c r="U829" i="3"/>
  <c r="K829" i="3"/>
  <c r="L829" i="3"/>
  <c r="J831" i="3"/>
  <c r="F832" i="3"/>
  <c r="R831" i="3"/>
  <c r="D831" i="3"/>
  <c r="H831" i="3"/>
  <c r="L197" i="4"/>
  <c r="V197" i="3"/>
  <c r="S830" i="3"/>
  <c r="T830" i="3"/>
  <c r="U830" i="3"/>
  <c r="K830" i="3"/>
  <c r="L830" i="3"/>
  <c r="E830" i="4"/>
  <c r="F830" i="4"/>
  <c r="I830" i="3"/>
  <c r="D830" i="4"/>
  <c r="K196" i="4"/>
  <c r="E29" i="5"/>
  <c r="D29" i="5"/>
  <c r="M196" i="4"/>
  <c r="W197" i="3"/>
  <c r="X197" i="3"/>
  <c r="Y197" i="3"/>
  <c r="Z197" i="3"/>
  <c r="AA197" i="3"/>
  <c r="AB197" i="3"/>
  <c r="D832" i="3"/>
  <c r="H832" i="3"/>
  <c r="J832" i="3"/>
  <c r="K832" i="3"/>
  <c r="L832" i="3"/>
  <c r="R832" i="3"/>
  <c r="F833" i="3"/>
  <c r="I831" i="3"/>
  <c r="D831" i="4"/>
  <c r="E831" i="4"/>
  <c r="F831" i="4"/>
  <c r="S831" i="3"/>
  <c r="T831" i="3"/>
  <c r="U831" i="3"/>
  <c r="K831" i="3"/>
  <c r="L831" i="3"/>
  <c r="D833" i="3"/>
  <c r="H833" i="3"/>
  <c r="R833" i="3"/>
  <c r="F834" i="3"/>
  <c r="J833" i="3"/>
  <c r="K833" i="3"/>
  <c r="L833" i="3"/>
  <c r="AC197" i="3"/>
  <c r="AD197" i="3"/>
  <c r="C197" i="4"/>
  <c r="M198" i="3"/>
  <c r="S832" i="3"/>
  <c r="T832" i="3"/>
  <c r="U832" i="3"/>
  <c r="I832" i="3"/>
  <c r="D832" i="4"/>
  <c r="E832" i="4"/>
  <c r="F832" i="4"/>
  <c r="AI198" i="3"/>
  <c r="O198" i="3"/>
  <c r="N198" i="3"/>
  <c r="P198" i="3"/>
  <c r="Q198" i="3"/>
  <c r="G197" i="4"/>
  <c r="I197" i="4"/>
  <c r="J197" i="4"/>
  <c r="H197" i="4"/>
  <c r="J834" i="3"/>
  <c r="R834" i="3"/>
  <c r="D834" i="3"/>
  <c r="H834" i="3"/>
  <c r="F835" i="3"/>
  <c r="S833" i="3"/>
  <c r="T833" i="3"/>
  <c r="U833" i="3"/>
  <c r="E833" i="4"/>
  <c r="F833" i="4"/>
  <c r="I833" i="3"/>
  <c r="D833" i="4"/>
  <c r="R835" i="3"/>
  <c r="F836" i="3"/>
  <c r="J835" i="3"/>
  <c r="D835" i="3"/>
  <c r="H835" i="3"/>
  <c r="K834" i="3"/>
  <c r="L834" i="3"/>
  <c r="L198" i="4"/>
  <c r="V198" i="3"/>
  <c r="E834" i="4"/>
  <c r="F834" i="4"/>
  <c r="I834" i="3"/>
  <c r="D834" i="4"/>
  <c r="S834" i="3"/>
  <c r="T834" i="3"/>
  <c r="U834" i="3"/>
  <c r="M197" i="4"/>
  <c r="K197" i="4"/>
  <c r="F837" i="3"/>
  <c r="J836" i="3"/>
  <c r="R836" i="3"/>
  <c r="D836" i="3"/>
  <c r="H836" i="3"/>
  <c r="W198" i="3"/>
  <c r="X198" i="3"/>
  <c r="Y198" i="3"/>
  <c r="Z198" i="3"/>
  <c r="AA198" i="3"/>
  <c r="AB198" i="3"/>
  <c r="E835" i="4"/>
  <c r="F835" i="4"/>
  <c r="I835" i="3"/>
  <c r="D835" i="4"/>
  <c r="K835" i="3"/>
  <c r="L835" i="3"/>
  <c r="S835" i="3"/>
  <c r="T835" i="3"/>
  <c r="U835" i="3"/>
  <c r="M199" i="3"/>
  <c r="C198" i="4"/>
  <c r="AC198" i="3"/>
  <c r="AD198" i="3"/>
  <c r="S836" i="3"/>
  <c r="T836" i="3"/>
  <c r="U836" i="3"/>
  <c r="K836" i="3"/>
  <c r="L836" i="3"/>
  <c r="E836" i="4"/>
  <c r="F836" i="4"/>
  <c r="I836" i="3"/>
  <c r="D836" i="4"/>
  <c r="F838" i="3"/>
  <c r="R837" i="3"/>
  <c r="J837" i="3"/>
  <c r="D837" i="3"/>
  <c r="H837" i="3"/>
  <c r="I837" i="3"/>
  <c r="D837" i="4"/>
  <c r="E837" i="4"/>
  <c r="F837" i="4"/>
  <c r="R838" i="3"/>
  <c r="J838" i="3"/>
  <c r="F839" i="3"/>
  <c r="D838" i="3"/>
  <c r="H838" i="3"/>
  <c r="S837" i="3"/>
  <c r="T837" i="3"/>
  <c r="U837" i="3"/>
  <c r="K837" i="3"/>
  <c r="L837" i="3"/>
  <c r="G198" i="4"/>
  <c r="I198" i="4"/>
  <c r="J198" i="4"/>
  <c r="H198" i="4"/>
  <c r="N199" i="3"/>
  <c r="O199" i="3"/>
  <c r="AI199" i="3"/>
  <c r="I838" i="3"/>
  <c r="D838" i="4"/>
  <c r="E838" i="4"/>
  <c r="F838" i="4"/>
  <c r="M198" i="4"/>
  <c r="K198" i="4"/>
  <c r="R839" i="3"/>
  <c r="F840" i="3"/>
  <c r="J839" i="3"/>
  <c r="D839" i="3"/>
  <c r="H839" i="3"/>
  <c r="P199" i="3"/>
  <c r="Q199" i="3"/>
  <c r="K838" i="3"/>
  <c r="L838" i="3"/>
  <c r="S838" i="3"/>
  <c r="T838" i="3"/>
  <c r="U838" i="3"/>
  <c r="L199" i="4"/>
  <c r="V199" i="3"/>
  <c r="F841" i="3"/>
  <c r="J840" i="3"/>
  <c r="D840" i="3"/>
  <c r="H840" i="3"/>
  <c r="R840" i="3"/>
  <c r="I839" i="3"/>
  <c r="D839" i="4"/>
  <c r="E839" i="4"/>
  <c r="F839" i="4"/>
  <c r="K839" i="3"/>
  <c r="L839" i="3"/>
  <c r="S839" i="3"/>
  <c r="T839" i="3"/>
  <c r="U839" i="3"/>
  <c r="S840" i="3"/>
  <c r="T840" i="3"/>
  <c r="U840" i="3"/>
  <c r="K840" i="3"/>
  <c r="L840" i="3"/>
  <c r="I840" i="3"/>
  <c r="D840" i="4"/>
  <c r="E840" i="4"/>
  <c r="F840" i="4"/>
  <c r="D841" i="3"/>
  <c r="H841" i="3"/>
  <c r="R841" i="3"/>
  <c r="J841" i="3"/>
  <c r="K841" i="3"/>
  <c r="L841" i="3"/>
  <c r="F842" i="3"/>
  <c r="W199" i="3"/>
  <c r="X199" i="3"/>
  <c r="Y199" i="3"/>
  <c r="Z199" i="3"/>
  <c r="AA199" i="3"/>
  <c r="AB199" i="3"/>
  <c r="C199" i="4"/>
  <c r="M200" i="3"/>
  <c r="AC199" i="3"/>
  <c r="AD199" i="3"/>
  <c r="R842" i="3"/>
  <c r="F843" i="3"/>
  <c r="D842" i="3"/>
  <c r="H842" i="3"/>
  <c r="J842" i="3"/>
  <c r="K842" i="3"/>
  <c r="L842" i="3"/>
  <c r="S841" i="3"/>
  <c r="T841" i="3"/>
  <c r="U841" i="3"/>
  <c r="E841" i="4"/>
  <c r="F841" i="4"/>
  <c r="I841" i="3"/>
  <c r="D841" i="4"/>
  <c r="F844" i="3"/>
  <c r="D843" i="3"/>
  <c r="H843" i="3"/>
  <c r="R843" i="3"/>
  <c r="J843" i="3"/>
  <c r="S842" i="3"/>
  <c r="T842" i="3"/>
  <c r="U842" i="3"/>
  <c r="N200" i="3"/>
  <c r="P200" i="3"/>
  <c r="Q200" i="3"/>
  <c r="O200" i="3"/>
  <c r="AI200" i="3"/>
  <c r="I842" i="3"/>
  <c r="D842" i="4"/>
  <c r="E842" i="4"/>
  <c r="F842" i="4"/>
  <c r="G199" i="4"/>
  <c r="I199" i="4"/>
  <c r="J199" i="4"/>
  <c r="H199" i="4"/>
  <c r="L200" i="4"/>
  <c r="V200" i="3"/>
  <c r="S843" i="3"/>
  <c r="T843" i="3"/>
  <c r="U843" i="3"/>
  <c r="E843" i="4"/>
  <c r="F843" i="4"/>
  <c r="I843" i="3"/>
  <c r="D843" i="4"/>
  <c r="K199" i="4"/>
  <c r="M199" i="4"/>
  <c r="K843" i="3"/>
  <c r="L843" i="3"/>
  <c r="D844" i="3"/>
  <c r="H844" i="3"/>
  <c r="F845" i="3"/>
  <c r="J844" i="3"/>
  <c r="K844" i="3"/>
  <c r="L844" i="3"/>
  <c r="R844" i="3"/>
  <c r="F846" i="3"/>
  <c r="D845" i="3"/>
  <c r="H845" i="3"/>
  <c r="R845" i="3"/>
  <c r="J845" i="3"/>
  <c r="E844" i="4"/>
  <c r="F844" i="4"/>
  <c r="I844" i="3"/>
  <c r="D844" i="4"/>
  <c r="S844" i="3"/>
  <c r="T844" i="3"/>
  <c r="U844" i="3"/>
  <c r="W200" i="3"/>
  <c r="X200" i="3"/>
  <c r="Y200" i="3"/>
  <c r="Z200" i="3"/>
  <c r="AA200" i="3"/>
  <c r="AB200" i="3"/>
  <c r="AC200" i="3"/>
  <c r="AD200" i="3"/>
  <c r="M201" i="3"/>
  <c r="C200" i="4"/>
  <c r="S845" i="3"/>
  <c r="T845" i="3"/>
  <c r="U845" i="3"/>
  <c r="K845" i="3"/>
  <c r="L845" i="3"/>
  <c r="D846" i="3"/>
  <c r="H846" i="3"/>
  <c r="R846" i="3"/>
  <c r="J846" i="3"/>
  <c r="K846" i="3"/>
  <c r="L846" i="3"/>
  <c r="F847" i="3"/>
  <c r="I845" i="3"/>
  <c r="D845" i="4"/>
  <c r="E845" i="4"/>
  <c r="F845" i="4"/>
  <c r="S846" i="3"/>
  <c r="T846" i="3"/>
  <c r="U846" i="3"/>
  <c r="G200" i="4"/>
  <c r="I200" i="4"/>
  <c r="J200" i="4"/>
  <c r="H200" i="4"/>
  <c r="AI201" i="3"/>
  <c r="O201" i="3"/>
  <c r="N201" i="3"/>
  <c r="P201" i="3"/>
  <c r="Q201" i="3"/>
  <c r="D847" i="3"/>
  <c r="H847" i="3"/>
  <c r="F848" i="3"/>
  <c r="J847" i="3"/>
  <c r="R847" i="3"/>
  <c r="E846" i="4"/>
  <c r="F846" i="4"/>
  <c r="I846" i="3"/>
  <c r="D846" i="4"/>
  <c r="E847" i="4"/>
  <c r="F847" i="4"/>
  <c r="I847" i="3"/>
  <c r="D847" i="4"/>
  <c r="K847" i="3"/>
  <c r="L847" i="3"/>
  <c r="J848" i="3"/>
  <c r="K848" i="3"/>
  <c r="L848" i="3"/>
  <c r="R848" i="3"/>
  <c r="D848" i="3"/>
  <c r="H848" i="3"/>
  <c r="F849" i="3"/>
  <c r="S847" i="3"/>
  <c r="T847" i="3"/>
  <c r="U847" i="3"/>
  <c r="L201" i="4"/>
  <c r="V201" i="3"/>
  <c r="M200" i="4"/>
  <c r="K200" i="4"/>
  <c r="D849" i="3"/>
  <c r="H849" i="3"/>
  <c r="R849" i="3"/>
  <c r="J849" i="3"/>
  <c r="F850" i="3"/>
  <c r="W201" i="3"/>
  <c r="X201" i="3"/>
  <c r="Y201" i="3"/>
  <c r="Z201" i="3"/>
  <c r="AA201" i="3"/>
  <c r="AB201" i="3"/>
  <c r="E848" i="4"/>
  <c r="F848" i="4"/>
  <c r="I848" i="3"/>
  <c r="D848" i="4"/>
  <c r="S848" i="3"/>
  <c r="T848" i="3"/>
  <c r="U848" i="3"/>
  <c r="AC201" i="3"/>
  <c r="AD201" i="3"/>
  <c r="C201" i="4"/>
  <c r="M202" i="3"/>
  <c r="K849" i="3"/>
  <c r="L849" i="3"/>
  <c r="E849" i="4"/>
  <c r="F849" i="4"/>
  <c r="I849" i="3"/>
  <c r="D849" i="4"/>
  <c r="D850" i="3"/>
  <c r="H850" i="3"/>
  <c r="J850" i="3"/>
  <c r="K850" i="3"/>
  <c r="L850" i="3"/>
  <c r="F851" i="3"/>
  <c r="R850" i="3"/>
  <c r="S849" i="3"/>
  <c r="T849" i="3"/>
  <c r="U849" i="3"/>
  <c r="S850" i="3"/>
  <c r="T850" i="3"/>
  <c r="U850" i="3"/>
  <c r="I850" i="3"/>
  <c r="D850" i="4"/>
  <c r="E850" i="4"/>
  <c r="F850" i="4"/>
  <c r="G201" i="4"/>
  <c r="I201" i="4"/>
  <c r="J201" i="4"/>
  <c r="H201" i="4"/>
  <c r="J851" i="3"/>
  <c r="R851" i="3"/>
  <c r="D851" i="3"/>
  <c r="H851" i="3"/>
  <c r="F852" i="3"/>
  <c r="O202" i="3"/>
  <c r="N202" i="3"/>
  <c r="P202" i="3"/>
  <c r="Q202" i="3"/>
  <c r="AI202" i="3"/>
  <c r="J852" i="3"/>
  <c r="R852" i="3"/>
  <c r="F853" i="3"/>
  <c r="D852" i="3"/>
  <c r="H852" i="3"/>
  <c r="L202" i="4"/>
  <c r="V202" i="3"/>
  <c r="S851" i="3"/>
  <c r="T851" i="3"/>
  <c r="U851" i="3"/>
  <c r="I851" i="3"/>
  <c r="D851" i="4"/>
  <c r="E851" i="4"/>
  <c r="F851" i="4"/>
  <c r="K851" i="3"/>
  <c r="L851" i="3"/>
  <c r="K201" i="4"/>
  <c r="M201" i="4"/>
  <c r="F854" i="3"/>
  <c r="R853" i="3"/>
  <c r="J853" i="3"/>
  <c r="K853" i="3"/>
  <c r="L853" i="3"/>
  <c r="D853" i="3"/>
  <c r="H853" i="3"/>
  <c r="I852" i="3"/>
  <c r="D852" i="4"/>
  <c r="E852" i="4"/>
  <c r="F852" i="4"/>
  <c r="S852" i="3"/>
  <c r="T852" i="3"/>
  <c r="U852" i="3"/>
  <c r="W202" i="3"/>
  <c r="X202" i="3"/>
  <c r="Y202" i="3"/>
  <c r="Z202" i="3"/>
  <c r="AA202" i="3"/>
  <c r="AB202" i="3"/>
  <c r="K852" i="3"/>
  <c r="L852" i="3"/>
  <c r="M203" i="3"/>
  <c r="C202" i="4"/>
  <c r="AC202" i="3"/>
  <c r="AD202" i="3"/>
  <c r="R854" i="3"/>
  <c r="D854" i="3"/>
  <c r="H854" i="3"/>
  <c r="J854" i="3"/>
  <c r="K854" i="3"/>
  <c r="L854" i="3"/>
  <c r="F855" i="3"/>
  <c r="E853" i="4"/>
  <c r="F853" i="4"/>
  <c r="I853" i="3"/>
  <c r="D853" i="4"/>
  <c r="S853" i="3"/>
  <c r="T853" i="3"/>
  <c r="U853" i="3"/>
  <c r="F856" i="3"/>
  <c r="R855" i="3"/>
  <c r="D855" i="3"/>
  <c r="H855" i="3"/>
  <c r="J855" i="3"/>
  <c r="K855" i="3"/>
  <c r="L855" i="3"/>
  <c r="S854" i="3"/>
  <c r="T854" i="3"/>
  <c r="U854" i="3"/>
  <c r="I854" i="3"/>
  <c r="D854" i="4"/>
  <c r="E854" i="4"/>
  <c r="F854" i="4"/>
  <c r="G202" i="4"/>
  <c r="I202" i="4"/>
  <c r="J202" i="4"/>
  <c r="H202" i="4"/>
  <c r="O203" i="3"/>
  <c r="AI203" i="3"/>
  <c r="N203" i="3"/>
  <c r="P203" i="3"/>
  <c r="Q203" i="3"/>
  <c r="K202" i="4"/>
  <c r="M202" i="4"/>
  <c r="S855" i="3"/>
  <c r="T855" i="3"/>
  <c r="U855" i="3"/>
  <c r="E855" i="4"/>
  <c r="F855" i="4"/>
  <c r="I855" i="3"/>
  <c r="D855" i="4"/>
  <c r="J856" i="3"/>
  <c r="D856" i="3"/>
  <c r="H856" i="3"/>
  <c r="R856" i="3"/>
  <c r="F857" i="3"/>
  <c r="S856" i="3"/>
  <c r="T856" i="3"/>
  <c r="U856" i="3"/>
  <c r="D857" i="3"/>
  <c r="H857" i="3"/>
  <c r="F858" i="3"/>
  <c r="R857" i="3"/>
  <c r="J857" i="3"/>
  <c r="K856" i="3"/>
  <c r="L856" i="3"/>
  <c r="E856" i="4"/>
  <c r="F856" i="4"/>
  <c r="I856" i="3"/>
  <c r="D856" i="4"/>
  <c r="L203" i="4"/>
  <c r="V203" i="3"/>
  <c r="W203" i="3"/>
  <c r="X203" i="3"/>
  <c r="Y203" i="3"/>
  <c r="Z203" i="3"/>
  <c r="AA203" i="3"/>
  <c r="AB203" i="3"/>
  <c r="S857" i="3"/>
  <c r="T857" i="3"/>
  <c r="U857" i="3"/>
  <c r="E857" i="4"/>
  <c r="F857" i="4"/>
  <c r="I857" i="3"/>
  <c r="D857" i="4"/>
  <c r="K857" i="3"/>
  <c r="L857" i="3"/>
  <c r="F859" i="3"/>
  <c r="R858" i="3"/>
  <c r="J858" i="3"/>
  <c r="K858" i="3"/>
  <c r="L858" i="3"/>
  <c r="D858" i="3"/>
  <c r="H858" i="3"/>
  <c r="M204" i="3"/>
  <c r="C203" i="4"/>
  <c r="AC203" i="3"/>
  <c r="AD203" i="3"/>
  <c r="R859" i="3"/>
  <c r="J859" i="3"/>
  <c r="D859" i="3"/>
  <c r="H859" i="3"/>
  <c r="F860" i="3"/>
  <c r="E858" i="4"/>
  <c r="F858" i="4"/>
  <c r="I858" i="3"/>
  <c r="D858" i="4"/>
  <c r="S858" i="3"/>
  <c r="T858" i="3"/>
  <c r="U858" i="3"/>
  <c r="I859" i="3"/>
  <c r="D859" i="4"/>
  <c r="E859" i="4"/>
  <c r="F859" i="4"/>
  <c r="K859" i="3"/>
  <c r="L859" i="3"/>
  <c r="J860" i="3"/>
  <c r="R860" i="3"/>
  <c r="F861" i="3"/>
  <c r="D860" i="3"/>
  <c r="H860" i="3"/>
  <c r="S859" i="3"/>
  <c r="T859" i="3"/>
  <c r="U859" i="3"/>
  <c r="G203" i="4"/>
  <c r="I203" i="4"/>
  <c r="J203" i="4"/>
  <c r="H203" i="4"/>
  <c r="O204" i="3"/>
  <c r="N204" i="3"/>
  <c r="P204" i="3"/>
  <c r="Q204" i="3"/>
  <c r="AI204" i="3"/>
  <c r="K203" i="4"/>
  <c r="M203" i="4"/>
  <c r="I860" i="3"/>
  <c r="D860" i="4"/>
  <c r="E860" i="4"/>
  <c r="F860" i="4"/>
  <c r="L204" i="4"/>
  <c r="V204" i="3"/>
  <c r="S860" i="3"/>
  <c r="T860" i="3"/>
  <c r="U860" i="3"/>
  <c r="K860" i="3"/>
  <c r="L860" i="3"/>
  <c r="J861" i="3"/>
  <c r="D861" i="3"/>
  <c r="H861" i="3"/>
  <c r="R861" i="3"/>
  <c r="F862" i="3"/>
  <c r="S861" i="3"/>
  <c r="T861" i="3"/>
  <c r="U861" i="3"/>
  <c r="E861" i="4"/>
  <c r="F861" i="4"/>
  <c r="I861" i="3"/>
  <c r="D861" i="4"/>
  <c r="R862" i="3"/>
  <c r="D862" i="3"/>
  <c r="J862" i="3"/>
  <c r="K861" i="3"/>
  <c r="L861" i="3"/>
  <c r="W204" i="3"/>
  <c r="X204" i="3"/>
  <c r="Y204" i="3"/>
  <c r="Z204" i="3"/>
  <c r="AA204" i="3"/>
  <c r="AB204" i="3"/>
  <c r="M205" i="3"/>
  <c r="AC204" i="3"/>
  <c r="AD204" i="3"/>
  <c r="C204" i="4"/>
  <c r="S862" i="3"/>
  <c r="T862" i="3"/>
  <c r="U862" i="3"/>
  <c r="G23" i="3"/>
  <c r="D864" i="3"/>
  <c r="H862" i="3"/>
  <c r="I862" i="3"/>
  <c r="E862" i="4"/>
  <c r="K862" i="3"/>
  <c r="L862" i="3"/>
  <c r="G204" i="4"/>
  <c r="I204" i="4"/>
  <c r="J204" i="4"/>
  <c r="H204" i="4"/>
  <c r="O205" i="3"/>
  <c r="AI205" i="3"/>
  <c r="N205" i="3"/>
  <c r="P205" i="3"/>
  <c r="Q205" i="3"/>
  <c r="K204" i="4"/>
  <c r="M204" i="4"/>
  <c r="L205" i="4"/>
  <c r="V205" i="3"/>
  <c r="E869" i="4"/>
  <c r="E880" i="4"/>
  <c r="E870" i="4"/>
  <c r="E903" i="4"/>
  <c r="E883" i="4"/>
  <c r="E863" i="4"/>
  <c r="E901" i="4"/>
  <c r="E909" i="4"/>
  <c r="E878" i="4"/>
  <c r="E875" i="4"/>
  <c r="E893" i="4"/>
  <c r="E900" i="4"/>
  <c r="E890" i="4"/>
  <c r="E872" i="4"/>
  <c r="E905" i="4"/>
  <c r="E876" i="4"/>
  <c r="E867" i="4"/>
  <c r="E908" i="4"/>
  <c r="E874" i="4"/>
  <c r="E896" i="4"/>
  <c r="E884" i="4"/>
  <c r="E887" i="4"/>
  <c r="E898" i="4"/>
  <c r="E864" i="4"/>
  <c r="E881" i="4"/>
  <c r="E871" i="4"/>
  <c r="E906" i="4"/>
  <c r="E886" i="4"/>
  <c r="E868" i="4"/>
  <c r="E910" i="4"/>
  <c r="E902" i="4"/>
  <c r="E889" i="4"/>
  <c r="E877" i="4"/>
  <c r="E866" i="4"/>
  <c r="E865" i="4"/>
  <c r="E892" i="4"/>
  <c r="E899" i="4"/>
  <c r="E904" i="4"/>
  <c r="E885" i="4"/>
  <c r="E879" i="4"/>
  <c r="E873" i="4"/>
  <c r="E891" i="4"/>
  <c r="E888" i="4"/>
  <c r="E895" i="4"/>
  <c r="E882" i="4"/>
  <c r="E894" i="4"/>
  <c r="E897" i="4"/>
  <c r="E907" i="4"/>
  <c r="F862" i="4"/>
  <c r="D10" i="4"/>
  <c r="D905" i="4"/>
  <c r="D894" i="4"/>
  <c r="D880" i="4"/>
  <c r="D901" i="4"/>
  <c r="D868" i="4"/>
  <c r="D869" i="4"/>
  <c r="D904" i="4"/>
  <c r="D881" i="4"/>
  <c r="D874" i="4"/>
  <c r="D902" i="4"/>
  <c r="D876" i="4"/>
  <c r="D884" i="4"/>
  <c r="D889" i="4"/>
  <c r="D879" i="4"/>
  <c r="D864" i="4"/>
  <c r="D908" i="4"/>
  <c r="D877" i="4"/>
  <c r="D906" i="4"/>
  <c r="D887" i="4"/>
  <c r="D896" i="4"/>
  <c r="D867" i="4"/>
  <c r="D898" i="4"/>
  <c r="D885" i="4"/>
  <c r="D878" i="4"/>
  <c r="D882" i="4"/>
  <c r="D873" i="4"/>
  <c r="D888" i="4"/>
  <c r="D900" i="4"/>
  <c r="D865" i="4"/>
  <c r="D890" i="4"/>
  <c r="D897" i="4"/>
  <c r="D883" i="4"/>
  <c r="D866" i="4"/>
  <c r="D886" i="4"/>
  <c r="D903" i="4"/>
  <c r="D875" i="4"/>
  <c r="D909" i="4"/>
  <c r="D862" i="4"/>
  <c r="D907" i="4"/>
  <c r="D863" i="4"/>
  <c r="D899" i="4"/>
  <c r="D892" i="4"/>
  <c r="D893" i="4"/>
  <c r="D895" i="4"/>
  <c r="D910" i="4"/>
  <c r="D871" i="4"/>
  <c r="D891" i="4"/>
  <c r="D870" i="4"/>
  <c r="D872" i="4"/>
  <c r="W205" i="3"/>
  <c r="X205" i="3"/>
  <c r="Y205" i="3"/>
  <c r="Z205" i="3"/>
  <c r="AA205" i="3"/>
  <c r="AB205" i="3"/>
  <c r="AC205" i="3"/>
  <c r="AD205" i="3"/>
  <c r="M206" i="3"/>
  <c r="C205" i="4"/>
  <c r="G205" i="4"/>
  <c r="I205" i="4"/>
  <c r="J205" i="4"/>
  <c r="H205" i="4"/>
  <c r="O206" i="3"/>
  <c r="AI206" i="3"/>
  <c r="N206" i="3"/>
  <c r="P206" i="3"/>
  <c r="Q206" i="3"/>
  <c r="L206" i="4"/>
  <c r="V206" i="3"/>
  <c r="K205" i="4"/>
  <c r="M205" i="4"/>
  <c r="W206" i="3"/>
  <c r="X206" i="3"/>
  <c r="Y206" i="3"/>
  <c r="Z206" i="3"/>
  <c r="AA206" i="3"/>
  <c r="AB206" i="3"/>
  <c r="AC206" i="3"/>
  <c r="AD206" i="3"/>
  <c r="C206" i="4"/>
  <c r="M207" i="3"/>
  <c r="AI207" i="3"/>
  <c r="O207" i="3"/>
  <c r="N207" i="3"/>
  <c r="P207" i="3"/>
  <c r="Q207" i="3"/>
  <c r="G206" i="4"/>
  <c r="I206" i="4"/>
  <c r="J206" i="4"/>
  <c r="H206" i="4"/>
  <c r="L207" i="4"/>
  <c r="V207" i="3"/>
  <c r="K206" i="4"/>
  <c r="M206" i="4"/>
  <c r="W207" i="3"/>
  <c r="X207" i="3"/>
  <c r="Y207" i="3"/>
  <c r="Z207" i="3"/>
  <c r="AA207" i="3"/>
  <c r="AB207" i="3"/>
  <c r="AC207" i="3"/>
  <c r="AD207" i="3"/>
  <c r="M208" i="3"/>
  <c r="C207" i="4"/>
  <c r="G207" i="4"/>
  <c r="I207" i="4"/>
  <c r="J207" i="4"/>
  <c r="H207" i="4"/>
  <c r="O208" i="3"/>
  <c r="N208" i="3"/>
  <c r="P208" i="3"/>
  <c r="Q208" i="3"/>
  <c r="AI208" i="3"/>
  <c r="L208" i="4"/>
  <c r="V208" i="3"/>
  <c r="K207" i="4"/>
  <c r="M207" i="4"/>
  <c r="W208" i="3"/>
  <c r="X208" i="3"/>
  <c r="Y208" i="3"/>
  <c r="Z208" i="3"/>
  <c r="AA208" i="3"/>
  <c r="AB208" i="3"/>
  <c r="AC208" i="3"/>
  <c r="AD208" i="3"/>
  <c r="C208" i="4"/>
  <c r="M209" i="3"/>
  <c r="N209" i="3"/>
  <c r="AI209" i="3"/>
  <c r="O209" i="3"/>
  <c r="G208" i="4"/>
  <c r="I208" i="4"/>
  <c r="J208" i="4"/>
  <c r="H208" i="4"/>
  <c r="K208" i="4"/>
  <c r="M208" i="4"/>
  <c r="P209" i="3"/>
  <c r="Q209" i="3"/>
  <c r="L209" i="4"/>
  <c r="V209" i="3"/>
  <c r="W209" i="3"/>
  <c r="X209" i="3"/>
  <c r="Y209" i="3"/>
  <c r="Z209" i="3"/>
  <c r="AA209" i="3"/>
  <c r="AB209" i="3"/>
  <c r="AC209" i="3"/>
  <c r="AD209" i="3"/>
  <c r="M210" i="3"/>
  <c r="C209" i="4"/>
  <c r="G209" i="4"/>
  <c r="I209" i="4"/>
  <c r="J209" i="4"/>
  <c r="H209" i="4"/>
  <c r="N210" i="3"/>
  <c r="O210" i="3"/>
  <c r="AI210" i="3"/>
  <c r="P210" i="3"/>
  <c r="Q210" i="3"/>
  <c r="K209" i="4"/>
  <c r="M209" i="4"/>
  <c r="L210" i="4"/>
  <c r="V210" i="3"/>
  <c r="W210" i="3"/>
  <c r="X210" i="3"/>
  <c r="Y210" i="3"/>
  <c r="Z210" i="3"/>
  <c r="AA210" i="3"/>
  <c r="AB210" i="3"/>
  <c r="AC210" i="3"/>
  <c r="AD210" i="3"/>
  <c r="M211" i="3"/>
  <c r="C210" i="4"/>
  <c r="G210" i="4"/>
  <c r="I210" i="4"/>
  <c r="J210" i="4"/>
  <c r="H210" i="4"/>
  <c r="O211" i="3"/>
  <c r="N211" i="3"/>
  <c r="AI211" i="3"/>
  <c r="P211" i="3"/>
  <c r="Q211" i="3"/>
  <c r="M210" i="4"/>
  <c r="K210" i="4"/>
  <c r="L211" i="4"/>
  <c r="V211" i="3"/>
  <c r="W211" i="3"/>
  <c r="X211" i="3"/>
  <c r="Y211" i="3"/>
  <c r="Z211" i="3"/>
  <c r="AA211" i="3"/>
  <c r="AB211" i="3"/>
  <c r="C211" i="4"/>
  <c r="AC211" i="3"/>
  <c r="AD211" i="3"/>
  <c r="M212" i="3"/>
  <c r="O212" i="3"/>
  <c r="AI212" i="3"/>
  <c r="N212" i="3"/>
  <c r="P212" i="3"/>
  <c r="Q212" i="3"/>
  <c r="G211" i="4"/>
  <c r="I211" i="4"/>
  <c r="J211" i="4"/>
  <c r="H211" i="4"/>
  <c r="L212" i="4"/>
  <c r="V212" i="3"/>
  <c r="K211" i="4"/>
  <c r="M211" i="4"/>
  <c r="W212" i="3"/>
  <c r="X212" i="3"/>
  <c r="Y212" i="3"/>
  <c r="Z212" i="3"/>
  <c r="AA212" i="3"/>
  <c r="AB212" i="3"/>
  <c r="C212" i="4"/>
  <c r="AC212" i="3"/>
  <c r="AD212" i="3"/>
  <c r="M213" i="3"/>
  <c r="N213" i="3"/>
  <c r="O213" i="3"/>
  <c r="AI213" i="3"/>
  <c r="G212" i="4"/>
  <c r="I212" i="4"/>
  <c r="J212" i="4"/>
  <c r="H212" i="4"/>
  <c r="K212" i="4"/>
  <c r="M212" i="4"/>
  <c r="P213" i="3"/>
  <c r="Q213" i="3"/>
  <c r="L213" i="4"/>
  <c r="V213" i="3"/>
  <c r="W213" i="3"/>
  <c r="X213" i="3"/>
  <c r="Y213" i="3"/>
  <c r="Z213" i="3"/>
  <c r="AA213" i="3"/>
  <c r="AB213" i="3"/>
  <c r="M214" i="3"/>
  <c r="C213" i="4"/>
  <c r="AC213" i="3"/>
  <c r="AD213" i="3"/>
  <c r="G213" i="4"/>
  <c r="I213" i="4"/>
  <c r="J213" i="4"/>
  <c r="H213" i="4"/>
  <c r="N214" i="3"/>
  <c r="AI214" i="3"/>
  <c r="O214" i="3"/>
  <c r="P214" i="3"/>
  <c r="Q214" i="3"/>
  <c r="K213" i="4"/>
  <c r="M213" i="4"/>
  <c r="L214" i="4"/>
  <c r="V214" i="3"/>
  <c r="W214" i="3"/>
  <c r="X214" i="3"/>
  <c r="Y214" i="3"/>
  <c r="Z214" i="3"/>
  <c r="AA214" i="3"/>
  <c r="AB214" i="3"/>
  <c r="AC214" i="3"/>
  <c r="AD214" i="3"/>
  <c r="M215" i="3"/>
  <c r="C214" i="4"/>
  <c r="G214" i="4"/>
  <c r="I214" i="4"/>
  <c r="J214" i="4"/>
  <c r="H214" i="4"/>
  <c r="AI215" i="3"/>
  <c r="N215" i="3"/>
  <c r="O215" i="3"/>
  <c r="P215" i="3"/>
  <c r="Q215" i="3"/>
  <c r="K214" i="4"/>
  <c r="M214" i="4"/>
  <c r="L215" i="4"/>
  <c r="V215" i="3"/>
  <c r="W215" i="3"/>
  <c r="X215" i="3"/>
  <c r="Y215" i="3"/>
  <c r="Z215" i="3"/>
  <c r="AA215" i="3"/>
  <c r="AB215" i="3"/>
  <c r="AC215" i="3"/>
  <c r="AD215" i="3"/>
  <c r="C215" i="4"/>
  <c r="M216" i="3"/>
  <c r="AI216" i="3"/>
  <c r="N216" i="3"/>
  <c r="P216" i="3"/>
  <c r="Q216" i="3"/>
  <c r="O216" i="3"/>
  <c r="G215" i="4"/>
  <c r="I215" i="4"/>
  <c r="J215" i="4"/>
  <c r="H215" i="4"/>
  <c r="L216" i="4"/>
  <c r="V216" i="3"/>
  <c r="M215" i="4"/>
  <c r="K215" i="4"/>
  <c r="W216" i="3"/>
  <c r="X216" i="3"/>
  <c r="Y216" i="3"/>
  <c r="Z216" i="3"/>
  <c r="AA216" i="3"/>
  <c r="AB216" i="3"/>
  <c r="M217" i="3"/>
  <c r="C216" i="4"/>
  <c r="AC216" i="3"/>
  <c r="AD216" i="3"/>
  <c r="G216" i="4"/>
  <c r="I216" i="4"/>
  <c r="J216" i="4"/>
  <c r="H216" i="4"/>
  <c r="AI217" i="3"/>
  <c r="O217" i="3"/>
  <c r="N217" i="3"/>
  <c r="P217" i="3"/>
  <c r="Q217" i="3"/>
  <c r="L217" i="4"/>
  <c r="V217" i="3"/>
  <c r="M216" i="4"/>
  <c r="K216" i="4"/>
  <c r="W217" i="3"/>
  <c r="X217" i="3"/>
  <c r="Y217" i="3"/>
  <c r="Z217" i="3"/>
  <c r="AA217" i="3"/>
  <c r="AB217" i="3"/>
  <c r="M218" i="3"/>
  <c r="C217" i="4"/>
  <c r="AC217" i="3"/>
  <c r="AD217" i="3"/>
  <c r="G217" i="4"/>
  <c r="I217" i="4"/>
  <c r="J217" i="4"/>
  <c r="H217" i="4"/>
  <c r="N218" i="3"/>
  <c r="O218" i="3"/>
  <c r="AI218" i="3"/>
  <c r="P218" i="3"/>
  <c r="Q218" i="3"/>
  <c r="K217" i="4"/>
  <c r="M217" i="4"/>
  <c r="L218" i="4"/>
  <c r="V218" i="3"/>
  <c r="W218" i="3"/>
  <c r="X218" i="3"/>
  <c r="Y218" i="3"/>
  <c r="Z218" i="3"/>
  <c r="AA218" i="3"/>
  <c r="AB218" i="3"/>
  <c r="AC218" i="3"/>
  <c r="AD218" i="3"/>
  <c r="C218" i="4"/>
  <c r="M219" i="3"/>
  <c r="G218" i="4"/>
  <c r="I218" i="4"/>
  <c r="J218" i="4"/>
  <c r="H218" i="4"/>
  <c r="AI219" i="3"/>
  <c r="N219" i="3"/>
  <c r="P219" i="3"/>
  <c r="Q219" i="3"/>
  <c r="O219" i="3"/>
  <c r="L219" i="4"/>
  <c r="V219" i="3"/>
  <c r="M218" i="4"/>
  <c r="K218" i="4"/>
  <c r="W219" i="3"/>
  <c r="X219" i="3"/>
  <c r="Y219" i="3"/>
  <c r="Z219" i="3"/>
  <c r="AA219" i="3"/>
  <c r="AB219" i="3"/>
  <c r="AC219" i="3"/>
  <c r="AD219" i="3"/>
  <c r="C219" i="4"/>
  <c r="M220" i="3"/>
  <c r="AI220" i="3"/>
  <c r="N220" i="3"/>
  <c r="O220" i="3"/>
  <c r="G219" i="4"/>
  <c r="I219" i="4"/>
  <c r="J219" i="4"/>
  <c r="H219" i="4"/>
  <c r="P220" i="3"/>
  <c r="Q220" i="3"/>
  <c r="K219" i="4"/>
  <c r="M219" i="4"/>
  <c r="L220" i="4"/>
  <c r="V220" i="3"/>
  <c r="W220" i="3"/>
  <c r="X220" i="3"/>
  <c r="Y220" i="3"/>
  <c r="Z220" i="3"/>
  <c r="AA220" i="3"/>
  <c r="AB220" i="3"/>
  <c r="AC220" i="3"/>
  <c r="AD220" i="3"/>
  <c r="C220" i="4"/>
  <c r="M221" i="3"/>
  <c r="G220" i="4"/>
  <c r="I220" i="4"/>
  <c r="J220" i="4"/>
  <c r="H220" i="4"/>
  <c r="AI221" i="3"/>
  <c r="O221" i="3"/>
  <c r="N221" i="3"/>
  <c r="P221" i="3"/>
  <c r="Q221" i="3"/>
  <c r="L221" i="4"/>
  <c r="V221" i="3"/>
  <c r="M220" i="4"/>
  <c r="K220" i="4"/>
  <c r="W221" i="3"/>
  <c r="X221" i="3"/>
  <c r="Y221" i="3"/>
  <c r="Z221" i="3"/>
  <c r="AA221" i="3"/>
  <c r="AB221" i="3"/>
  <c r="C221" i="4"/>
  <c r="AC221" i="3"/>
  <c r="AD221" i="3"/>
  <c r="M222" i="3"/>
  <c r="O222" i="3"/>
  <c r="N222" i="3"/>
  <c r="P222" i="3"/>
  <c r="Q222" i="3"/>
  <c r="AI222" i="3"/>
  <c r="G221" i="4"/>
  <c r="I221" i="4"/>
  <c r="J221" i="4"/>
  <c r="H221" i="4"/>
  <c r="L222" i="4"/>
  <c r="V222" i="3"/>
  <c r="M221" i="4"/>
  <c r="K221" i="4"/>
  <c r="W222" i="3"/>
  <c r="X222" i="3"/>
  <c r="Y222" i="3"/>
  <c r="Z222" i="3"/>
  <c r="AA222" i="3"/>
  <c r="AB222" i="3"/>
  <c r="M223" i="3"/>
  <c r="AC222" i="3"/>
  <c r="AD222" i="3"/>
  <c r="C222" i="4"/>
  <c r="G222" i="4"/>
  <c r="I222" i="4"/>
  <c r="J222" i="4"/>
  <c r="H222" i="4"/>
  <c r="AI223" i="3"/>
  <c r="N223" i="3"/>
  <c r="P223" i="3"/>
  <c r="Q223" i="3"/>
  <c r="O223" i="3"/>
  <c r="L223" i="4"/>
  <c r="V223" i="3"/>
  <c r="K222" i="4"/>
  <c r="M222" i="4"/>
  <c r="W223" i="3"/>
  <c r="X223" i="3"/>
  <c r="Y223" i="3"/>
  <c r="Z223" i="3"/>
  <c r="AA223" i="3"/>
  <c r="AB223" i="3"/>
  <c r="C223" i="4"/>
  <c r="AC223" i="3"/>
  <c r="AD223" i="3"/>
  <c r="M224" i="3"/>
  <c r="AI224" i="3"/>
  <c r="N224" i="3"/>
  <c r="O224" i="3"/>
  <c r="G223" i="4"/>
  <c r="I223" i="4"/>
  <c r="J223" i="4"/>
  <c r="H223" i="4"/>
  <c r="M223" i="4"/>
  <c r="K223" i="4"/>
  <c r="P224" i="3"/>
  <c r="Q224" i="3"/>
  <c r="L224" i="4"/>
  <c r="V224" i="3"/>
  <c r="W224" i="3"/>
  <c r="X224" i="3"/>
  <c r="Y224" i="3"/>
  <c r="Z224" i="3"/>
  <c r="AA224" i="3"/>
  <c r="AB224" i="3"/>
  <c r="AC224" i="3"/>
  <c r="AD224" i="3"/>
  <c r="C224" i="4"/>
  <c r="M225" i="3"/>
  <c r="G224" i="4"/>
  <c r="I224" i="4"/>
  <c r="J224" i="4"/>
  <c r="H224" i="4"/>
  <c r="O225" i="3"/>
  <c r="N225" i="3"/>
  <c r="P225" i="3"/>
  <c r="Q225" i="3"/>
  <c r="AI225" i="3"/>
  <c r="L225" i="4"/>
  <c r="V225" i="3"/>
  <c r="K224" i="4"/>
  <c r="M224" i="4"/>
  <c r="W225" i="3"/>
  <c r="X225" i="3"/>
  <c r="Y225" i="3"/>
  <c r="Z225" i="3"/>
  <c r="AA225" i="3"/>
  <c r="AB225" i="3"/>
  <c r="AC225" i="3"/>
  <c r="AD225" i="3"/>
  <c r="M226" i="3"/>
  <c r="C225" i="4"/>
  <c r="G225" i="4"/>
  <c r="I225" i="4"/>
  <c r="J225" i="4"/>
  <c r="H225" i="4"/>
  <c r="AI226" i="3"/>
  <c r="N226" i="3"/>
  <c r="P226" i="3"/>
  <c r="Q226" i="3"/>
  <c r="O226" i="3"/>
  <c r="L226" i="4"/>
  <c r="V226" i="3"/>
  <c r="K225" i="4"/>
  <c r="M225" i="4"/>
  <c r="W226" i="3"/>
  <c r="X226" i="3"/>
  <c r="Y226" i="3"/>
  <c r="Z226" i="3"/>
  <c r="AA226" i="3"/>
  <c r="AB226" i="3"/>
  <c r="C226" i="4"/>
  <c r="AC226" i="3"/>
  <c r="AD226" i="3"/>
  <c r="M227" i="3"/>
  <c r="AI227" i="3"/>
  <c r="N227" i="3"/>
  <c r="P227" i="3"/>
  <c r="Q227" i="3"/>
  <c r="O227" i="3"/>
  <c r="G226" i="4"/>
  <c r="I226" i="4"/>
  <c r="J226" i="4"/>
  <c r="H226" i="4"/>
  <c r="M226" i="4"/>
  <c r="K226" i="4"/>
  <c r="L227" i="4"/>
  <c r="V227" i="3"/>
  <c r="W227" i="3"/>
  <c r="X227" i="3"/>
  <c r="Y227" i="3"/>
  <c r="Z227" i="3"/>
  <c r="AA227" i="3"/>
  <c r="AB227" i="3"/>
  <c r="AC227" i="3"/>
  <c r="AD227" i="3"/>
  <c r="C227" i="4"/>
  <c r="M228" i="3"/>
  <c r="N228" i="3"/>
  <c r="O228" i="3"/>
  <c r="AI228" i="3"/>
  <c r="G227" i="4"/>
  <c r="I227" i="4"/>
  <c r="J227" i="4"/>
  <c r="H227" i="4"/>
  <c r="K227" i="4"/>
  <c r="M227" i="4"/>
  <c r="P228" i="3"/>
  <c r="Q228" i="3"/>
  <c r="L228" i="4"/>
  <c r="V228" i="3"/>
  <c r="W228" i="3"/>
  <c r="X228" i="3"/>
  <c r="Y228" i="3"/>
  <c r="Z228" i="3"/>
  <c r="AA228" i="3"/>
  <c r="AB228" i="3"/>
  <c r="C228" i="4"/>
  <c r="M229" i="3"/>
  <c r="AC228" i="3"/>
  <c r="AD228" i="3"/>
  <c r="O229" i="3"/>
  <c r="AI229" i="3"/>
  <c r="N229" i="3"/>
  <c r="P229" i="3"/>
  <c r="Q229" i="3"/>
  <c r="G228" i="4"/>
  <c r="I228" i="4"/>
  <c r="J228" i="4"/>
  <c r="H228" i="4"/>
  <c r="M228" i="4"/>
  <c r="K228" i="4"/>
  <c r="L229" i="4"/>
  <c r="V229" i="3"/>
  <c r="W229" i="3"/>
  <c r="X229" i="3"/>
  <c r="Y229" i="3"/>
  <c r="Z229" i="3"/>
  <c r="AA229" i="3"/>
  <c r="AB229" i="3"/>
  <c r="M230" i="3"/>
  <c r="AC229" i="3"/>
  <c r="AD229" i="3"/>
  <c r="C229" i="4"/>
  <c r="G229" i="4"/>
  <c r="I229" i="4"/>
  <c r="J229" i="4"/>
  <c r="H229" i="4"/>
  <c r="O230" i="3"/>
  <c r="N230" i="3"/>
  <c r="P230" i="3"/>
  <c r="Q230" i="3"/>
  <c r="AI230" i="3"/>
  <c r="L230" i="4"/>
  <c r="V230" i="3"/>
  <c r="M229" i="4"/>
  <c r="K229" i="4"/>
  <c r="W230" i="3"/>
  <c r="X230" i="3"/>
  <c r="Y230" i="3"/>
  <c r="Z230" i="3"/>
  <c r="AA230" i="3"/>
  <c r="AB230" i="3"/>
  <c r="C230" i="4"/>
  <c r="AC230" i="3"/>
  <c r="AD230" i="3"/>
  <c r="M231" i="3"/>
  <c r="O231" i="3"/>
  <c r="N231" i="3"/>
  <c r="P231" i="3"/>
  <c r="Q231" i="3"/>
  <c r="AI231" i="3"/>
  <c r="G230" i="4"/>
  <c r="I230" i="4"/>
  <c r="J230" i="4"/>
  <c r="H230" i="4"/>
  <c r="M230" i="4"/>
  <c r="K230" i="4"/>
  <c r="L231" i="4"/>
  <c r="V231" i="3"/>
  <c r="W231" i="3"/>
  <c r="X231" i="3"/>
  <c r="Y231" i="3"/>
  <c r="Z231" i="3"/>
  <c r="AA231" i="3"/>
  <c r="AB231" i="3"/>
  <c r="C231" i="4"/>
  <c r="AC231" i="3"/>
  <c r="AD231" i="3"/>
  <c r="M232" i="3"/>
  <c r="O232" i="3"/>
  <c r="N232" i="3"/>
  <c r="P232" i="3"/>
  <c r="Q232" i="3"/>
  <c r="AI232" i="3"/>
  <c r="G231" i="4"/>
  <c r="I231" i="4"/>
  <c r="J231" i="4"/>
  <c r="H231" i="4"/>
  <c r="K231" i="4"/>
  <c r="M231" i="4"/>
  <c r="L232" i="4"/>
  <c r="V232" i="3"/>
  <c r="W232" i="3"/>
  <c r="X232" i="3"/>
  <c r="Y232" i="3"/>
  <c r="Z232" i="3"/>
  <c r="AA232" i="3"/>
  <c r="AB232" i="3"/>
  <c r="C232" i="4"/>
  <c r="M233" i="3"/>
  <c r="AC232" i="3"/>
  <c r="AD232" i="3"/>
  <c r="AI233" i="3"/>
  <c r="N233" i="3"/>
  <c r="O233" i="3"/>
  <c r="G232" i="4"/>
  <c r="I232" i="4"/>
  <c r="J232" i="4"/>
  <c r="H232" i="4"/>
  <c r="K232" i="4"/>
  <c r="M232" i="4"/>
  <c r="P233" i="3"/>
  <c r="Q233" i="3"/>
  <c r="L233" i="4"/>
  <c r="V233" i="3"/>
  <c r="W233" i="3"/>
  <c r="X233" i="3"/>
  <c r="Y233" i="3"/>
  <c r="Z233" i="3"/>
  <c r="AA233" i="3"/>
  <c r="AB233" i="3"/>
  <c r="C233" i="4"/>
  <c r="AC233" i="3"/>
  <c r="AD233" i="3"/>
  <c r="M234" i="3"/>
  <c r="N234" i="3"/>
  <c r="AI234" i="3"/>
  <c r="O234" i="3"/>
  <c r="G233" i="4"/>
  <c r="I233" i="4"/>
  <c r="J233" i="4"/>
  <c r="H233" i="4"/>
  <c r="K233" i="4"/>
  <c r="M233" i="4"/>
  <c r="P234" i="3"/>
  <c r="Q234" i="3"/>
  <c r="L234" i="4"/>
  <c r="V234" i="3"/>
  <c r="W234" i="3"/>
  <c r="X234" i="3"/>
  <c r="Y234" i="3"/>
  <c r="Z234" i="3"/>
  <c r="AA234" i="3"/>
  <c r="AB234" i="3"/>
  <c r="C234" i="4"/>
  <c r="M235" i="3"/>
  <c r="AC234" i="3"/>
  <c r="AD234" i="3"/>
  <c r="AI235" i="3"/>
  <c r="N235" i="3"/>
  <c r="P235" i="3"/>
  <c r="Q235" i="3"/>
  <c r="O235" i="3"/>
  <c r="G234" i="4"/>
  <c r="I234" i="4"/>
  <c r="J234" i="4"/>
  <c r="H234" i="4"/>
  <c r="L235" i="4"/>
  <c r="V235" i="3"/>
  <c r="K234" i="4"/>
  <c r="M234" i="4"/>
  <c r="W235" i="3"/>
  <c r="X235" i="3"/>
  <c r="Y235" i="3"/>
  <c r="Z235" i="3"/>
  <c r="AA235" i="3"/>
  <c r="AB235" i="3"/>
  <c r="M236" i="3"/>
  <c r="AC235" i="3"/>
  <c r="AD235" i="3"/>
  <c r="C235" i="4"/>
  <c r="G235" i="4"/>
  <c r="I235" i="4"/>
  <c r="J235" i="4"/>
  <c r="H235" i="4"/>
  <c r="N236" i="3"/>
  <c r="P236" i="3"/>
  <c r="Q236" i="3"/>
  <c r="AI236" i="3"/>
  <c r="O236" i="3"/>
  <c r="L236" i="4"/>
  <c r="V236" i="3"/>
  <c r="K235" i="4"/>
  <c r="M235" i="4"/>
  <c r="W236" i="3"/>
  <c r="X236" i="3"/>
  <c r="Y236" i="3"/>
  <c r="Z236" i="3"/>
  <c r="AA236" i="3"/>
  <c r="AB236" i="3"/>
  <c r="M237" i="3"/>
  <c r="C236" i="4"/>
  <c r="AC236" i="3"/>
  <c r="AD236" i="3"/>
  <c r="G236" i="4"/>
  <c r="I236" i="4"/>
  <c r="J236" i="4"/>
  <c r="H236" i="4"/>
  <c r="N237" i="3"/>
  <c r="AI237" i="3"/>
  <c r="O237" i="3"/>
  <c r="P237" i="3"/>
  <c r="Q237" i="3"/>
  <c r="M236" i="4"/>
  <c r="K236" i="4"/>
  <c r="L237" i="4"/>
  <c r="V237" i="3"/>
  <c r="W237" i="3"/>
  <c r="X237" i="3"/>
  <c r="Y237" i="3"/>
  <c r="Z237" i="3"/>
  <c r="AA237" i="3"/>
  <c r="AB237" i="3"/>
  <c r="C237" i="4"/>
  <c r="AC237" i="3"/>
  <c r="AD237" i="3"/>
  <c r="M238" i="3"/>
  <c r="AI238" i="3"/>
  <c r="O238" i="3"/>
  <c r="N238" i="3"/>
  <c r="G237" i="4"/>
  <c r="I237" i="4"/>
  <c r="J237" i="4"/>
  <c r="H237" i="4"/>
  <c r="K237" i="4"/>
  <c r="M237" i="4"/>
  <c r="P238" i="3"/>
  <c r="Q238" i="3"/>
  <c r="L238" i="4"/>
  <c r="C30" i="5"/>
  <c r="N30" i="5"/>
  <c r="V238" i="3"/>
  <c r="W238" i="3"/>
  <c r="X238" i="3"/>
  <c r="Y238" i="3"/>
  <c r="Z238" i="3"/>
  <c r="AA238" i="3"/>
  <c r="AB238" i="3"/>
  <c r="AC238" i="3"/>
  <c r="AD238" i="3"/>
  <c r="M239" i="3"/>
  <c r="C238" i="4"/>
  <c r="G238" i="4"/>
  <c r="I238" i="4"/>
  <c r="J238" i="4"/>
  <c r="H238" i="4"/>
  <c r="O239" i="3"/>
  <c r="AI239" i="3"/>
  <c r="N239" i="3"/>
  <c r="P239" i="3"/>
  <c r="Q239" i="3"/>
  <c r="L239" i="4"/>
  <c r="V239" i="3"/>
  <c r="D30" i="5"/>
  <c r="M238" i="4"/>
  <c r="K238" i="4"/>
  <c r="E30" i="5"/>
  <c r="W239" i="3"/>
  <c r="X239" i="3"/>
  <c r="Y239" i="3"/>
  <c r="Z239" i="3"/>
  <c r="AA239" i="3"/>
  <c r="AB239" i="3"/>
  <c r="M240" i="3"/>
  <c r="C239" i="4"/>
  <c r="AC239" i="3"/>
  <c r="AD239" i="3"/>
  <c r="G239" i="4"/>
  <c r="I239" i="4"/>
  <c r="J239" i="4"/>
  <c r="H239" i="4"/>
  <c r="O240" i="3"/>
  <c r="N240" i="3"/>
  <c r="P240" i="3"/>
  <c r="Q240" i="3"/>
  <c r="AI240" i="3"/>
  <c r="L240" i="4"/>
  <c r="V240" i="3"/>
  <c r="M239" i="4"/>
  <c r="K239" i="4"/>
  <c r="W240" i="3"/>
  <c r="X240" i="3"/>
  <c r="Y240" i="3"/>
  <c r="Z240" i="3"/>
  <c r="AA240" i="3"/>
  <c r="AB240" i="3"/>
  <c r="M241" i="3"/>
  <c r="C240" i="4"/>
  <c r="AC240" i="3"/>
  <c r="AD240" i="3"/>
  <c r="G240" i="4"/>
  <c r="I240" i="4"/>
  <c r="J240" i="4"/>
  <c r="H240" i="4"/>
  <c r="N241" i="3"/>
  <c r="AI241" i="3"/>
  <c r="O241" i="3"/>
  <c r="P241" i="3"/>
  <c r="Q241" i="3"/>
  <c r="M240" i="4"/>
  <c r="K240" i="4"/>
  <c r="L241" i="4"/>
  <c r="V241" i="3"/>
  <c r="W241" i="3"/>
  <c r="X241" i="3"/>
  <c r="Y241" i="3"/>
  <c r="Z241" i="3"/>
  <c r="AA241" i="3"/>
  <c r="AB241" i="3"/>
  <c r="AC241" i="3"/>
  <c r="AD241" i="3"/>
  <c r="M242" i="3"/>
  <c r="C241" i="4"/>
  <c r="G241" i="4"/>
  <c r="I241" i="4"/>
  <c r="J241" i="4"/>
  <c r="H241" i="4"/>
  <c r="N242" i="3"/>
  <c r="AI242" i="3"/>
  <c r="O242" i="3"/>
  <c r="P242" i="3"/>
  <c r="Q242" i="3"/>
  <c r="M241" i="4"/>
  <c r="K241" i="4"/>
  <c r="L242" i="4"/>
  <c r="V242" i="3"/>
  <c r="W242" i="3"/>
  <c r="X242" i="3"/>
  <c r="Y242" i="3"/>
  <c r="Z242" i="3"/>
  <c r="AA242" i="3"/>
  <c r="AB242" i="3"/>
  <c r="AC242" i="3"/>
  <c r="AD242" i="3"/>
  <c r="M243" i="3"/>
  <c r="C242" i="4"/>
  <c r="G242" i="4"/>
  <c r="I242" i="4"/>
  <c r="J242" i="4"/>
  <c r="H242" i="4"/>
  <c r="N243" i="3"/>
  <c r="AI243" i="3"/>
  <c r="O243" i="3"/>
  <c r="P243" i="3"/>
  <c r="Q243" i="3"/>
  <c r="M242" i="4"/>
  <c r="K242" i="4"/>
  <c r="L243" i="4"/>
  <c r="V243" i="3"/>
  <c r="W243" i="3"/>
  <c r="X243" i="3"/>
  <c r="Y243" i="3"/>
  <c r="Z243" i="3"/>
  <c r="AA243" i="3"/>
  <c r="AB243" i="3"/>
  <c r="C243" i="4"/>
  <c r="M244" i="3"/>
  <c r="AC243" i="3"/>
  <c r="AD243" i="3"/>
  <c r="N244" i="3"/>
  <c r="AI244" i="3"/>
  <c r="O244" i="3"/>
  <c r="G243" i="4"/>
  <c r="I243" i="4"/>
  <c r="J243" i="4"/>
  <c r="H243" i="4"/>
  <c r="M243" i="4"/>
  <c r="K243" i="4"/>
  <c r="P244" i="3"/>
  <c r="Q244" i="3"/>
  <c r="L244" i="4"/>
  <c r="V244" i="3"/>
  <c r="W244" i="3"/>
  <c r="X244" i="3"/>
  <c r="Y244" i="3"/>
  <c r="Z244" i="3"/>
  <c r="AA244" i="3"/>
  <c r="AB244" i="3"/>
  <c r="AC244" i="3"/>
  <c r="AD244" i="3"/>
  <c r="M245" i="3"/>
  <c r="C244" i="4"/>
  <c r="N245" i="3"/>
  <c r="P245" i="3"/>
  <c r="Q245" i="3"/>
  <c r="O245" i="3"/>
  <c r="AI245" i="3"/>
  <c r="G244" i="4"/>
  <c r="I244" i="4"/>
  <c r="J244" i="4"/>
  <c r="H244" i="4"/>
  <c r="K244" i="4"/>
  <c r="M244" i="4"/>
  <c r="L245" i="4"/>
  <c r="V245" i="3"/>
  <c r="W245" i="3"/>
  <c r="X245" i="3"/>
  <c r="Y245" i="3"/>
  <c r="Z245" i="3"/>
  <c r="AA245" i="3"/>
  <c r="AB245" i="3"/>
  <c r="C245" i="4"/>
  <c r="AC245" i="3"/>
  <c r="AD245" i="3"/>
  <c r="M246" i="3"/>
  <c r="AI246" i="3"/>
  <c r="O246" i="3"/>
  <c r="N246" i="3"/>
  <c r="P246" i="3"/>
  <c r="Q246" i="3"/>
  <c r="G245" i="4"/>
  <c r="I245" i="4"/>
  <c r="J245" i="4"/>
  <c r="H245" i="4"/>
  <c r="L246" i="4"/>
  <c r="V246" i="3"/>
  <c r="K245" i="4"/>
  <c r="M245" i="4"/>
  <c r="W246" i="3"/>
  <c r="X246" i="3"/>
  <c r="Y246" i="3"/>
  <c r="Z246" i="3"/>
  <c r="AA246" i="3"/>
  <c r="AB246" i="3"/>
  <c r="AC246" i="3"/>
  <c r="AD246" i="3"/>
  <c r="M247" i="3"/>
  <c r="C246" i="4"/>
  <c r="G246" i="4"/>
  <c r="I246" i="4"/>
  <c r="J246" i="4"/>
  <c r="H246" i="4"/>
  <c r="AI247" i="3"/>
  <c r="N247" i="3"/>
  <c r="P247" i="3"/>
  <c r="Q247" i="3"/>
  <c r="O247" i="3"/>
  <c r="L247" i="4"/>
  <c r="V247" i="3"/>
  <c r="M246" i="4"/>
  <c r="K246" i="4"/>
  <c r="W247" i="3"/>
  <c r="X247" i="3"/>
  <c r="Y247" i="3"/>
  <c r="Z247" i="3"/>
  <c r="AA247" i="3"/>
  <c r="AB247" i="3"/>
  <c r="AC247" i="3"/>
  <c r="AD247" i="3"/>
  <c r="C247" i="4"/>
  <c r="M248" i="3"/>
  <c r="N248" i="3"/>
  <c r="P248" i="3"/>
  <c r="Q248" i="3"/>
  <c r="O248" i="3"/>
  <c r="AI248" i="3"/>
  <c r="G247" i="4"/>
  <c r="I247" i="4"/>
  <c r="J247" i="4"/>
  <c r="H247" i="4"/>
  <c r="K247" i="4"/>
  <c r="M247" i="4"/>
  <c r="L248" i="4"/>
  <c r="V248" i="3"/>
  <c r="W248" i="3"/>
  <c r="X248" i="3"/>
  <c r="Y248" i="3"/>
  <c r="Z248" i="3"/>
  <c r="AA248" i="3"/>
  <c r="AB248" i="3"/>
  <c r="M249" i="3"/>
  <c r="AC248" i="3"/>
  <c r="AD248" i="3"/>
  <c r="C248" i="4"/>
  <c r="G248" i="4"/>
  <c r="I248" i="4"/>
  <c r="J248" i="4"/>
  <c r="H248" i="4"/>
  <c r="O249" i="3"/>
  <c r="N249" i="3"/>
  <c r="P249" i="3"/>
  <c r="Q249" i="3"/>
  <c r="AI249" i="3"/>
  <c r="L249" i="4"/>
  <c r="V249" i="3"/>
  <c r="M248" i="4"/>
  <c r="K248" i="4"/>
  <c r="W249" i="3"/>
  <c r="X249" i="3"/>
  <c r="Y249" i="3"/>
  <c r="Z249" i="3"/>
  <c r="AA249" i="3"/>
  <c r="AB249" i="3"/>
  <c r="C249" i="4"/>
  <c r="M250" i="3"/>
  <c r="AC249" i="3"/>
  <c r="AD249" i="3"/>
  <c r="N250" i="3"/>
  <c r="O250" i="3"/>
  <c r="AI250" i="3"/>
  <c r="G249" i="4"/>
  <c r="I249" i="4"/>
  <c r="J249" i="4"/>
  <c r="H249" i="4"/>
  <c r="K249" i="4"/>
  <c r="M249" i="4"/>
  <c r="P250" i="3"/>
  <c r="Q250" i="3"/>
  <c r="L250" i="4"/>
  <c r="V250" i="3"/>
  <c r="W250" i="3"/>
  <c r="X250" i="3"/>
  <c r="Y250" i="3"/>
  <c r="Z250" i="3"/>
  <c r="AA250" i="3"/>
  <c r="AB250" i="3"/>
  <c r="AC250" i="3"/>
  <c r="AD250" i="3"/>
  <c r="C250" i="4"/>
  <c r="M251" i="3"/>
  <c r="O251" i="3"/>
  <c r="N251" i="3"/>
  <c r="P251" i="3"/>
  <c r="Q251" i="3"/>
  <c r="AI251" i="3"/>
  <c r="G250" i="4"/>
  <c r="I250" i="4"/>
  <c r="J250" i="4"/>
  <c r="H250" i="4"/>
  <c r="K250" i="4"/>
  <c r="M250" i="4"/>
  <c r="L251" i="4"/>
  <c r="V251" i="3"/>
  <c r="W251" i="3"/>
  <c r="X251" i="3"/>
  <c r="Y251" i="3"/>
  <c r="Z251" i="3"/>
  <c r="AA251" i="3"/>
  <c r="AB251" i="3"/>
  <c r="C251" i="4"/>
  <c r="M252" i="3"/>
  <c r="AC251" i="3"/>
  <c r="AD251" i="3"/>
  <c r="O252" i="3"/>
  <c r="N252" i="3"/>
  <c r="P252" i="3"/>
  <c r="Q252" i="3"/>
  <c r="AI252" i="3"/>
  <c r="G251" i="4"/>
  <c r="I251" i="4"/>
  <c r="J251" i="4"/>
  <c r="H251" i="4"/>
  <c r="L252" i="4"/>
  <c r="V252" i="3"/>
  <c r="K251" i="4"/>
  <c r="M251" i="4"/>
  <c r="W252" i="3"/>
  <c r="X252" i="3"/>
  <c r="Y252" i="3"/>
  <c r="Z252" i="3"/>
  <c r="AA252" i="3"/>
  <c r="AB252" i="3"/>
  <c r="M253" i="3"/>
  <c r="C252" i="4"/>
  <c r="AC252" i="3"/>
  <c r="AD252" i="3"/>
  <c r="G252" i="4"/>
  <c r="I252" i="4"/>
  <c r="J252" i="4"/>
  <c r="H252" i="4"/>
  <c r="O253" i="3"/>
  <c r="N253" i="3"/>
  <c r="P253" i="3"/>
  <c r="Q253" i="3"/>
  <c r="AI253" i="3"/>
  <c r="L253" i="4"/>
  <c r="V253" i="3"/>
  <c r="M252" i="4"/>
  <c r="K252" i="4"/>
  <c r="W253" i="3"/>
  <c r="X253" i="3"/>
  <c r="Y253" i="3"/>
  <c r="Z253" i="3"/>
  <c r="AA253" i="3"/>
  <c r="AB253" i="3"/>
  <c r="AC253" i="3"/>
  <c r="AD253" i="3"/>
  <c r="M254" i="3"/>
  <c r="C253" i="4"/>
  <c r="G253" i="4"/>
  <c r="I253" i="4"/>
  <c r="J253" i="4"/>
  <c r="H253" i="4"/>
  <c r="N254" i="3"/>
  <c r="O254" i="3"/>
  <c r="AI254" i="3"/>
  <c r="P254" i="3"/>
  <c r="Q254" i="3"/>
  <c r="K253" i="4"/>
  <c r="M253" i="4"/>
  <c r="L254" i="4"/>
  <c r="V254" i="3"/>
  <c r="W254" i="3"/>
  <c r="X254" i="3"/>
  <c r="Y254" i="3"/>
  <c r="Z254" i="3"/>
  <c r="AA254" i="3"/>
  <c r="AB254" i="3"/>
  <c r="M255" i="3"/>
  <c r="C254" i="4"/>
  <c r="AC254" i="3"/>
  <c r="AD254" i="3"/>
  <c r="G254" i="4"/>
  <c r="I254" i="4"/>
  <c r="J254" i="4"/>
  <c r="H254" i="4"/>
  <c r="AI255" i="3"/>
  <c r="N255" i="3"/>
  <c r="P255" i="3"/>
  <c r="Q255" i="3"/>
  <c r="O255" i="3"/>
  <c r="L255" i="4"/>
  <c r="V255" i="3"/>
  <c r="K254" i="4"/>
  <c r="M254" i="4"/>
  <c r="W255" i="3"/>
  <c r="X255" i="3"/>
  <c r="Y255" i="3"/>
  <c r="Z255" i="3"/>
  <c r="AA255" i="3"/>
  <c r="AB255" i="3"/>
  <c r="C255" i="4"/>
  <c r="M256" i="3"/>
  <c r="AC255" i="3"/>
  <c r="AD255" i="3"/>
  <c r="N256" i="3"/>
  <c r="P256" i="3"/>
  <c r="Q256" i="3"/>
  <c r="O256" i="3"/>
  <c r="AI256" i="3"/>
  <c r="G255" i="4"/>
  <c r="I255" i="4"/>
  <c r="J255" i="4"/>
  <c r="H255" i="4"/>
  <c r="M255" i="4"/>
  <c r="K255" i="4"/>
  <c r="L256" i="4"/>
  <c r="V256" i="3"/>
  <c r="W256" i="3"/>
  <c r="X256" i="3"/>
  <c r="Y256" i="3"/>
  <c r="Z256" i="3"/>
  <c r="AA256" i="3"/>
  <c r="AB256" i="3"/>
  <c r="C256" i="4"/>
  <c r="M257" i="3"/>
  <c r="AC256" i="3"/>
  <c r="AD256" i="3"/>
  <c r="AI257" i="3"/>
  <c r="O257" i="3"/>
  <c r="N257" i="3"/>
  <c r="P257" i="3"/>
  <c r="Q257" i="3"/>
  <c r="G256" i="4"/>
  <c r="I256" i="4"/>
  <c r="J256" i="4"/>
  <c r="H256" i="4"/>
  <c r="L257" i="4"/>
  <c r="V257" i="3"/>
  <c r="K256" i="4"/>
  <c r="M256" i="4"/>
  <c r="W257" i="3"/>
  <c r="X257" i="3"/>
  <c r="Y257" i="3"/>
  <c r="Z257" i="3"/>
  <c r="AA257" i="3"/>
  <c r="AB257" i="3"/>
  <c r="M258" i="3"/>
  <c r="C257" i="4"/>
  <c r="AC257" i="3"/>
  <c r="AD257" i="3"/>
  <c r="G257" i="4"/>
  <c r="I257" i="4"/>
  <c r="J257" i="4"/>
  <c r="H257" i="4"/>
  <c r="O258" i="3"/>
  <c r="N258" i="3"/>
  <c r="P258" i="3"/>
  <c r="Q258" i="3"/>
  <c r="AI258" i="3"/>
  <c r="L258" i="4"/>
  <c r="V258" i="3"/>
  <c r="K257" i="4"/>
  <c r="M257" i="4"/>
  <c r="W258" i="3"/>
  <c r="X258" i="3"/>
  <c r="Y258" i="3"/>
  <c r="Z258" i="3"/>
  <c r="AA258" i="3"/>
  <c r="AB258" i="3"/>
  <c r="C258" i="4"/>
  <c r="M259" i="3"/>
  <c r="AC258" i="3"/>
  <c r="AD258" i="3"/>
  <c r="N259" i="3"/>
  <c r="O259" i="3"/>
  <c r="AI259" i="3"/>
  <c r="G258" i="4"/>
  <c r="I258" i="4"/>
  <c r="J258" i="4"/>
  <c r="H258" i="4"/>
  <c r="K258" i="4"/>
  <c r="M258" i="4"/>
  <c r="P259" i="3"/>
  <c r="Q259" i="3"/>
  <c r="L259" i="4"/>
  <c r="V259" i="3"/>
  <c r="W259" i="3"/>
  <c r="X259" i="3"/>
  <c r="Y259" i="3"/>
  <c r="Z259" i="3"/>
  <c r="AA259" i="3"/>
  <c r="AB259" i="3"/>
  <c r="C259" i="4"/>
  <c r="M260" i="3"/>
  <c r="AC259" i="3"/>
  <c r="AD259" i="3"/>
  <c r="O260" i="3"/>
  <c r="AI260" i="3"/>
  <c r="N260" i="3"/>
  <c r="P260" i="3"/>
  <c r="Q260" i="3"/>
  <c r="G259" i="4"/>
  <c r="I259" i="4"/>
  <c r="J259" i="4"/>
  <c r="H259" i="4"/>
  <c r="M259" i="4"/>
  <c r="K259" i="4"/>
  <c r="L260" i="4"/>
  <c r="V260" i="3"/>
  <c r="W260" i="3"/>
  <c r="X260" i="3"/>
  <c r="Y260" i="3"/>
  <c r="Z260" i="3"/>
  <c r="AA260" i="3"/>
  <c r="AB260" i="3"/>
  <c r="M261" i="3"/>
  <c r="AC260" i="3"/>
  <c r="AD260" i="3"/>
  <c r="C260" i="4"/>
  <c r="G260" i="4"/>
  <c r="I260" i="4"/>
  <c r="J260" i="4"/>
  <c r="H260" i="4"/>
  <c r="N261" i="3"/>
  <c r="O261" i="3"/>
  <c r="AI261" i="3"/>
  <c r="P261" i="3"/>
  <c r="Q261" i="3"/>
  <c r="K260" i="4"/>
  <c r="M260" i="4"/>
  <c r="L261" i="4"/>
  <c r="V261" i="3"/>
  <c r="X261" i="3"/>
  <c r="Y261" i="3"/>
  <c r="Z261" i="3"/>
  <c r="AA261" i="3"/>
  <c r="AB261" i="3"/>
  <c r="W261" i="3"/>
  <c r="M262" i="3"/>
  <c r="C261" i="4"/>
  <c r="AC261" i="3"/>
  <c r="AD261" i="3"/>
  <c r="G261" i="4"/>
  <c r="I261" i="4"/>
  <c r="J261" i="4"/>
  <c r="H261" i="4"/>
  <c r="N262" i="3"/>
  <c r="AI262" i="3"/>
  <c r="O262" i="3"/>
  <c r="P262" i="3"/>
  <c r="Q262" i="3"/>
  <c r="K261" i="4"/>
  <c r="M261" i="4"/>
  <c r="L262" i="4"/>
  <c r="V262" i="3"/>
  <c r="W262" i="3"/>
  <c r="X262" i="3"/>
  <c r="Y262" i="3"/>
  <c r="Z262" i="3"/>
  <c r="AA262" i="3"/>
  <c r="AB262" i="3"/>
  <c r="AC262" i="3"/>
  <c r="AD262" i="3"/>
  <c r="C262" i="4"/>
  <c r="M263" i="3"/>
  <c r="N263" i="3"/>
  <c r="O263" i="3"/>
  <c r="AI263" i="3"/>
  <c r="G262" i="4"/>
  <c r="I262" i="4"/>
  <c r="J262" i="4"/>
  <c r="H262" i="4"/>
  <c r="M262" i="4"/>
  <c r="K262" i="4"/>
  <c r="P263" i="3"/>
  <c r="Q263" i="3"/>
  <c r="L263" i="4"/>
  <c r="V263" i="3"/>
  <c r="W263" i="3"/>
  <c r="X263" i="3"/>
  <c r="Y263" i="3"/>
  <c r="Z263" i="3"/>
  <c r="AA263" i="3"/>
  <c r="AB263" i="3"/>
  <c r="C263" i="4"/>
  <c r="AC263" i="3"/>
  <c r="AD263" i="3"/>
  <c r="M264" i="3"/>
  <c r="O264" i="3"/>
  <c r="N264" i="3"/>
  <c r="P264" i="3"/>
  <c r="Q264" i="3"/>
  <c r="AI264" i="3"/>
  <c r="G263" i="4"/>
  <c r="I263" i="4"/>
  <c r="J263" i="4"/>
  <c r="H263" i="4"/>
  <c r="K263" i="4"/>
  <c r="M263" i="4"/>
  <c r="L264" i="4"/>
  <c r="V264" i="3"/>
  <c r="W264" i="3"/>
  <c r="X264" i="3"/>
  <c r="Y264" i="3"/>
  <c r="Z264" i="3"/>
  <c r="AA264" i="3"/>
  <c r="AB264" i="3"/>
  <c r="M265" i="3"/>
  <c r="C264" i="4"/>
  <c r="AC264" i="3"/>
  <c r="AD264" i="3"/>
  <c r="G264" i="4"/>
  <c r="I264" i="4"/>
  <c r="J264" i="4"/>
  <c r="H264" i="4"/>
  <c r="O265" i="3"/>
  <c r="N265" i="3"/>
  <c r="AI265" i="3"/>
  <c r="P265" i="3"/>
  <c r="Q265" i="3"/>
  <c r="M264" i="4"/>
  <c r="K264" i="4"/>
  <c r="L265" i="4"/>
  <c r="V265" i="3"/>
  <c r="W265" i="3"/>
  <c r="X265" i="3"/>
  <c r="Y265" i="3"/>
  <c r="Z265" i="3"/>
  <c r="AA265" i="3"/>
  <c r="AB265" i="3"/>
  <c r="M266" i="3"/>
  <c r="AC265" i="3"/>
  <c r="AD265" i="3"/>
  <c r="C265" i="4"/>
  <c r="G265" i="4"/>
  <c r="I265" i="4"/>
  <c r="J265" i="4"/>
  <c r="H265" i="4"/>
  <c r="O266" i="3"/>
  <c r="N266" i="3"/>
  <c r="P266" i="3"/>
  <c r="Q266" i="3"/>
  <c r="AI266" i="3"/>
  <c r="L266" i="4"/>
  <c r="V266" i="3"/>
  <c r="M265" i="4"/>
  <c r="K265" i="4"/>
  <c r="W266" i="3"/>
  <c r="X266" i="3"/>
  <c r="Y266" i="3"/>
  <c r="Z266" i="3"/>
  <c r="AA266" i="3"/>
  <c r="AB266" i="3"/>
  <c r="C266" i="4"/>
  <c r="M267" i="3"/>
  <c r="AC266" i="3"/>
  <c r="AD266" i="3"/>
  <c r="AI267" i="3"/>
  <c r="O267" i="3"/>
  <c r="N267" i="3"/>
  <c r="P267" i="3"/>
  <c r="Q267" i="3"/>
  <c r="G266" i="4"/>
  <c r="I266" i="4"/>
  <c r="J266" i="4"/>
  <c r="H266" i="4"/>
  <c r="M266" i="4"/>
  <c r="K266" i="4"/>
  <c r="L267" i="4"/>
  <c r="V267" i="3"/>
  <c r="W267" i="3"/>
  <c r="X267" i="3"/>
  <c r="Y267" i="3"/>
  <c r="Z267" i="3"/>
  <c r="AA267" i="3"/>
  <c r="AB267" i="3"/>
  <c r="AC267" i="3"/>
  <c r="AD267" i="3"/>
  <c r="M268" i="3"/>
  <c r="C267" i="4"/>
  <c r="G267" i="4"/>
  <c r="I267" i="4"/>
  <c r="J267" i="4"/>
  <c r="H267" i="4"/>
  <c r="O268" i="3"/>
  <c r="AI268" i="3"/>
  <c r="N268" i="3"/>
  <c r="P268" i="3"/>
  <c r="Q268" i="3"/>
  <c r="L268" i="4"/>
  <c r="V268" i="3"/>
  <c r="M267" i="4"/>
  <c r="K267" i="4"/>
  <c r="W268" i="3"/>
  <c r="X268" i="3"/>
  <c r="Y268" i="3"/>
  <c r="Z268" i="3"/>
  <c r="AA268" i="3"/>
  <c r="AB268" i="3"/>
  <c r="AC268" i="3"/>
  <c r="AD268" i="3"/>
  <c r="M269" i="3"/>
  <c r="C268" i="4"/>
  <c r="G268" i="4"/>
  <c r="I268" i="4"/>
  <c r="J268" i="4"/>
  <c r="H268" i="4"/>
  <c r="O269" i="3"/>
  <c r="AI269" i="3"/>
  <c r="N269" i="3"/>
  <c r="P269" i="3"/>
  <c r="Q269" i="3"/>
  <c r="L269" i="4"/>
  <c r="V269" i="3"/>
  <c r="K268" i="4"/>
  <c r="M268" i="4"/>
  <c r="W269" i="3"/>
  <c r="X269" i="3"/>
  <c r="Y269" i="3"/>
  <c r="Z269" i="3"/>
  <c r="AA269" i="3"/>
  <c r="AB269" i="3"/>
  <c r="M270" i="3"/>
  <c r="C269" i="4"/>
  <c r="AC269" i="3"/>
  <c r="AD269" i="3"/>
  <c r="G269" i="4"/>
  <c r="I269" i="4"/>
  <c r="J269" i="4"/>
  <c r="H269" i="4"/>
  <c r="N270" i="3"/>
  <c r="AI270" i="3"/>
  <c r="O270" i="3"/>
  <c r="P270" i="3"/>
  <c r="Q270" i="3"/>
  <c r="M269" i="4"/>
  <c r="K269" i="4"/>
  <c r="L270" i="4"/>
  <c r="V270" i="3"/>
  <c r="W270" i="3"/>
  <c r="X270" i="3"/>
  <c r="Y270" i="3"/>
  <c r="Z270" i="3"/>
  <c r="AA270" i="3"/>
  <c r="AB270" i="3"/>
  <c r="M271" i="3"/>
  <c r="C270" i="4"/>
  <c r="AC270" i="3"/>
  <c r="AD270" i="3"/>
  <c r="G270" i="4"/>
  <c r="I270" i="4"/>
  <c r="J270" i="4"/>
  <c r="H270" i="4"/>
  <c r="O271" i="3"/>
  <c r="N271" i="3"/>
  <c r="P271" i="3"/>
  <c r="Q271" i="3"/>
  <c r="AI271" i="3"/>
  <c r="L271" i="4"/>
  <c r="V271" i="3"/>
  <c r="K270" i="4"/>
  <c r="M270" i="4"/>
  <c r="W271" i="3"/>
  <c r="X271" i="3"/>
  <c r="Y271" i="3"/>
  <c r="Z271" i="3"/>
  <c r="AA271" i="3"/>
  <c r="AB271" i="3"/>
  <c r="AC271" i="3"/>
  <c r="AD271" i="3"/>
  <c r="M272" i="3"/>
  <c r="C271" i="4"/>
  <c r="O272" i="3"/>
  <c r="AI272" i="3"/>
  <c r="N272" i="3"/>
  <c r="P272" i="3"/>
  <c r="Q272" i="3"/>
  <c r="G271" i="4"/>
  <c r="I271" i="4"/>
  <c r="J271" i="4"/>
  <c r="H271" i="4"/>
  <c r="L272" i="4"/>
  <c r="V272" i="3"/>
  <c r="K271" i="4"/>
  <c r="M271" i="4"/>
  <c r="W272" i="3"/>
  <c r="X272" i="3"/>
  <c r="Y272" i="3"/>
  <c r="Z272" i="3"/>
  <c r="AA272" i="3"/>
  <c r="AB272" i="3"/>
  <c r="AC272" i="3"/>
  <c r="AD272" i="3"/>
  <c r="M273" i="3"/>
  <c r="C272" i="4"/>
  <c r="O273" i="3"/>
  <c r="AI273" i="3"/>
  <c r="N273" i="3"/>
  <c r="P273" i="3"/>
  <c r="Q273" i="3"/>
  <c r="G272" i="4"/>
  <c r="I272" i="4"/>
  <c r="J272" i="4"/>
  <c r="H272" i="4"/>
  <c r="L273" i="4"/>
  <c r="V273" i="3"/>
  <c r="M272" i="4"/>
  <c r="K272" i="4"/>
  <c r="W273" i="3"/>
  <c r="X273" i="3"/>
  <c r="Y273" i="3"/>
  <c r="Z273" i="3"/>
  <c r="AA273" i="3"/>
  <c r="AB273" i="3"/>
  <c r="C273" i="4"/>
  <c r="AC273" i="3"/>
  <c r="AD273" i="3"/>
  <c r="M274" i="3"/>
  <c r="O274" i="3"/>
  <c r="N274" i="3"/>
  <c r="P274" i="3"/>
  <c r="Q274" i="3"/>
  <c r="AI274" i="3"/>
  <c r="G273" i="4"/>
  <c r="I273" i="4"/>
  <c r="J273" i="4"/>
  <c r="H273" i="4"/>
  <c r="L274" i="4"/>
  <c r="V274" i="3"/>
  <c r="M273" i="4"/>
  <c r="K273" i="4"/>
  <c r="W274" i="3"/>
  <c r="X274" i="3"/>
  <c r="Y274" i="3"/>
  <c r="Z274" i="3"/>
  <c r="AA274" i="3"/>
  <c r="AB274" i="3"/>
  <c r="AC274" i="3"/>
  <c r="AD274" i="3"/>
  <c r="C274" i="4"/>
  <c r="M275" i="3"/>
  <c r="O275" i="3"/>
  <c r="AI275" i="3"/>
  <c r="N275" i="3"/>
  <c r="P275" i="3"/>
  <c r="Q275" i="3"/>
  <c r="G274" i="4"/>
  <c r="I274" i="4"/>
  <c r="J274" i="4"/>
  <c r="H274" i="4"/>
  <c r="L275" i="4"/>
  <c r="V275" i="3"/>
  <c r="M274" i="4"/>
  <c r="K274" i="4"/>
  <c r="W275" i="3"/>
  <c r="X275" i="3"/>
  <c r="Y275" i="3"/>
  <c r="Z275" i="3"/>
  <c r="AA275" i="3"/>
  <c r="AB275" i="3"/>
  <c r="AC275" i="3"/>
  <c r="AD275" i="3"/>
  <c r="M276" i="3"/>
  <c r="C275" i="4"/>
  <c r="G275" i="4"/>
  <c r="I275" i="4"/>
  <c r="J275" i="4"/>
  <c r="H275" i="4"/>
  <c r="N276" i="3"/>
  <c r="AI276" i="3"/>
  <c r="O276" i="3"/>
  <c r="P276" i="3"/>
  <c r="Q276" i="3"/>
  <c r="M275" i="4"/>
  <c r="K275" i="4"/>
  <c r="L276" i="4"/>
  <c r="V276" i="3"/>
  <c r="W276" i="3"/>
  <c r="X276" i="3"/>
  <c r="Y276" i="3"/>
  <c r="Z276" i="3"/>
  <c r="AA276" i="3"/>
  <c r="AB276" i="3"/>
  <c r="M277" i="3"/>
  <c r="AC276" i="3"/>
  <c r="AD276" i="3"/>
  <c r="C276" i="4"/>
  <c r="G276" i="4"/>
  <c r="I276" i="4"/>
  <c r="J276" i="4"/>
  <c r="H276" i="4"/>
  <c r="AI277" i="3"/>
  <c r="O277" i="3"/>
  <c r="N277" i="3"/>
  <c r="P277" i="3"/>
  <c r="Q277" i="3"/>
  <c r="M276" i="4"/>
  <c r="K276" i="4"/>
  <c r="L277" i="4"/>
  <c r="V277" i="3"/>
  <c r="W277" i="3"/>
  <c r="X277" i="3"/>
  <c r="Y277" i="3"/>
  <c r="Z277" i="3"/>
  <c r="AA277" i="3"/>
  <c r="AB277" i="3"/>
  <c r="C277" i="4"/>
  <c r="M278" i="3"/>
  <c r="AC277" i="3"/>
  <c r="AD277" i="3"/>
  <c r="O278" i="3"/>
  <c r="AI278" i="3"/>
  <c r="N278" i="3"/>
  <c r="P278" i="3"/>
  <c r="Q278" i="3"/>
  <c r="G277" i="4"/>
  <c r="I277" i="4"/>
  <c r="J277" i="4"/>
  <c r="H277" i="4"/>
  <c r="L278" i="4"/>
  <c r="V278" i="3"/>
  <c r="K277" i="4"/>
  <c r="M277" i="4"/>
  <c r="W278" i="3"/>
  <c r="X278" i="3"/>
  <c r="Y278" i="3"/>
  <c r="Z278" i="3"/>
  <c r="AA278" i="3"/>
  <c r="AB278" i="3"/>
  <c r="C278" i="4"/>
  <c r="AC278" i="3"/>
  <c r="AD278" i="3"/>
  <c r="M279" i="3"/>
  <c r="O279" i="3"/>
  <c r="N279" i="3"/>
  <c r="P279" i="3"/>
  <c r="Q279" i="3"/>
  <c r="AI279" i="3"/>
  <c r="G278" i="4"/>
  <c r="I278" i="4"/>
  <c r="J278" i="4"/>
  <c r="H278" i="4"/>
  <c r="L279" i="4"/>
  <c r="V279" i="3"/>
  <c r="K278" i="4"/>
  <c r="M278" i="4"/>
  <c r="W279" i="3"/>
  <c r="X279" i="3"/>
  <c r="Y279" i="3"/>
  <c r="Z279" i="3"/>
  <c r="AA279" i="3"/>
  <c r="AB279" i="3"/>
  <c r="C279" i="4"/>
  <c r="AC279" i="3"/>
  <c r="AD279" i="3"/>
  <c r="M280" i="3"/>
  <c r="O280" i="3"/>
  <c r="AI280" i="3"/>
  <c r="N280" i="3"/>
  <c r="P280" i="3"/>
  <c r="Q280" i="3"/>
  <c r="G279" i="4"/>
  <c r="I279" i="4"/>
  <c r="J279" i="4"/>
  <c r="H279" i="4"/>
  <c r="L280" i="4"/>
  <c r="C31" i="5"/>
  <c r="N31" i="5"/>
  <c r="V280" i="3"/>
  <c r="M279" i="4"/>
  <c r="K279" i="4"/>
  <c r="W280" i="3"/>
  <c r="X280" i="3"/>
  <c r="Y280" i="3"/>
  <c r="Z280" i="3"/>
  <c r="AA280" i="3"/>
  <c r="AB280" i="3"/>
  <c r="C280" i="4"/>
  <c r="AC280" i="3"/>
  <c r="AD280" i="3"/>
  <c r="M281" i="3"/>
  <c r="O281" i="3"/>
  <c r="N281" i="3"/>
  <c r="AI281" i="3"/>
  <c r="G280" i="4"/>
  <c r="I280" i="4"/>
  <c r="J280" i="4"/>
  <c r="H280" i="4"/>
  <c r="M280" i="4"/>
  <c r="K280" i="4"/>
  <c r="E31" i="5"/>
  <c r="D31" i="5"/>
  <c r="P281" i="3"/>
  <c r="Q281" i="3"/>
  <c r="L281" i="4"/>
  <c r="V281" i="3"/>
  <c r="W281" i="3"/>
  <c r="X281" i="3"/>
  <c r="Y281" i="3"/>
  <c r="Z281" i="3"/>
  <c r="AA281" i="3"/>
  <c r="AB281" i="3"/>
  <c r="AC281" i="3"/>
  <c r="AD281" i="3"/>
  <c r="C281" i="4"/>
  <c r="M282" i="3"/>
  <c r="N282" i="3"/>
  <c r="P282" i="3"/>
  <c r="Q282" i="3"/>
  <c r="AI282" i="3"/>
  <c r="O282" i="3"/>
  <c r="G281" i="4"/>
  <c r="I281" i="4"/>
  <c r="J281" i="4"/>
  <c r="H281" i="4"/>
  <c r="M281" i="4"/>
  <c r="K281" i="4"/>
  <c r="L282" i="4"/>
  <c r="V282" i="3"/>
  <c r="W282" i="3"/>
  <c r="X282" i="3"/>
  <c r="Y282" i="3"/>
  <c r="Z282" i="3"/>
  <c r="AA282" i="3"/>
  <c r="AB282" i="3"/>
  <c r="AC282" i="3"/>
  <c r="AD282" i="3"/>
  <c r="M283" i="3"/>
  <c r="C282" i="4"/>
  <c r="O283" i="3"/>
  <c r="N283" i="3"/>
  <c r="P283" i="3"/>
  <c r="Q283" i="3"/>
  <c r="AI283" i="3"/>
  <c r="G282" i="4"/>
  <c r="I282" i="4"/>
  <c r="J282" i="4"/>
  <c r="H282" i="4"/>
  <c r="K282" i="4"/>
  <c r="M282" i="4"/>
  <c r="L283" i="4"/>
  <c r="V283" i="3"/>
  <c r="W283" i="3"/>
  <c r="X283" i="3"/>
  <c r="Y283" i="3"/>
  <c r="Z283" i="3"/>
  <c r="AA283" i="3"/>
  <c r="AB283" i="3"/>
  <c r="C283" i="4"/>
  <c r="AC283" i="3"/>
  <c r="AD283" i="3"/>
  <c r="M284" i="3"/>
  <c r="N284" i="3"/>
  <c r="P284" i="3"/>
  <c r="Q284" i="3"/>
  <c r="O284" i="3"/>
  <c r="AI284" i="3"/>
  <c r="G283" i="4"/>
  <c r="I283" i="4"/>
  <c r="J283" i="4"/>
  <c r="H283" i="4"/>
  <c r="M283" i="4"/>
  <c r="K283" i="4"/>
  <c r="L284" i="4"/>
  <c r="V284" i="3"/>
  <c r="W284" i="3"/>
  <c r="X284" i="3"/>
  <c r="Y284" i="3"/>
  <c r="Z284" i="3"/>
  <c r="AA284" i="3"/>
  <c r="AB284" i="3"/>
  <c r="C284" i="4"/>
  <c r="M285" i="3"/>
  <c r="AC284" i="3"/>
  <c r="AD284" i="3"/>
  <c r="O285" i="3"/>
  <c r="N285" i="3"/>
  <c r="P285" i="3"/>
  <c r="Q285" i="3"/>
  <c r="AI285" i="3"/>
  <c r="G284" i="4"/>
  <c r="I284" i="4"/>
  <c r="J284" i="4"/>
  <c r="H284" i="4"/>
  <c r="L285" i="4"/>
  <c r="V285" i="3"/>
  <c r="M284" i="4"/>
  <c r="K284" i="4"/>
  <c r="W285" i="3"/>
  <c r="X285" i="3"/>
  <c r="Y285" i="3"/>
  <c r="Z285" i="3"/>
  <c r="AA285" i="3"/>
  <c r="AB285" i="3"/>
  <c r="AC285" i="3"/>
  <c r="AD285" i="3"/>
  <c r="C285" i="4"/>
  <c r="M286" i="3"/>
  <c r="G285" i="4"/>
  <c r="I285" i="4"/>
  <c r="J285" i="4"/>
  <c r="H285" i="4"/>
  <c r="AI286" i="3"/>
  <c r="O286" i="3"/>
  <c r="N286" i="3"/>
  <c r="P286" i="3"/>
  <c r="Q286" i="3"/>
  <c r="K285" i="4"/>
  <c r="M285" i="4"/>
  <c r="L286" i="4"/>
  <c r="V286" i="3"/>
  <c r="W286" i="3"/>
  <c r="X286" i="3"/>
  <c r="Y286" i="3"/>
  <c r="Z286" i="3"/>
  <c r="AA286" i="3"/>
  <c r="AB286" i="3"/>
  <c r="AC286" i="3"/>
  <c r="AD286" i="3"/>
  <c r="M287" i="3"/>
  <c r="C286" i="4"/>
  <c r="G286" i="4"/>
  <c r="I286" i="4"/>
  <c r="J286" i="4"/>
  <c r="H286" i="4"/>
  <c r="AI287" i="3"/>
  <c r="O287" i="3"/>
  <c r="N287" i="3"/>
  <c r="P287" i="3"/>
  <c r="Q287" i="3"/>
  <c r="L287" i="4"/>
  <c r="V287" i="3"/>
  <c r="M286" i="4"/>
  <c r="K286" i="4"/>
  <c r="W287" i="3"/>
  <c r="X287" i="3"/>
  <c r="Y287" i="3"/>
  <c r="Z287" i="3"/>
  <c r="AA287" i="3"/>
  <c r="AB287" i="3"/>
  <c r="AC287" i="3"/>
  <c r="AD287" i="3"/>
  <c r="M288" i="3"/>
  <c r="C287" i="4"/>
  <c r="O288" i="3"/>
  <c r="N288" i="3"/>
  <c r="P288" i="3"/>
  <c r="Q288" i="3"/>
  <c r="AI288" i="3"/>
  <c r="G287" i="4"/>
  <c r="I287" i="4"/>
  <c r="J287" i="4"/>
  <c r="H287" i="4"/>
  <c r="L288" i="4"/>
  <c r="V288" i="3"/>
  <c r="M287" i="4"/>
  <c r="K287" i="4"/>
  <c r="W288" i="3"/>
  <c r="X288" i="3"/>
  <c r="Y288" i="3"/>
  <c r="Z288" i="3"/>
  <c r="AA288" i="3"/>
  <c r="AB288" i="3"/>
  <c r="C288" i="4"/>
  <c r="AC288" i="3"/>
  <c r="AD288" i="3"/>
  <c r="M289" i="3"/>
  <c r="O289" i="3"/>
  <c r="AI289" i="3"/>
  <c r="N289" i="3"/>
  <c r="P289" i="3"/>
  <c r="Q289" i="3"/>
  <c r="G288" i="4"/>
  <c r="I288" i="4"/>
  <c r="J288" i="4"/>
  <c r="H288" i="4"/>
  <c r="L289" i="4"/>
  <c r="V289" i="3"/>
  <c r="K288" i="4"/>
  <c r="M288" i="4"/>
  <c r="W289" i="3"/>
  <c r="X289" i="3"/>
  <c r="Y289" i="3"/>
  <c r="Z289" i="3"/>
  <c r="AA289" i="3"/>
  <c r="AB289" i="3"/>
  <c r="C289" i="4"/>
  <c r="AC289" i="3"/>
  <c r="AD289" i="3"/>
  <c r="M290" i="3"/>
  <c r="N290" i="3"/>
  <c r="O290" i="3"/>
  <c r="AI290" i="3"/>
  <c r="G289" i="4"/>
  <c r="I289" i="4"/>
  <c r="J289" i="4"/>
  <c r="H289" i="4"/>
  <c r="K289" i="4"/>
  <c r="M289" i="4"/>
  <c r="P290" i="3"/>
  <c r="Q290" i="3"/>
  <c r="L290" i="4"/>
  <c r="V290" i="3"/>
  <c r="W290" i="3"/>
  <c r="X290" i="3"/>
  <c r="Y290" i="3"/>
  <c r="Z290" i="3"/>
  <c r="AA290" i="3"/>
  <c r="AB290" i="3"/>
  <c r="AC290" i="3"/>
  <c r="AD290" i="3"/>
  <c r="M291" i="3"/>
  <c r="C290" i="4"/>
  <c r="G290" i="4"/>
  <c r="I290" i="4"/>
  <c r="J290" i="4"/>
  <c r="H290" i="4"/>
  <c r="O291" i="3"/>
  <c r="AI291" i="3"/>
  <c r="N291" i="3"/>
  <c r="P291" i="3"/>
  <c r="Q291" i="3"/>
  <c r="L291" i="4"/>
  <c r="V291" i="3"/>
  <c r="M290" i="4"/>
  <c r="K290" i="4"/>
  <c r="W291" i="3"/>
  <c r="X291" i="3"/>
  <c r="Y291" i="3"/>
  <c r="Z291" i="3"/>
  <c r="AA291" i="3"/>
  <c r="AB291" i="3"/>
  <c r="C291" i="4"/>
  <c r="M292" i="3"/>
  <c r="AC291" i="3"/>
  <c r="AD291" i="3"/>
  <c r="N292" i="3"/>
  <c r="AI292" i="3"/>
  <c r="O292" i="3"/>
  <c r="G291" i="4"/>
  <c r="I291" i="4"/>
  <c r="J291" i="4"/>
  <c r="H291" i="4"/>
  <c r="K291" i="4"/>
  <c r="M291" i="4"/>
  <c r="P292" i="3"/>
  <c r="Q292" i="3"/>
  <c r="L292" i="4"/>
  <c r="V292" i="3"/>
  <c r="W292" i="3"/>
  <c r="X292" i="3"/>
  <c r="Y292" i="3"/>
  <c r="Z292" i="3"/>
  <c r="AA292" i="3"/>
  <c r="AB292" i="3"/>
  <c r="M293" i="3"/>
  <c r="C292" i="4"/>
  <c r="AC292" i="3"/>
  <c r="AD292" i="3"/>
  <c r="G292" i="4"/>
  <c r="I292" i="4"/>
  <c r="J292" i="4"/>
  <c r="H292" i="4"/>
  <c r="N293" i="3"/>
  <c r="P293" i="3"/>
  <c r="Q293" i="3"/>
  <c r="AI293" i="3"/>
  <c r="O293" i="3"/>
  <c r="L293" i="4"/>
  <c r="V293" i="3"/>
  <c r="M292" i="4"/>
  <c r="K292" i="4"/>
  <c r="W293" i="3"/>
  <c r="X293" i="3"/>
  <c r="Y293" i="3"/>
  <c r="Z293" i="3"/>
  <c r="AA293" i="3"/>
  <c r="AB293" i="3"/>
  <c r="AC293" i="3"/>
  <c r="AD293" i="3"/>
  <c r="C293" i="4"/>
  <c r="M294" i="3"/>
  <c r="O294" i="3"/>
  <c r="AI294" i="3"/>
  <c r="N294" i="3"/>
  <c r="P294" i="3"/>
  <c r="Q294" i="3"/>
  <c r="G293" i="4"/>
  <c r="I293" i="4"/>
  <c r="J293" i="4"/>
  <c r="H293" i="4"/>
  <c r="L294" i="4"/>
  <c r="V294" i="3"/>
  <c r="M293" i="4"/>
  <c r="K293" i="4"/>
  <c r="W294" i="3"/>
  <c r="X294" i="3"/>
  <c r="Y294" i="3"/>
  <c r="Z294" i="3"/>
  <c r="AA294" i="3"/>
  <c r="AB294" i="3"/>
  <c r="AC294" i="3"/>
  <c r="AD294" i="3"/>
  <c r="C294" i="4"/>
  <c r="M295" i="3"/>
  <c r="O295" i="3"/>
  <c r="AI295" i="3"/>
  <c r="N295" i="3"/>
  <c r="P295" i="3"/>
  <c r="Q295" i="3"/>
  <c r="G294" i="4"/>
  <c r="I294" i="4"/>
  <c r="J294" i="4"/>
  <c r="H294" i="4"/>
  <c r="L295" i="4"/>
  <c r="V295" i="3"/>
  <c r="M294" i="4"/>
  <c r="K294" i="4"/>
  <c r="W295" i="3"/>
  <c r="X295" i="3"/>
  <c r="Y295" i="3"/>
  <c r="Z295" i="3"/>
  <c r="AA295" i="3"/>
  <c r="AB295" i="3"/>
  <c r="AC295" i="3"/>
  <c r="AD295" i="3"/>
  <c r="C295" i="4"/>
  <c r="M296" i="3"/>
  <c r="G295" i="4"/>
  <c r="I295" i="4"/>
  <c r="J295" i="4"/>
  <c r="H295" i="4"/>
  <c r="N296" i="3"/>
  <c r="O296" i="3"/>
  <c r="AI296" i="3"/>
  <c r="P296" i="3"/>
  <c r="Q296" i="3"/>
  <c r="M295" i="4"/>
  <c r="K295" i="4"/>
  <c r="L296" i="4"/>
  <c r="V296" i="3"/>
  <c r="W296" i="3"/>
  <c r="X296" i="3"/>
  <c r="Y296" i="3"/>
  <c r="Z296" i="3"/>
  <c r="AA296" i="3"/>
  <c r="AB296" i="3"/>
  <c r="C296" i="4"/>
  <c r="AC296" i="3"/>
  <c r="AD296" i="3"/>
  <c r="M297" i="3"/>
  <c r="AI297" i="3"/>
  <c r="O297" i="3"/>
  <c r="N297" i="3"/>
  <c r="P297" i="3"/>
  <c r="Q297" i="3"/>
  <c r="G296" i="4"/>
  <c r="I296" i="4"/>
  <c r="J296" i="4"/>
  <c r="H296" i="4"/>
  <c r="L297" i="4"/>
  <c r="V297" i="3"/>
  <c r="M296" i="4"/>
  <c r="K296" i="4"/>
  <c r="W297" i="3"/>
  <c r="X297" i="3"/>
  <c r="Y297" i="3"/>
  <c r="Z297" i="3"/>
  <c r="AA297" i="3"/>
  <c r="AB297" i="3"/>
  <c r="AC297" i="3"/>
  <c r="AD297" i="3"/>
  <c r="C297" i="4"/>
  <c r="M298" i="3"/>
  <c r="O298" i="3"/>
  <c r="N298" i="3"/>
  <c r="AI298" i="3"/>
  <c r="G297" i="4"/>
  <c r="I297" i="4"/>
  <c r="J297" i="4"/>
  <c r="H297" i="4"/>
  <c r="K297" i="4"/>
  <c r="M297" i="4"/>
  <c r="P298" i="3"/>
  <c r="Q298" i="3"/>
  <c r="L298" i="4"/>
  <c r="V298" i="3"/>
  <c r="W298" i="3"/>
  <c r="X298" i="3"/>
  <c r="Y298" i="3"/>
  <c r="Z298" i="3"/>
  <c r="AA298" i="3"/>
  <c r="AB298" i="3"/>
  <c r="AC298" i="3"/>
  <c r="AD298" i="3"/>
  <c r="M299" i="3"/>
  <c r="C298" i="4"/>
  <c r="G298" i="4"/>
  <c r="I298" i="4"/>
  <c r="J298" i="4"/>
  <c r="H298" i="4"/>
  <c r="O299" i="3"/>
  <c r="N299" i="3"/>
  <c r="P299" i="3"/>
  <c r="Q299" i="3"/>
  <c r="AI299" i="3"/>
  <c r="L299" i="4"/>
  <c r="V299" i="3"/>
  <c r="M298" i="4"/>
  <c r="K298" i="4"/>
  <c r="W299" i="3"/>
  <c r="X299" i="3"/>
  <c r="Y299" i="3"/>
  <c r="Z299" i="3"/>
  <c r="AA299" i="3"/>
  <c r="AB299" i="3"/>
  <c r="C299" i="4"/>
  <c r="M300" i="3"/>
  <c r="AC299" i="3"/>
  <c r="AD299" i="3"/>
  <c r="N300" i="3"/>
  <c r="P300" i="3"/>
  <c r="Q300" i="3"/>
  <c r="O300" i="3"/>
  <c r="AI300" i="3"/>
  <c r="G299" i="4"/>
  <c r="I299" i="4"/>
  <c r="J299" i="4"/>
  <c r="H299" i="4"/>
  <c r="K299" i="4"/>
  <c r="M299" i="4"/>
  <c r="L300" i="4"/>
  <c r="V300" i="3"/>
  <c r="W300" i="3"/>
  <c r="X300" i="3"/>
  <c r="Y300" i="3"/>
  <c r="Z300" i="3"/>
  <c r="AA300" i="3"/>
  <c r="AB300" i="3"/>
  <c r="C300" i="4"/>
  <c r="AC300" i="3"/>
  <c r="AD300" i="3"/>
  <c r="M301" i="3"/>
  <c r="O301" i="3"/>
  <c r="N301" i="3"/>
  <c r="P301" i="3"/>
  <c r="Q301" i="3"/>
  <c r="AI301" i="3"/>
  <c r="G300" i="4"/>
  <c r="I300" i="4"/>
  <c r="J300" i="4"/>
  <c r="H300" i="4"/>
  <c r="M300" i="4"/>
  <c r="K300" i="4"/>
  <c r="L301" i="4"/>
  <c r="V301" i="3"/>
  <c r="W301" i="3"/>
  <c r="X301" i="3"/>
  <c r="Y301" i="3"/>
  <c r="Z301" i="3"/>
  <c r="AA301" i="3"/>
  <c r="AB301" i="3"/>
  <c r="M302" i="3"/>
  <c r="AC301" i="3"/>
  <c r="AD301" i="3"/>
  <c r="C301" i="4"/>
  <c r="G301" i="4"/>
  <c r="I301" i="4"/>
  <c r="J301" i="4"/>
  <c r="H301" i="4"/>
  <c r="O302" i="3"/>
  <c r="N302" i="3"/>
  <c r="P302" i="3"/>
  <c r="Q302" i="3"/>
  <c r="AI302" i="3"/>
  <c r="L302" i="4"/>
  <c r="V302" i="3"/>
  <c r="M301" i="4"/>
  <c r="K301" i="4"/>
  <c r="W302" i="3"/>
  <c r="X302" i="3"/>
  <c r="Y302" i="3"/>
  <c r="Z302" i="3"/>
  <c r="AA302" i="3"/>
  <c r="AB302" i="3"/>
  <c r="M303" i="3"/>
  <c r="C302" i="4"/>
  <c r="AC302" i="3"/>
  <c r="AD302" i="3"/>
  <c r="G302" i="4"/>
  <c r="I302" i="4"/>
  <c r="J302" i="4"/>
  <c r="H302" i="4"/>
  <c r="N303" i="3"/>
  <c r="AI303" i="3"/>
  <c r="O303" i="3"/>
  <c r="P303" i="3"/>
  <c r="Q303" i="3"/>
  <c r="K302" i="4"/>
  <c r="M302" i="4"/>
  <c r="L303" i="4"/>
  <c r="V303" i="3"/>
  <c r="W303" i="3"/>
  <c r="X303" i="3"/>
  <c r="Y303" i="3"/>
  <c r="Z303" i="3"/>
  <c r="AA303" i="3"/>
  <c r="AB303" i="3"/>
  <c r="M304" i="3"/>
  <c r="C303" i="4"/>
  <c r="AC303" i="3"/>
  <c r="AD303" i="3"/>
  <c r="G303" i="4"/>
  <c r="I303" i="4"/>
  <c r="J303" i="4"/>
  <c r="H303" i="4"/>
  <c r="O304" i="3"/>
  <c r="N304" i="3"/>
  <c r="P304" i="3"/>
  <c r="Q304" i="3"/>
  <c r="AI304" i="3"/>
  <c r="L304" i="4"/>
  <c r="V304" i="3"/>
  <c r="M303" i="4"/>
  <c r="K303" i="4"/>
  <c r="W304" i="3"/>
  <c r="X304" i="3"/>
  <c r="Y304" i="3"/>
  <c r="Z304" i="3"/>
  <c r="AA304" i="3"/>
  <c r="AB304" i="3"/>
  <c r="M305" i="3"/>
  <c r="AC304" i="3"/>
  <c r="AD304" i="3"/>
  <c r="C304" i="4"/>
  <c r="G304" i="4"/>
  <c r="I304" i="4"/>
  <c r="J304" i="4"/>
  <c r="H304" i="4"/>
  <c r="N305" i="3"/>
  <c r="AI305" i="3"/>
  <c r="O305" i="3"/>
  <c r="P305" i="3"/>
  <c r="Q305" i="3"/>
  <c r="K304" i="4"/>
  <c r="M304" i="4"/>
  <c r="L305" i="4"/>
  <c r="V305" i="3"/>
  <c r="W305" i="3"/>
  <c r="X305" i="3"/>
  <c r="Y305" i="3"/>
  <c r="Z305" i="3"/>
  <c r="AA305" i="3"/>
  <c r="AB305" i="3"/>
  <c r="M306" i="3"/>
  <c r="C305" i="4"/>
  <c r="AC305" i="3"/>
  <c r="AD305" i="3"/>
  <c r="G305" i="4"/>
  <c r="I305" i="4"/>
  <c r="J305" i="4"/>
  <c r="H305" i="4"/>
  <c r="N306" i="3"/>
  <c r="P306" i="3"/>
  <c r="Q306" i="3"/>
  <c r="O306" i="3"/>
  <c r="AI306" i="3"/>
  <c r="L306" i="4"/>
  <c r="V306" i="3"/>
  <c r="K305" i="4"/>
  <c r="M305" i="4"/>
  <c r="W306" i="3"/>
  <c r="X306" i="3"/>
  <c r="Y306" i="3"/>
  <c r="Z306" i="3"/>
  <c r="AA306" i="3"/>
  <c r="AB306" i="3"/>
  <c r="AC306" i="3"/>
  <c r="AD306" i="3"/>
  <c r="C306" i="4"/>
  <c r="M307" i="3"/>
  <c r="G306" i="4"/>
  <c r="I306" i="4"/>
  <c r="J306" i="4"/>
  <c r="H306" i="4"/>
  <c r="N307" i="3"/>
  <c r="O307" i="3"/>
  <c r="AI307" i="3"/>
  <c r="P307" i="3"/>
  <c r="Q307" i="3"/>
  <c r="K306" i="4"/>
  <c r="M306" i="4"/>
  <c r="L307" i="4"/>
  <c r="V307" i="3"/>
  <c r="W307" i="3"/>
  <c r="X307" i="3"/>
  <c r="Y307" i="3"/>
  <c r="Z307" i="3"/>
  <c r="AA307" i="3"/>
  <c r="AB307" i="3"/>
  <c r="AC307" i="3"/>
  <c r="AD307" i="3"/>
  <c r="C307" i="4"/>
  <c r="M308" i="3"/>
  <c r="O308" i="3"/>
  <c r="AI308" i="3"/>
  <c r="N308" i="3"/>
  <c r="P308" i="3"/>
  <c r="Q308" i="3"/>
  <c r="G307" i="4"/>
  <c r="I307" i="4"/>
  <c r="J307" i="4"/>
  <c r="H307" i="4"/>
  <c r="K307" i="4"/>
  <c r="M307" i="4"/>
  <c r="L308" i="4"/>
  <c r="V308" i="3"/>
  <c r="W308" i="3"/>
  <c r="X308" i="3"/>
  <c r="Y308" i="3"/>
  <c r="Z308" i="3"/>
  <c r="AA308" i="3"/>
  <c r="AB308" i="3"/>
  <c r="C308" i="4"/>
  <c r="M309" i="3"/>
  <c r="AC308" i="3"/>
  <c r="AD308" i="3"/>
  <c r="O309" i="3"/>
  <c r="N309" i="3"/>
  <c r="P309" i="3"/>
  <c r="Q309" i="3"/>
  <c r="AI309" i="3"/>
  <c r="G308" i="4"/>
  <c r="I308" i="4"/>
  <c r="J308" i="4"/>
  <c r="H308" i="4"/>
  <c r="M308" i="4"/>
  <c r="K308" i="4"/>
  <c r="L309" i="4"/>
  <c r="V309" i="3"/>
  <c r="W309" i="3"/>
  <c r="X309" i="3"/>
  <c r="Y309" i="3"/>
  <c r="Z309" i="3"/>
  <c r="AA309" i="3"/>
  <c r="AB309" i="3"/>
  <c r="AC309" i="3"/>
  <c r="AD309" i="3"/>
  <c r="C309" i="4"/>
  <c r="M310" i="3"/>
  <c r="O310" i="3"/>
  <c r="N310" i="3"/>
  <c r="P310" i="3"/>
  <c r="Q310" i="3"/>
  <c r="AI310" i="3"/>
  <c r="G309" i="4"/>
  <c r="I309" i="4"/>
  <c r="J309" i="4"/>
  <c r="H309" i="4"/>
  <c r="M309" i="4"/>
  <c r="K309" i="4"/>
  <c r="L310" i="4"/>
  <c r="V310" i="3"/>
  <c r="W310" i="3"/>
  <c r="X310" i="3"/>
  <c r="Y310" i="3"/>
  <c r="Z310" i="3"/>
  <c r="AA310" i="3"/>
  <c r="AB310" i="3"/>
  <c r="AC310" i="3"/>
  <c r="AD310" i="3"/>
  <c r="C310" i="4"/>
  <c r="M311" i="3"/>
  <c r="O311" i="3"/>
  <c r="N311" i="3"/>
  <c r="P311" i="3"/>
  <c r="Q311" i="3"/>
  <c r="AI311" i="3"/>
  <c r="G310" i="4"/>
  <c r="I310" i="4"/>
  <c r="J310" i="4"/>
  <c r="H310" i="4"/>
  <c r="M310" i="4"/>
  <c r="K310" i="4"/>
  <c r="L311" i="4"/>
  <c r="V311" i="3"/>
  <c r="W311" i="3"/>
  <c r="X311" i="3"/>
  <c r="Y311" i="3"/>
  <c r="Z311" i="3"/>
  <c r="AA311" i="3"/>
  <c r="AB311" i="3"/>
  <c r="M312" i="3"/>
  <c r="C311" i="4"/>
  <c r="AC311" i="3"/>
  <c r="AD311" i="3"/>
  <c r="G311" i="4"/>
  <c r="I311" i="4"/>
  <c r="J311" i="4"/>
  <c r="H311" i="4"/>
  <c r="N312" i="3"/>
  <c r="AI312" i="3"/>
  <c r="O312" i="3"/>
  <c r="P312" i="3"/>
  <c r="Q312" i="3"/>
  <c r="M311" i="4"/>
  <c r="K311" i="4"/>
  <c r="L312" i="4"/>
  <c r="V312" i="3"/>
  <c r="W312" i="3"/>
  <c r="X312" i="3"/>
  <c r="Y312" i="3"/>
  <c r="Z312" i="3"/>
  <c r="AA312" i="3"/>
  <c r="AB312" i="3"/>
  <c r="M313" i="3"/>
  <c r="AC312" i="3"/>
  <c r="AD312" i="3"/>
  <c r="C312" i="4"/>
  <c r="G312" i="4"/>
  <c r="I312" i="4"/>
  <c r="J312" i="4"/>
  <c r="H312" i="4"/>
  <c r="O313" i="3"/>
  <c r="N313" i="3"/>
  <c r="P313" i="3"/>
  <c r="Q313" i="3"/>
  <c r="AI313" i="3"/>
  <c r="L313" i="4"/>
  <c r="V313" i="3"/>
  <c r="M312" i="4"/>
  <c r="K312" i="4"/>
  <c r="W313" i="3"/>
  <c r="X313" i="3"/>
  <c r="Y313" i="3"/>
  <c r="Z313" i="3"/>
  <c r="AA313" i="3"/>
  <c r="AB313" i="3"/>
  <c r="C313" i="4"/>
  <c r="AC313" i="3"/>
  <c r="AD313" i="3"/>
  <c r="M314" i="3"/>
  <c r="O314" i="3"/>
  <c r="N314" i="3"/>
  <c r="P314" i="3"/>
  <c r="Q314" i="3"/>
  <c r="AI314" i="3"/>
  <c r="G313" i="4"/>
  <c r="I313" i="4"/>
  <c r="J313" i="4"/>
  <c r="H313" i="4"/>
  <c r="K313" i="4"/>
  <c r="M313" i="4"/>
  <c r="L314" i="4"/>
  <c r="V314" i="3"/>
  <c r="W314" i="3"/>
  <c r="X314" i="3"/>
  <c r="Y314" i="3"/>
  <c r="Z314" i="3"/>
  <c r="AA314" i="3"/>
  <c r="AB314" i="3"/>
  <c r="C314" i="4"/>
  <c r="M315" i="3"/>
  <c r="AC314" i="3"/>
  <c r="AD314" i="3"/>
  <c r="N315" i="3"/>
  <c r="P315" i="3"/>
  <c r="Q315" i="3"/>
  <c r="O315" i="3"/>
  <c r="AI315" i="3"/>
  <c r="G314" i="4"/>
  <c r="I314" i="4"/>
  <c r="J314" i="4"/>
  <c r="H314" i="4"/>
  <c r="M314" i="4"/>
  <c r="K314" i="4"/>
  <c r="L315" i="4"/>
  <c r="V315" i="3"/>
  <c r="W315" i="3"/>
  <c r="X315" i="3"/>
  <c r="Y315" i="3"/>
  <c r="Z315" i="3"/>
  <c r="AA315" i="3"/>
  <c r="AB315" i="3"/>
  <c r="AC315" i="3"/>
  <c r="AD315" i="3"/>
  <c r="C315" i="4"/>
  <c r="M316" i="3"/>
  <c r="O316" i="3"/>
  <c r="AI316" i="3"/>
  <c r="N316" i="3"/>
  <c r="P316" i="3"/>
  <c r="Q316" i="3"/>
  <c r="G315" i="4"/>
  <c r="I315" i="4"/>
  <c r="J315" i="4"/>
  <c r="H315" i="4"/>
  <c r="K315" i="4"/>
  <c r="M315" i="4"/>
  <c r="L316" i="4"/>
  <c r="V316" i="3"/>
  <c r="W316" i="3"/>
  <c r="X316" i="3"/>
  <c r="Y316" i="3"/>
  <c r="Z316" i="3"/>
  <c r="AA316" i="3"/>
  <c r="AB316" i="3"/>
  <c r="M317" i="3"/>
  <c r="AC316" i="3"/>
  <c r="AD316" i="3"/>
  <c r="C316" i="4"/>
  <c r="G316" i="4"/>
  <c r="I316" i="4"/>
  <c r="J316" i="4"/>
  <c r="H316" i="4"/>
  <c r="AI317" i="3"/>
  <c r="O317" i="3"/>
  <c r="N317" i="3"/>
  <c r="P317" i="3"/>
  <c r="Q317" i="3"/>
  <c r="L317" i="4"/>
  <c r="V317" i="3"/>
  <c r="K316" i="4"/>
  <c r="M316" i="4"/>
  <c r="W317" i="3"/>
  <c r="X317" i="3"/>
  <c r="Y317" i="3"/>
  <c r="Z317" i="3"/>
  <c r="AA317" i="3"/>
  <c r="AB317" i="3"/>
  <c r="C317" i="4"/>
  <c r="M318" i="3"/>
  <c r="AC317" i="3"/>
  <c r="AD317" i="3"/>
  <c r="N318" i="3"/>
  <c r="O318" i="3"/>
  <c r="AI318" i="3"/>
  <c r="G317" i="4"/>
  <c r="I317" i="4"/>
  <c r="J317" i="4"/>
  <c r="H317" i="4"/>
  <c r="M317" i="4"/>
  <c r="K317" i="4"/>
  <c r="P318" i="3"/>
  <c r="Q318" i="3"/>
  <c r="L318" i="4"/>
  <c r="V318" i="3"/>
  <c r="W318" i="3"/>
  <c r="X318" i="3"/>
  <c r="Y318" i="3"/>
  <c r="Z318" i="3"/>
  <c r="AA318" i="3"/>
  <c r="AB318" i="3"/>
  <c r="C318" i="4"/>
  <c r="M319" i="3"/>
  <c r="AC318" i="3"/>
  <c r="AD318" i="3"/>
  <c r="AI319" i="3"/>
  <c r="N319" i="3"/>
  <c r="P319" i="3"/>
  <c r="Q319" i="3"/>
  <c r="O319" i="3"/>
  <c r="G318" i="4"/>
  <c r="I318" i="4"/>
  <c r="J318" i="4"/>
  <c r="H318" i="4"/>
  <c r="L319" i="4"/>
  <c r="V319" i="3"/>
  <c r="M318" i="4"/>
  <c r="K318" i="4"/>
  <c r="W319" i="3"/>
  <c r="X319" i="3"/>
  <c r="Y319" i="3"/>
  <c r="Z319" i="3"/>
  <c r="AA319" i="3"/>
  <c r="AB319" i="3"/>
  <c r="M320" i="3"/>
  <c r="C319" i="4"/>
  <c r="AC319" i="3"/>
  <c r="AD319" i="3"/>
  <c r="G319" i="4"/>
  <c r="I319" i="4"/>
  <c r="J319" i="4"/>
  <c r="H319" i="4"/>
  <c r="O320" i="3"/>
  <c r="N320" i="3"/>
  <c r="P320" i="3"/>
  <c r="Q320" i="3"/>
  <c r="AI320" i="3"/>
  <c r="L320" i="4"/>
  <c r="V320" i="3"/>
  <c r="K319" i="4"/>
  <c r="M319" i="4"/>
  <c r="W320" i="3"/>
  <c r="X320" i="3"/>
  <c r="Y320" i="3"/>
  <c r="Z320" i="3"/>
  <c r="AA320" i="3"/>
  <c r="AB320" i="3"/>
  <c r="M321" i="3"/>
  <c r="C320" i="4"/>
  <c r="AC320" i="3"/>
  <c r="AD320" i="3"/>
  <c r="G320" i="4"/>
  <c r="I320" i="4"/>
  <c r="J320" i="4"/>
  <c r="H320" i="4"/>
  <c r="N321" i="3"/>
  <c r="AI321" i="3"/>
  <c r="O321" i="3"/>
  <c r="P321" i="3"/>
  <c r="Q321" i="3"/>
  <c r="M320" i="4"/>
  <c r="K320" i="4"/>
  <c r="L321" i="4"/>
  <c r="V321" i="3"/>
  <c r="W321" i="3"/>
  <c r="X321" i="3"/>
  <c r="Y321" i="3"/>
  <c r="Z321" i="3"/>
  <c r="AA321" i="3"/>
  <c r="AB321" i="3"/>
  <c r="M322" i="3"/>
  <c r="C321" i="4"/>
  <c r="AC321" i="3"/>
  <c r="AD321" i="3"/>
  <c r="G321" i="4"/>
  <c r="I321" i="4"/>
  <c r="J321" i="4"/>
  <c r="H321" i="4"/>
  <c r="N322" i="3"/>
  <c r="AI322" i="3"/>
  <c r="O322" i="3"/>
  <c r="P322" i="3"/>
  <c r="Q322" i="3"/>
  <c r="K321" i="4"/>
  <c r="M321" i="4"/>
  <c r="L322" i="4"/>
  <c r="C32" i="5"/>
  <c r="N32" i="5"/>
  <c r="V322" i="3"/>
  <c r="W322" i="3"/>
  <c r="X322" i="3"/>
  <c r="Y322" i="3"/>
  <c r="Z322" i="3"/>
  <c r="AA322" i="3"/>
  <c r="AB322" i="3"/>
  <c r="M323" i="3"/>
  <c r="C322" i="4"/>
  <c r="AC322" i="3"/>
  <c r="AD322" i="3"/>
  <c r="G322" i="4"/>
  <c r="I322" i="4"/>
  <c r="J322" i="4"/>
  <c r="H322" i="4"/>
  <c r="O323" i="3"/>
  <c r="AI323" i="3"/>
  <c r="N323" i="3"/>
  <c r="P323" i="3"/>
  <c r="Q323" i="3"/>
  <c r="L323" i="4"/>
  <c r="V323" i="3"/>
  <c r="D32" i="5"/>
  <c r="M322" i="4"/>
  <c r="K322" i="4"/>
  <c r="E32" i="5"/>
  <c r="W323" i="3"/>
  <c r="X323" i="3"/>
  <c r="Y323" i="3"/>
  <c r="Z323" i="3"/>
  <c r="AA323" i="3"/>
  <c r="AB323" i="3"/>
  <c r="AC323" i="3"/>
  <c r="AD323" i="3"/>
  <c r="M324" i="3"/>
  <c r="C323" i="4"/>
  <c r="G323" i="4"/>
  <c r="I323" i="4"/>
  <c r="J323" i="4"/>
  <c r="H323" i="4"/>
  <c r="O324" i="3"/>
  <c r="AI324" i="3"/>
  <c r="N324" i="3"/>
  <c r="P324" i="3"/>
  <c r="Q324" i="3"/>
  <c r="L324" i="4"/>
  <c r="V324" i="3"/>
  <c r="M323" i="4"/>
  <c r="K323" i="4"/>
  <c r="W324" i="3"/>
  <c r="X324" i="3"/>
  <c r="Y324" i="3"/>
  <c r="Z324" i="3"/>
  <c r="AA324" i="3"/>
  <c r="AB324" i="3"/>
  <c r="C324" i="4"/>
  <c r="AC324" i="3"/>
  <c r="AD324" i="3"/>
  <c r="M325" i="3"/>
  <c r="AI325" i="3"/>
  <c r="N325" i="3"/>
  <c r="P325" i="3"/>
  <c r="Q325" i="3"/>
  <c r="O325" i="3"/>
  <c r="G324" i="4"/>
  <c r="I324" i="4"/>
  <c r="J324" i="4"/>
  <c r="H324" i="4"/>
  <c r="K324" i="4"/>
  <c r="M324" i="4"/>
  <c r="L325" i="4"/>
  <c r="V325" i="3"/>
  <c r="W325" i="3"/>
  <c r="X325" i="3"/>
  <c r="Y325" i="3"/>
  <c r="Z325" i="3"/>
  <c r="AA325" i="3"/>
  <c r="AB325" i="3"/>
  <c r="AC325" i="3"/>
  <c r="AD325" i="3"/>
  <c r="C325" i="4"/>
  <c r="M326" i="3"/>
  <c r="N326" i="3"/>
  <c r="O326" i="3"/>
  <c r="AI326" i="3"/>
  <c r="G325" i="4"/>
  <c r="I325" i="4"/>
  <c r="J325" i="4"/>
  <c r="H325" i="4"/>
  <c r="M325" i="4"/>
  <c r="K325" i="4"/>
  <c r="P326" i="3"/>
  <c r="Q326" i="3"/>
  <c r="L326" i="4"/>
  <c r="V326" i="3"/>
  <c r="W326" i="3"/>
  <c r="X326" i="3"/>
  <c r="Y326" i="3"/>
  <c r="Z326" i="3"/>
  <c r="AA326" i="3"/>
  <c r="AB326" i="3"/>
  <c r="M327" i="3"/>
  <c r="C326" i="4"/>
  <c r="AC326" i="3"/>
  <c r="AD326" i="3"/>
  <c r="G326" i="4"/>
  <c r="I326" i="4"/>
  <c r="J326" i="4"/>
  <c r="H326" i="4"/>
  <c r="AI327" i="3"/>
  <c r="O327" i="3"/>
  <c r="N327" i="3"/>
  <c r="P327" i="3"/>
  <c r="Q327" i="3"/>
  <c r="M326" i="4"/>
  <c r="K326" i="4"/>
  <c r="L327" i="4"/>
  <c r="V327" i="3"/>
  <c r="W327" i="3"/>
  <c r="X327" i="3"/>
  <c r="Y327" i="3"/>
  <c r="Z327" i="3"/>
  <c r="AA327" i="3"/>
  <c r="AB327" i="3"/>
  <c r="M328" i="3"/>
  <c r="C327" i="4"/>
  <c r="AC327" i="3"/>
  <c r="AD327" i="3"/>
  <c r="G327" i="4"/>
  <c r="I327" i="4"/>
  <c r="J327" i="4"/>
  <c r="H327" i="4"/>
  <c r="N328" i="3"/>
  <c r="P328" i="3"/>
  <c r="Q328" i="3"/>
  <c r="O328" i="3"/>
  <c r="AI328" i="3"/>
  <c r="L328" i="4"/>
  <c r="V328" i="3"/>
  <c r="K327" i="4"/>
  <c r="M327" i="4"/>
  <c r="W328" i="3"/>
  <c r="X328" i="3"/>
  <c r="Y328" i="3"/>
  <c r="Z328" i="3"/>
  <c r="AA328" i="3"/>
  <c r="AB328" i="3"/>
  <c r="C328" i="4"/>
  <c r="M329" i="3"/>
  <c r="AC328" i="3"/>
  <c r="AD328" i="3"/>
  <c r="N329" i="3"/>
  <c r="AI329" i="3"/>
  <c r="O329" i="3"/>
  <c r="G328" i="4"/>
  <c r="I328" i="4"/>
  <c r="J328" i="4"/>
  <c r="H328" i="4"/>
  <c r="K328" i="4"/>
  <c r="M328" i="4"/>
  <c r="P329" i="3"/>
  <c r="Q329" i="3"/>
  <c r="L329" i="4"/>
  <c r="V329" i="3"/>
  <c r="W329" i="3"/>
  <c r="X329" i="3"/>
  <c r="Y329" i="3"/>
  <c r="Z329" i="3"/>
  <c r="AA329" i="3"/>
  <c r="AB329" i="3"/>
  <c r="M330" i="3"/>
  <c r="AC329" i="3"/>
  <c r="AD329" i="3"/>
  <c r="C329" i="4"/>
  <c r="G329" i="4"/>
  <c r="I329" i="4"/>
  <c r="J329" i="4"/>
  <c r="H329" i="4"/>
  <c r="N330" i="3"/>
  <c r="O330" i="3"/>
  <c r="AI330" i="3"/>
  <c r="P330" i="3"/>
  <c r="Q330" i="3"/>
  <c r="M329" i="4"/>
  <c r="K329" i="4"/>
  <c r="L330" i="4"/>
  <c r="V330" i="3"/>
  <c r="W330" i="3"/>
  <c r="X330" i="3"/>
  <c r="Y330" i="3"/>
  <c r="Z330" i="3"/>
  <c r="AA330" i="3"/>
  <c r="AB330" i="3"/>
  <c r="M331" i="3"/>
  <c r="AC330" i="3"/>
  <c r="AD330" i="3"/>
  <c r="C330" i="4"/>
  <c r="G330" i="4"/>
  <c r="I330" i="4"/>
  <c r="J330" i="4"/>
  <c r="H330" i="4"/>
  <c r="AI331" i="3"/>
  <c r="N331" i="3"/>
  <c r="O331" i="3"/>
  <c r="P331" i="3"/>
  <c r="Q331" i="3"/>
  <c r="K330" i="4"/>
  <c r="M330" i="4"/>
  <c r="L331" i="4"/>
  <c r="V331" i="3"/>
  <c r="W331" i="3"/>
  <c r="X331" i="3"/>
  <c r="Y331" i="3"/>
  <c r="Z331" i="3"/>
  <c r="AA331" i="3"/>
  <c r="AB331" i="3"/>
  <c r="AC331" i="3"/>
  <c r="AD331" i="3"/>
  <c r="C331" i="4"/>
  <c r="M332" i="3"/>
  <c r="AI332" i="3"/>
  <c r="N332" i="3"/>
  <c r="O332" i="3"/>
  <c r="G331" i="4"/>
  <c r="I331" i="4"/>
  <c r="J331" i="4"/>
  <c r="H331" i="4"/>
  <c r="M331" i="4"/>
  <c r="K331" i="4"/>
  <c r="P332" i="3"/>
  <c r="Q332" i="3"/>
  <c r="L332" i="4"/>
  <c r="V332" i="3"/>
  <c r="W332" i="3"/>
  <c r="X332" i="3"/>
  <c r="Y332" i="3"/>
  <c r="Z332" i="3"/>
  <c r="AA332" i="3"/>
  <c r="AB332" i="3"/>
  <c r="C332" i="4"/>
  <c r="AC332" i="3"/>
  <c r="AD332" i="3"/>
  <c r="M333" i="3"/>
  <c r="O333" i="3"/>
  <c r="AI333" i="3"/>
  <c r="N333" i="3"/>
  <c r="P333" i="3"/>
  <c r="Q333" i="3"/>
  <c r="G332" i="4"/>
  <c r="I332" i="4"/>
  <c r="J332" i="4"/>
  <c r="H332" i="4"/>
  <c r="L333" i="4"/>
  <c r="V333" i="3"/>
  <c r="K332" i="4"/>
  <c r="M332" i="4"/>
  <c r="W333" i="3"/>
  <c r="X333" i="3"/>
  <c r="Y333" i="3"/>
  <c r="Z333" i="3"/>
  <c r="AA333" i="3"/>
  <c r="AB333" i="3"/>
  <c r="AC333" i="3"/>
  <c r="AD333" i="3"/>
  <c r="M334" i="3"/>
  <c r="C333" i="4"/>
  <c r="G333" i="4"/>
  <c r="I333" i="4"/>
  <c r="J333" i="4"/>
  <c r="H333" i="4"/>
  <c r="AI334" i="3"/>
  <c r="N334" i="3"/>
  <c r="P334" i="3"/>
  <c r="Q334" i="3"/>
  <c r="O334" i="3"/>
  <c r="L334" i="4"/>
  <c r="V334" i="3"/>
  <c r="M333" i="4"/>
  <c r="K333" i="4"/>
  <c r="W334" i="3"/>
  <c r="X334" i="3"/>
  <c r="Y334" i="3"/>
  <c r="Z334" i="3"/>
  <c r="AA334" i="3"/>
  <c r="AB334" i="3"/>
  <c r="C334" i="4"/>
  <c r="AC334" i="3"/>
  <c r="AD334" i="3"/>
  <c r="M335" i="3"/>
  <c r="N335" i="3"/>
  <c r="O335" i="3"/>
  <c r="AI335" i="3"/>
  <c r="G334" i="4"/>
  <c r="I334" i="4"/>
  <c r="J334" i="4"/>
  <c r="H334" i="4"/>
  <c r="K334" i="4"/>
  <c r="M334" i="4"/>
  <c r="P335" i="3"/>
  <c r="Q335" i="3"/>
  <c r="L335" i="4"/>
  <c r="V335" i="3"/>
  <c r="W335" i="3"/>
  <c r="X335" i="3"/>
  <c r="Y335" i="3"/>
  <c r="Z335" i="3"/>
  <c r="AA335" i="3"/>
  <c r="AB335" i="3"/>
  <c r="C335" i="4"/>
  <c r="AC335" i="3"/>
  <c r="AD335" i="3"/>
  <c r="M336" i="3"/>
  <c r="O336" i="3"/>
  <c r="N336" i="3"/>
  <c r="P336" i="3"/>
  <c r="Q336" i="3"/>
  <c r="AI336" i="3"/>
  <c r="G335" i="4"/>
  <c r="I335" i="4"/>
  <c r="J335" i="4"/>
  <c r="H335" i="4"/>
  <c r="M335" i="4"/>
  <c r="K335" i="4"/>
  <c r="L336" i="4"/>
  <c r="V336" i="3"/>
  <c r="W336" i="3"/>
  <c r="X336" i="3"/>
  <c r="Y336" i="3"/>
  <c r="Z336" i="3"/>
  <c r="AA336" i="3"/>
  <c r="AB336" i="3"/>
  <c r="M337" i="3"/>
  <c r="C336" i="4"/>
  <c r="AC336" i="3"/>
  <c r="AD336" i="3"/>
  <c r="G336" i="4"/>
  <c r="I336" i="4"/>
  <c r="J336" i="4"/>
  <c r="H336" i="4"/>
  <c r="O337" i="3"/>
  <c r="AI337" i="3"/>
  <c r="N337" i="3"/>
  <c r="P337" i="3"/>
  <c r="Q337" i="3"/>
  <c r="L337" i="4"/>
  <c r="V337" i="3"/>
  <c r="K336" i="4"/>
  <c r="M336" i="4"/>
  <c r="W337" i="3"/>
  <c r="X337" i="3"/>
  <c r="Y337" i="3"/>
  <c r="Z337" i="3"/>
  <c r="AA337" i="3"/>
  <c r="AB337" i="3"/>
  <c r="C337" i="4"/>
  <c r="M338" i="3"/>
  <c r="AC337" i="3"/>
  <c r="AD337" i="3"/>
  <c r="O338" i="3"/>
  <c r="N338" i="3"/>
  <c r="P338" i="3"/>
  <c r="Q338" i="3"/>
  <c r="AI338" i="3"/>
  <c r="G337" i="4"/>
  <c r="I337" i="4"/>
  <c r="J337" i="4"/>
  <c r="H337" i="4"/>
  <c r="L338" i="4"/>
  <c r="V338" i="3"/>
  <c r="K337" i="4"/>
  <c r="M337" i="4"/>
  <c r="W338" i="3"/>
  <c r="X338" i="3"/>
  <c r="Y338" i="3"/>
  <c r="Z338" i="3"/>
  <c r="AA338" i="3"/>
  <c r="AB338" i="3"/>
  <c r="AC338" i="3"/>
  <c r="AD338" i="3"/>
  <c r="M339" i="3"/>
  <c r="C338" i="4"/>
  <c r="G338" i="4"/>
  <c r="I338" i="4"/>
  <c r="J338" i="4"/>
  <c r="H338" i="4"/>
  <c r="N339" i="3"/>
  <c r="AI339" i="3"/>
  <c r="O339" i="3"/>
  <c r="P339" i="3"/>
  <c r="Q339" i="3"/>
  <c r="K338" i="4"/>
  <c r="M338" i="4"/>
  <c r="L339" i="4"/>
  <c r="V339" i="3"/>
  <c r="W339" i="3"/>
  <c r="X339" i="3"/>
  <c r="Y339" i="3"/>
  <c r="Z339" i="3"/>
  <c r="AA339" i="3"/>
  <c r="AB339" i="3"/>
  <c r="AC339" i="3"/>
  <c r="AD339" i="3"/>
  <c r="C339" i="4"/>
  <c r="M340" i="3"/>
  <c r="O340" i="3"/>
  <c r="N340" i="3"/>
  <c r="P340" i="3"/>
  <c r="Q340" i="3"/>
  <c r="AI340" i="3"/>
  <c r="G339" i="4"/>
  <c r="I339" i="4"/>
  <c r="J339" i="4"/>
  <c r="H339" i="4"/>
  <c r="K339" i="4"/>
  <c r="M339" i="4"/>
  <c r="L340" i="4"/>
  <c r="V340" i="3"/>
  <c r="W340" i="3"/>
  <c r="X340" i="3"/>
  <c r="Y340" i="3"/>
  <c r="Z340" i="3"/>
  <c r="AA340" i="3"/>
  <c r="AB340" i="3"/>
  <c r="AC340" i="3"/>
  <c r="AD340" i="3"/>
  <c r="M341" i="3"/>
  <c r="C340" i="4"/>
  <c r="G340" i="4"/>
  <c r="I340" i="4"/>
  <c r="J340" i="4"/>
  <c r="H340" i="4"/>
  <c r="N341" i="3"/>
  <c r="P341" i="3"/>
  <c r="Q341" i="3"/>
  <c r="AI341" i="3"/>
  <c r="O341" i="3"/>
  <c r="L341" i="4"/>
  <c r="V341" i="3"/>
  <c r="K340" i="4"/>
  <c r="M340" i="4"/>
  <c r="W341" i="3"/>
  <c r="X341" i="3"/>
  <c r="Y341" i="3"/>
  <c r="Z341" i="3"/>
  <c r="AA341" i="3"/>
  <c r="AB341" i="3"/>
  <c r="AC341" i="3"/>
  <c r="AD341" i="3"/>
  <c r="C341" i="4"/>
  <c r="M342" i="3"/>
  <c r="O342" i="3"/>
  <c r="N342" i="3"/>
  <c r="P342" i="3"/>
  <c r="Q342" i="3"/>
  <c r="AI342" i="3"/>
  <c r="G341" i="4"/>
  <c r="I341" i="4"/>
  <c r="J341" i="4"/>
  <c r="H341" i="4"/>
  <c r="L342" i="4"/>
  <c r="V342" i="3"/>
  <c r="K341" i="4"/>
  <c r="M341" i="4"/>
  <c r="W342" i="3"/>
  <c r="X342" i="3"/>
  <c r="Y342" i="3"/>
  <c r="Z342" i="3"/>
  <c r="AA342" i="3"/>
  <c r="AB342" i="3"/>
  <c r="C342" i="4"/>
  <c r="M343" i="3"/>
  <c r="AC342" i="3"/>
  <c r="AD342" i="3"/>
  <c r="O343" i="3"/>
  <c r="AI343" i="3"/>
  <c r="N343" i="3"/>
  <c r="P343" i="3"/>
  <c r="Q343" i="3"/>
  <c r="G342" i="4"/>
  <c r="I342" i="4"/>
  <c r="J342" i="4"/>
  <c r="H342" i="4"/>
  <c r="L343" i="4"/>
  <c r="V343" i="3"/>
  <c r="K342" i="4"/>
  <c r="M342" i="4"/>
  <c r="W343" i="3"/>
  <c r="X343" i="3"/>
  <c r="Y343" i="3"/>
  <c r="Z343" i="3"/>
  <c r="AA343" i="3"/>
  <c r="AB343" i="3"/>
  <c r="C343" i="4"/>
  <c r="AC343" i="3"/>
  <c r="AD343" i="3"/>
  <c r="M344" i="3"/>
  <c r="O344" i="3"/>
  <c r="AI344" i="3"/>
  <c r="N344" i="3"/>
  <c r="P344" i="3"/>
  <c r="Q344" i="3"/>
  <c r="G343" i="4"/>
  <c r="I343" i="4"/>
  <c r="J343" i="4"/>
  <c r="H343" i="4"/>
  <c r="K343" i="4"/>
  <c r="M343" i="4"/>
  <c r="L344" i="4"/>
  <c r="V344" i="3"/>
  <c r="W344" i="3"/>
  <c r="X344" i="3"/>
  <c r="Y344" i="3"/>
  <c r="Z344" i="3"/>
  <c r="AA344" i="3"/>
  <c r="AB344" i="3"/>
  <c r="M345" i="3"/>
  <c r="C344" i="4"/>
  <c r="AC344" i="3"/>
  <c r="AD344" i="3"/>
  <c r="G344" i="4"/>
  <c r="I344" i="4"/>
  <c r="J344" i="4"/>
  <c r="H344" i="4"/>
  <c r="AI345" i="3"/>
  <c r="O345" i="3"/>
  <c r="N345" i="3"/>
  <c r="P345" i="3"/>
  <c r="Q345" i="3"/>
  <c r="M344" i="4"/>
  <c r="K344" i="4"/>
  <c r="L345" i="4"/>
  <c r="V345" i="3"/>
  <c r="W345" i="3"/>
  <c r="X345" i="3"/>
  <c r="Y345" i="3"/>
  <c r="Z345" i="3"/>
  <c r="AA345" i="3"/>
  <c r="AB345" i="3"/>
  <c r="C345" i="4"/>
  <c r="M346" i="3"/>
  <c r="AC345" i="3"/>
  <c r="AD345" i="3"/>
  <c r="O346" i="3"/>
  <c r="N346" i="3"/>
  <c r="P346" i="3"/>
  <c r="Q346" i="3"/>
  <c r="AI346" i="3"/>
  <c r="G345" i="4"/>
  <c r="I345" i="4"/>
  <c r="J345" i="4"/>
  <c r="H345" i="4"/>
  <c r="L346" i="4"/>
  <c r="V346" i="3"/>
  <c r="M345" i="4"/>
  <c r="K345" i="4"/>
  <c r="W346" i="3"/>
  <c r="X346" i="3"/>
  <c r="Y346" i="3"/>
  <c r="Z346" i="3"/>
  <c r="AA346" i="3"/>
  <c r="AB346" i="3"/>
  <c r="C346" i="4"/>
  <c r="M347" i="3"/>
  <c r="AC346" i="3"/>
  <c r="AD346" i="3"/>
  <c r="O347" i="3"/>
  <c r="N347" i="3"/>
  <c r="P347" i="3"/>
  <c r="Q347" i="3"/>
  <c r="AI347" i="3"/>
  <c r="G346" i="4"/>
  <c r="I346" i="4"/>
  <c r="J346" i="4"/>
  <c r="H346" i="4"/>
  <c r="K346" i="4"/>
  <c r="M346" i="4"/>
  <c r="L347" i="4"/>
  <c r="V347" i="3"/>
  <c r="W347" i="3"/>
  <c r="X347" i="3"/>
  <c r="Y347" i="3"/>
  <c r="Z347" i="3"/>
  <c r="AA347" i="3"/>
  <c r="AB347" i="3"/>
  <c r="AC347" i="3"/>
  <c r="AD347" i="3"/>
  <c r="M348" i="3"/>
  <c r="C347" i="4"/>
  <c r="G347" i="4"/>
  <c r="I347" i="4"/>
  <c r="J347" i="4"/>
  <c r="H347" i="4"/>
  <c r="O348" i="3"/>
  <c r="N348" i="3"/>
  <c r="AI348" i="3"/>
  <c r="P348" i="3"/>
  <c r="Q348" i="3"/>
  <c r="M347" i="4"/>
  <c r="K347" i="4"/>
  <c r="L348" i="4"/>
  <c r="V348" i="3"/>
  <c r="W348" i="3"/>
  <c r="X348" i="3"/>
  <c r="Y348" i="3"/>
  <c r="Z348" i="3"/>
  <c r="AA348" i="3"/>
  <c r="AB348" i="3"/>
  <c r="C348" i="4"/>
  <c r="M349" i="3"/>
  <c r="AC348" i="3"/>
  <c r="AD348" i="3"/>
  <c r="N349" i="3"/>
  <c r="AI349" i="3"/>
  <c r="O349" i="3"/>
  <c r="G348" i="4"/>
  <c r="I348" i="4"/>
  <c r="J348" i="4"/>
  <c r="H348" i="4"/>
  <c r="M348" i="4"/>
  <c r="K348" i="4"/>
  <c r="P349" i="3"/>
  <c r="Q349" i="3"/>
  <c r="L349" i="4"/>
  <c r="V349" i="3"/>
  <c r="W349" i="3"/>
  <c r="X349" i="3"/>
  <c r="Y349" i="3"/>
  <c r="Z349" i="3"/>
  <c r="AA349" i="3"/>
  <c r="AB349" i="3"/>
  <c r="C349" i="4"/>
  <c r="AC349" i="3"/>
  <c r="AD349" i="3"/>
  <c r="M350" i="3"/>
  <c r="N350" i="3"/>
  <c r="O350" i="3"/>
  <c r="AI350" i="3"/>
  <c r="G349" i="4"/>
  <c r="I349" i="4"/>
  <c r="J349" i="4"/>
  <c r="H349" i="4"/>
  <c r="M349" i="4"/>
  <c r="K349" i="4"/>
  <c r="P350" i="3"/>
  <c r="Q350" i="3"/>
  <c r="L350" i="4"/>
  <c r="V350" i="3"/>
  <c r="W350" i="3"/>
  <c r="X350" i="3"/>
  <c r="Y350" i="3"/>
  <c r="Z350" i="3"/>
  <c r="AA350" i="3"/>
  <c r="AB350" i="3"/>
  <c r="M351" i="3"/>
  <c r="C350" i="4"/>
  <c r="AC350" i="3"/>
  <c r="AD350" i="3"/>
  <c r="G350" i="4"/>
  <c r="I350" i="4"/>
  <c r="J350" i="4"/>
  <c r="H350" i="4"/>
  <c r="O351" i="3"/>
  <c r="N351" i="3"/>
  <c r="AI351" i="3"/>
  <c r="P351" i="3"/>
  <c r="Q351" i="3"/>
  <c r="K350" i="4"/>
  <c r="M350" i="4"/>
  <c r="L351" i="4"/>
  <c r="V351" i="3"/>
  <c r="W351" i="3"/>
  <c r="X351" i="3"/>
  <c r="Y351" i="3"/>
  <c r="Z351" i="3"/>
  <c r="AA351" i="3"/>
  <c r="AB351" i="3"/>
  <c r="C351" i="4"/>
  <c r="M352" i="3"/>
  <c r="AC351" i="3"/>
  <c r="AD351" i="3"/>
  <c r="AI352" i="3"/>
  <c r="O352" i="3"/>
  <c r="N352" i="3"/>
  <c r="G351" i="4"/>
  <c r="I351" i="4"/>
  <c r="J351" i="4"/>
  <c r="H351" i="4"/>
  <c r="M351" i="4"/>
  <c r="K351" i="4"/>
  <c r="P352" i="3"/>
  <c r="Q352" i="3"/>
  <c r="L352" i="4"/>
  <c r="V352" i="3"/>
  <c r="W352" i="3"/>
  <c r="X352" i="3"/>
  <c r="Y352" i="3"/>
  <c r="Z352" i="3"/>
  <c r="AA352" i="3"/>
  <c r="AB352" i="3"/>
  <c r="M353" i="3"/>
  <c r="C352" i="4"/>
  <c r="AC352" i="3"/>
  <c r="AD352" i="3"/>
  <c r="G352" i="4"/>
  <c r="I352" i="4"/>
  <c r="J352" i="4"/>
  <c r="H352" i="4"/>
  <c r="AI353" i="3"/>
  <c r="O353" i="3"/>
  <c r="N353" i="3"/>
  <c r="P353" i="3"/>
  <c r="Q353" i="3"/>
  <c r="K352" i="4"/>
  <c r="M352" i="4"/>
  <c r="L353" i="4"/>
  <c r="V353" i="3"/>
  <c r="W353" i="3"/>
  <c r="X353" i="3"/>
  <c r="Y353" i="3"/>
  <c r="Z353" i="3"/>
  <c r="AA353" i="3"/>
  <c r="AB353" i="3"/>
  <c r="C353" i="4"/>
  <c r="AC353" i="3"/>
  <c r="AD353" i="3"/>
  <c r="M354" i="3"/>
  <c r="N354" i="3"/>
  <c r="AI354" i="3"/>
  <c r="O354" i="3"/>
  <c r="G353" i="4"/>
  <c r="I353" i="4"/>
  <c r="J353" i="4"/>
  <c r="H353" i="4"/>
  <c r="K353" i="4"/>
  <c r="M353" i="4"/>
  <c r="P354" i="3"/>
  <c r="Q354" i="3"/>
  <c r="L354" i="4"/>
  <c r="V354" i="3"/>
  <c r="W354" i="3"/>
  <c r="X354" i="3"/>
  <c r="Y354" i="3"/>
  <c r="Z354" i="3"/>
  <c r="AA354" i="3"/>
  <c r="AB354" i="3"/>
  <c r="AC354" i="3"/>
  <c r="AD354" i="3"/>
  <c r="C354" i="4"/>
  <c r="M355" i="3"/>
  <c r="O355" i="3"/>
  <c r="AI355" i="3"/>
  <c r="N355" i="3"/>
  <c r="P355" i="3"/>
  <c r="Q355" i="3"/>
  <c r="G354" i="4"/>
  <c r="I354" i="4"/>
  <c r="J354" i="4"/>
  <c r="H354" i="4"/>
  <c r="L355" i="4"/>
  <c r="V355" i="3"/>
  <c r="M354" i="4"/>
  <c r="K354" i="4"/>
  <c r="W355" i="3"/>
  <c r="X355" i="3"/>
  <c r="Y355" i="3"/>
  <c r="Z355" i="3"/>
  <c r="AA355" i="3"/>
  <c r="AB355" i="3"/>
  <c r="C355" i="4"/>
  <c r="M356" i="3"/>
  <c r="AC355" i="3"/>
  <c r="AD355" i="3"/>
  <c r="N356" i="3"/>
  <c r="AI356" i="3"/>
  <c r="O356" i="3"/>
  <c r="G355" i="4"/>
  <c r="I355" i="4"/>
  <c r="J355" i="4"/>
  <c r="H355" i="4"/>
  <c r="K355" i="4"/>
  <c r="M355" i="4"/>
  <c r="P356" i="3"/>
  <c r="Q356" i="3"/>
  <c r="L356" i="4"/>
  <c r="V356" i="3"/>
  <c r="W356" i="3"/>
  <c r="X356" i="3"/>
  <c r="Y356" i="3"/>
  <c r="Z356" i="3"/>
  <c r="AA356" i="3"/>
  <c r="AB356" i="3"/>
  <c r="M357" i="3"/>
  <c r="AC356" i="3"/>
  <c r="AD356" i="3"/>
  <c r="C356" i="4"/>
  <c r="G356" i="4"/>
  <c r="I356" i="4"/>
  <c r="J356" i="4"/>
  <c r="H356" i="4"/>
  <c r="AI357" i="3"/>
  <c r="N357" i="3"/>
  <c r="O357" i="3"/>
  <c r="P357" i="3"/>
  <c r="Q357" i="3"/>
  <c r="M356" i="4"/>
  <c r="K356" i="4"/>
  <c r="L357" i="4"/>
  <c r="V357" i="3"/>
  <c r="W357" i="3"/>
  <c r="X357" i="3"/>
  <c r="Y357" i="3"/>
  <c r="Z357" i="3"/>
  <c r="AA357" i="3"/>
  <c r="AB357" i="3"/>
  <c r="AC357" i="3"/>
  <c r="AD357" i="3"/>
  <c r="M358" i="3"/>
  <c r="C357" i="4"/>
  <c r="O358" i="3"/>
  <c r="AI358" i="3"/>
  <c r="N358" i="3"/>
  <c r="P358" i="3"/>
  <c r="Q358" i="3"/>
  <c r="G357" i="4"/>
  <c r="I357" i="4"/>
  <c r="J357" i="4"/>
  <c r="H357" i="4"/>
  <c r="L358" i="4"/>
  <c r="V358" i="3"/>
  <c r="K357" i="4"/>
  <c r="M357" i="4"/>
  <c r="W358" i="3"/>
  <c r="X358" i="3"/>
  <c r="Y358" i="3"/>
  <c r="Z358" i="3"/>
  <c r="AA358" i="3"/>
  <c r="AB358" i="3"/>
  <c r="C358" i="4"/>
  <c r="AC358" i="3"/>
  <c r="AD358" i="3"/>
  <c r="M359" i="3"/>
  <c r="N359" i="3"/>
  <c r="AI359" i="3"/>
  <c r="O359" i="3"/>
  <c r="G358" i="4"/>
  <c r="I358" i="4"/>
  <c r="J358" i="4"/>
  <c r="H358" i="4"/>
  <c r="M358" i="4"/>
  <c r="K358" i="4"/>
  <c r="P359" i="3"/>
  <c r="Q359" i="3"/>
  <c r="L359" i="4"/>
  <c r="V359" i="3"/>
  <c r="W359" i="3"/>
  <c r="X359" i="3"/>
  <c r="Y359" i="3"/>
  <c r="Z359" i="3"/>
  <c r="AA359" i="3"/>
  <c r="AB359" i="3"/>
  <c r="M360" i="3"/>
  <c r="AC359" i="3"/>
  <c r="AD359" i="3"/>
  <c r="C359" i="4"/>
  <c r="G359" i="4"/>
  <c r="I359" i="4"/>
  <c r="J359" i="4"/>
  <c r="H359" i="4"/>
  <c r="AI360" i="3"/>
  <c r="O360" i="3"/>
  <c r="N360" i="3"/>
  <c r="P360" i="3"/>
  <c r="Q360" i="3"/>
  <c r="M359" i="4"/>
  <c r="K359" i="4"/>
  <c r="L360" i="4"/>
  <c r="V360" i="3"/>
  <c r="W360" i="3"/>
  <c r="X360" i="3"/>
  <c r="Y360" i="3"/>
  <c r="Z360" i="3"/>
  <c r="AA360" i="3"/>
  <c r="AB360" i="3"/>
  <c r="AC360" i="3"/>
  <c r="AD360" i="3"/>
  <c r="C360" i="4"/>
  <c r="M361" i="3"/>
  <c r="AI361" i="3"/>
  <c r="O361" i="3"/>
  <c r="N361" i="3"/>
  <c r="P361" i="3"/>
  <c r="Q361" i="3"/>
  <c r="G360" i="4"/>
  <c r="I360" i="4"/>
  <c r="J360" i="4"/>
  <c r="H360" i="4"/>
  <c r="L361" i="4"/>
  <c r="V361" i="3"/>
  <c r="M360" i="4"/>
  <c r="K360" i="4"/>
  <c r="W361" i="3"/>
  <c r="X361" i="3"/>
  <c r="Y361" i="3"/>
  <c r="Z361" i="3"/>
  <c r="AA361" i="3"/>
  <c r="AB361" i="3"/>
  <c r="AC361" i="3"/>
  <c r="AD361" i="3"/>
  <c r="C361" i="4"/>
  <c r="M362" i="3"/>
  <c r="O362" i="3"/>
  <c r="N362" i="3"/>
  <c r="P362" i="3"/>
  <c r="Q362" i="3"/>
  <c r="AI362" i="3"/>
  <c r="G361" i="4"/>
  <c r="I361" i="4"/>
  <c r="J361" i="4"/>
  <c r="H361" i="4"/>
  <c r="L362" i="4"/>
  <c r="V362" i="3"/>
  <c r="M361" i="4"/>
  <c r="K361" i="4"/>
  <c r="W362" i="3"/>
  <c r="X362" i="3"/>
  <c r="Y362" i="3"/>
  <c r="Z362" i="3"/>
  <c r="AA362" i="3"/>
  <c r="AB362" i="3"/>
  <c r="AC362" i="3"/>
  <c r="AD362" i="3"/>
  <c r="C362" i="4"/>
  <c r="M363" i="3"/>
  <c r="N363" i="3"/>
  <c r="AI363" i="3"/>
  <c r="O363" i="3"/>
  <c r="G362" i="4"/>
  <c r="I362" i="4"/>
  <c r="J362" i="4"/>
  <c r="H362" i="4"/>
  <c r="K362" i="4"/>
  <c r="M362" i="4"/>
  <c r="P363" i="3"/>
  <c r="Q363" i="3"/>
  <c r="L363" i="4"/>
  <c r="V363" i="3"/>
  <c r="W363" i="3"/>
  <c r="X363" i="3"/>
  <c r="Y363" i="3"/>
  <c r="Z363" i="3"/>
  <c r="AA363" i="3"/>
  <c r="AB363" i="3"/>
  <c r="C363" i="4"/>
  <c r="AC363" i="3"/>
  <c r="AD363" i="3"/>
  <c r="M364" i="3"/>
  <c r="AI364" i="3"/>
  <c r="N364" i="3"/>
  <c r="O364" i="3"/>
  <c r="G363" i="4"/>
  <c r="I363" i="4"/>
  <c r="J363" i="4"/>
  <c r="H363" i="4"/>
  <c r="K363" i="4"/>
  <c r="M363" i="4"/>
  <c r="P364" i="3"/>
  <c r="Q364" i="3"/>
  <c r="L364" i="4"/>
  <c r="C33" i="5"/>
  <c r="N33" i="5"/>
  <c r="V364" i="3"/>
  <c r="W364" i="3"/>
  <c r="X364" i="3"/>
  <c r="Y364" i="3"/>
  <c r="Z364" i="3"/>
  <c r="AA364" i="3"/>
  <c r="AB364" i="3"/>
  <c r="C364" i="4"/>
  <c r="AC364" i="3"/>
  <c r="AD364" i="3"/>
  <c r="M365" i="3"/>
  <c r="AI365" i="3"/>
  <c r="N365" i="3"/>
  <c r="O365" i="3"/>
  <c r="G364" i="4"/>
  <c r="I364" i="4"/>
  <c r="J364" i="4"/>
  <c r="H364" i="4"/>
  <c r="D33" i="5"/>
  <c r="K364" i="4"/>
  <c r="E33" i="5"/>
  <c r="M364" i="4"/>
  <c r="P365" i="3"/>
  <c r="Q365" i="3"/>
  <c r="L365" i="4"/>
  <c r="V365" i="3"/>
  <c r="W365" i="3"/>
  <c r="X365" i="3"/>
  <c r="Y365" i="3"/>
  <c r="Z365" i="3"/>
  <c r="AA365" i="3"/>
  <c r="AB365" i="3"/>
  <c r="M366" i="3"/>
  <c r="C365" i="4"/>
  <c r="AC365" i="3"/>
  <c r="AD365" i="3"/>
  <c r="G365" i="4"/>
  <c r="I365" i="4"/>
  <c r="J365" i="4"/>
  <c r="H365" i="4"/>
  <c r="N366" i="3"/>
  <c r="O366" i="3"/>
  <c r="AI366" i="3"/>
  <c r="P366" i="3"/>
  <c r="Q366" i="3"/>
  <c r="K365" i="4"/>
  <c r="M365" i="4"/>
  <c r="L366" i="4"/>
  <c r="V366" i="3"/>
  <c r="W366" i="3"/>
  <c r="X366" i="3"/>
  <c r="Y366" i="3"/>
  <c r="Z366" i="3"/>
  <c r="AA366" i="3"/>
  <c r="AB366" i="3"/>
  <c r="M367" i="3"/>
  <c r="C366" i="4"/>
  <c r="AC366" i="3"/>
  <c r="AD366" i="3"/>
  <c r="G366" i="4"/>
  <c r="I366" i="4"/>
  <c r="J366" i="4"/>
  <c r="H366" i="4"/>
  <c r="N367" i="3"/>
  <c r="O367" i="3"/>
  <c r="AI367" i="3"/>
  <c r="P367" i="3"/>
  <c r="Q367" i="3"/>
  <c r="K366" i="4"/>
  <c r="M366" i="4"/>
  <c r="L367" i="4"/>
  <c r="V367" i="3"/>
  <c r="W367" i="3"/>
  <c r="X367" i="3"/>
  <c r="Y367" i="3"/>
  <c r="Z367" i="3"/>
  <c r="AA367" i="3"/>
  <c r="AB367" i="3"/>
  <c r="M368" i="3"/>
  <c r="C367" i="4"/>
  <c r="AC367" i="3"/>
  <c r="AD367" i="3"/>
  <c r="G367" i="4"/>
  <c r="I367" i="4"/>
  <c r="J367" i="4"/>
  <c r="H367" i="4"/>
  <c r="N368" i="3"/>
  <c r="P368" i="3"/>
  <c r="Q368" i="3"/>
  <c r="AI368" i="3"/>
  <c r="O368" i="3"/>
  <c r="L368" i="4"/>
  <c r="V368" i="3"/>
  <c r="M367" i="4"/>
  <c r="K367" i="4"/>
  <c r="W368" i="3"/>
  <c r="X368" i="3"/>
  <c r="Y368" i="3"/>
  <c r="Z368" i="3"/>
  <c r="AA368" i="3"/>
  <c r="AB368" i="3"/>
  <c r="M369" i="3"/>
  <c r="AC368" i="3"/>
  <c r="AD368" i="3"/>
  <c r="C368" i="4"/>
  <c r="G368" i="4"/>
  <c r="I368" i="4"/>
  <c r="J368" i="4"/>
  <c r="H368" i="4"/>
  <c r="AI369" i="3"/>
  <c r="N369" i="3"/>
  <c r="P369" i="3"/>
  <c r="Q369" i="3"/>
  <c r="O369" i="3"/>
  <c r="L369" i="4"/>
  <c r="V369" i="3"/>
  <c r="K368" i="4"/>
  <c r="M368" i="4"/>
  <c r="W369" i="3"/>
  <c r="X369" i="3"/>
  <c r="Y369" i="3"/>
  <c r="Z369" i="3"/>
  <c r="AA369" i="3"/>
  <c r="AB369" i="3"/>
  <c r="AC369" i="3"/>
  <c r="AD369" i="3"/>
  <c r="M370" i="3"/>
  <c r="C369" i="4"/>
  <c r="G369" i="4"/>
  <c r="I369" i="4"/>
  <c r="J369" i="4"/>
  <c r="H369" i="4"/>
  <c r="AI370" i="3"/>
  <c r="N370" i="3"/>
  <c r="O370" i="3"/>
  <c r="P370" i="3"/>
  <c r="Q370" i="3"/>
  <c r="M369" i="4"/>
  <c r="K369" i="4"/>
  <c r="L370" i="4"/>
  <c r="V370" i="3"/>
  <c r="W370" i="3"/>
  <c r="X370" i="3"/>
  <c r="Y370" i="3"/>
  <c r="Z370" i="3"/>
  <c r="AA370" i="3"/>
  <c r="AB370" i="3"/>
  <c r="AC370" i="3"/>
  <c r="AD370" i="3"/>
  <c r="M371" i="3"/>
  <c r="C370" i="4"/>
  <c r="G370" i="4"/>
  <c r="I370" i="4"/>
  <c r="J370" i="4"/>
  <c r="H370" i="4"/>
  <c r="N371" i="3"/>
  <c r="O371" i="3"/>
  <c r="AI371" i="3"/>
  <c r="P371" i="3"/>
  <c r="Q371" i="3"/>
  <c r="M370" i="4"/>
  <c r="K370" i="4"/>
  <c r="L371" i="4"/>
  <c r="V371" i="3"/>
  <c r="W371" i="3"/>
  <c r="X371" i="3"/>
  <c r="Y371" i="3"/>
  <c r="Z371" i="3"/>
  <c r="AA371" i="3"/>
  <c r="AB371" i="3"/>
  <c r="M372" i="3"/>
  <c r="C371" i="4"/>
  <c r="AC371" i="3"/>
  <c r="AD371" i="3"/>
  <c r="G371" i="4"/>
  <c r="I371" i="4"/>
  <c r="J371" i="4"/>
  <c r="H371" i="4"/>
  <c r="N372" i="3"/>
  <c r="O372" i="3"/>
  <c r="AI372" i="3"/>
  <c r="P372" i="3"/>
  <c r="Q372" i="3"/>
  <c r="M371" i="4"/>
  <c r="K371" i="4"/>
  <c r="L372" i="4"/>
  <c r="V372" i="3"/>
  <c r="W372" i="3"/>
  <c r="X372" i="3"/>
  <c r="Y372" i="3"/>
  <c r="Z372" i="3"/>
  <c r="AA372" i="3"/>
  <c r="AB372" i="3"/>
  <c r="AC372" i="3"/>
  <c r="AD372" i="3"/>
  <c r="C372" i="4"/>
  <c r="M373" i="3"/>
  <c r="O373" i="3"/>
  <c r="N373" i="3"/>
  <c r="P373" i="3"/>
  <c r="Q373" i="3"/>
  <c r="AI373" i="3"/>
  <c r="G372" i="4"/>
  <c r="I372" i="4"/>
  <c r="J372" i="4"/>
  <c r="H372" i="4"/>
  <c r="L373" i="4"/>
  <c r="V373" i="3"/>
  <c r="M372" i="4"/>
  <c r="K372" i="4"/>
  <c r="W373" i="3"/>
  <c r="X373" i="3"/>
  <c r="Y373" i="3"/>
  <c r="Z373" i="3"/>
  <c r="AA373" i="3"/>
  <c r="AB373" i="3"/>
  <c r="C373" i="4"/>
  <c r="M374" i="3"/>
  <c r="AC373" i="3"/>
  <c r="AD373" i="3"/>
  <c r="AI374" i="3"/>
  <c r="N374" i="3"/>
  <c r="P374" i="3"/>
  <c r="Q374" i="3"/>
  <c r="O374" i="3"/>
  <c r="G373" i="4"/>
  <c r="I373" i="4"/>
  <c r="J373" i="4"/>
  <c r="H373" i="4"/>
  <c r="M373" i="4"/>
  <c r="K373" i="4"/>
  <c r="L374" i="4"/>
  <c r="V374" i="3"/>
  <c r="W374" i="3"/>
  <c r="X374" i="3"/>
  <c r="Y374" i="3"/>
  <c r="Z374" i="3"/>
  <c r="AA374" i="3"/>
  <c r="AB374" i="3"/>
  <c r="C374" i="4"/>
  <c r="M375" i="3"/>
  <c r="AC374" i="3"/>
  <c r="AD374" i="3"/>
  <c r="O375" i="3"/>
  <c r="AI375" i="3"/>
  <c r="N375" i="3"/>
  <c r="P375" i="3"/>
  <c r="Q375" i="3"/>
  <c r="G374" i="4"/>
  <c r="I374" i="4"/>
  <c r="J374" i="4"/>
  <c r="H374" i="4"/>
  <c r="M374" i="4"/>
  <c r="K374" i="4"/>
  <c r="L375" i="4"/>
  <c r="V375" i="3"/>
  <c r="W375" i="3"/>
  <c r="X375" i="3"/>
  <c r="Y375" i="3"/>
  <c r="Z375" i="3"/>
  <c r="AA375" i="3"/>
  <c r="AB375" i="3"/>
  <c r="AC375" i="3"/>
  <c r="AD375" i="3"/>
  <c r="C375" i="4"/>
  <c r="M376" i="3"/>
  <c r="G375" i="4"/>
  <c r="I375" i="4"/>
  <c r="J375" i="4"/>
  <c r="H375" i="4"/>
  <c r="O376" i="3"/>
  <c r="N376" i="3"/>
  <c r="P376" i="3"/>
  <c r="Q376" i="3"/>
  <c r="AI376" i="3"/>
  <c r="L376" i="4"/>
  <c r="V376" i="3"/>
  <c r="K375" i="4"/>
  <c r="M375" i="4"/>
  <c r="W376" i="3"/>
  <c r="X376" i="3"/>
  <c r="Y376" i="3"/>
  <c r="Z376" i="3"/>
  <c r="AA376" i="3"/>
  <c r="AB376" i="3"/>
  <c r="M377" i="3"/>
  <c r="AC376" i="3"/>
  <c r="AD376" i="3"/>
  <c r="C376" i="4"/>
  <c r="G376" i="4"/>
  <c r="I376" i="4"/>
  <c r="J376" i="4"/>
  <c r="H376" i="4"/>
  <c r="N377" i="3"/>
  <c r="O377" i="3"/>
  <c r="AI377" i="3"/>
  <c r="P377" i="3"/>
  <c r="Q377" i="3"/>
  <c r="K376" i="4"/>
  <c r="M376" i="4"/>
  <c r="L377" i="4"/>
  <c r="V377" i="3"/>
  <c r="W377" i="3"/>
  <c r="X377" i="3"/>
  <c r="Y377" i="3"/>
  <c r="Z377" i="3"/>
  <c r="AA377" i="3"/>
  <c r="AB377" i="3"/>
  <c r="AC377" i="3"/>
  <c r="AD377" i="3"/>
  <c r="C377" i="4"/>
  <c r="M378" i="3"/>
  <c r="O378" i="3"/>
  <c r="AI378" i="3"/>
  <c r="N378" i="3"/>
  <c r="P378" i="3"/>
  <c r="Q378" i="3"/>
  <c r="G377" i="4"/>
  <c r="I377" i="4"/>
  <c r="J377" i="4"/>
  <c r="H377" i="4"/>
  <c r="L378" i="4"/>
  <c r="V378" i="3"/>
  <c r="M377" i="4"/>
  <c r="K377" i="4"/>
  <c r="W378" i="3"/>
  <c r="X378" i="3"/>
  <c r="Y378" i="3"/>
  <c r="Z378" i="3"/>
  <c r="AA378" i="3"/>
  <c r="AB378" i="3"/>
  <c r="C378" i="4"/>
  <c r="M379" i="3"/>
  <c r="AC378" i="3"/>
  <c r="AD378" i="3"/>
  <c r="O379" i="3"/>
  <c r="AI379" i="3"/>
  <c r="N379" i="3"/>
  <c r="P379" i="3"/>
  <c r="Q379" i="3"/>
  <c r="G378" i="4"/>
  <c r="I378" i="4"/>
  <c r="J378" i="4"/>
  <c r="H378" i="4"/>
  <c r="M378" i="4"/>
  <c r="K378" i="4"/>
  <c r="L379" i="4"/>
  <c r="V379" i="3"/>
  <c r="W379" i="3"/>
  <c r="X379" i="3"/>
  <c r="Y379" i="3"/>
  <c r="Z379" i="3"/>
  <c r="AA379" i="3"/>
  <c r="AB379" i="3"/>
  <c r="C379" i="4"/>
  <c r="M380" i="3"/>
  <c r="AC379" i="3"/>
  <c r="AD379" i="3"/>
  <c r="N380" i="3"/>
  <c r="O380" i="3"/>
  <c r="AI380" i="3"/>
  <c r="G379" i="4"/>
  <c r="I379" i="4"/>
  <c r="J379" i="4"/>
  <c r="H379" i="4"/>
  <c r="K379" i="4"/>
  <c r="M379" i="4"/>
  <c r="P380" i="3"/>
  <c r="Q380" i="3"/>
  <c r="L380" i="4"/>
  <c r="V380" i="3"/>
  <c r="W380" i="3"/>
  <c r="X380" i="3"/>
  <c r="Y380" i="3"/>
  <c r="Z380" i="3"/>
  <c r="AA380" i="3"/>
  <c r="AB380" i="3"/>
  <c r="C380" i="4"/>
  <c r="M381" i="3"/>
  <c r="AC380" i="3"/>
  <c r="AD380" i="3"/>
  <c r="AI381" i="3"/>
  <c r="O381" i="3"/>
  <c r="N381" i="3"/>
  <c r="P381" i="3"/>
  <c r="Q381" i="3"/>
  <c r="G380" i="4"/>
  <c r="I380" i="4"/>
  <c r="J380" i="4"/>
  <c r="H380" i="4"/>
  <c r="L381" i="4"/>
  <c r="V381" i="3"/>
  <c r="M380" i="4"/>
  <c r="K380" i="4"/>
  <c r="W381" i="3"/>
  <c r="X381" i="3"/>
  <c r="Y381" i="3"/>
  <c r="Z381" i="3"/>
  <c r="AA381" i="3"/>
  <c r="AB381" i="3"/>
  <c r="M382" i="3"/>
  <c r="C381" i="4"/>
  <c r="AC381" i="3"/>
  <c r="AD381" i="3"/>
  <c r="G381" i="4"/>
  <c r="I381" i="4"/>
  <c r="J381" i="4"/>
  <c r="H381" i="4"/>
  <c r="N382" i="3"/>
  <c r="O382" i="3"/>
  <c r="AI382" i="3"/>
  <c r="P382" i="3"/>
  <c r="Q382" i="3"/>
  <c r="K381" i="4"/>
  <c r="M381" i="4"/>
  <c r="L382" i="4"/>
  <c r="V382" i="3"/>
  <c r="W382" i="3"/>
  <c r="X382" i="3"/>
  <c r="Y382" i="3"/>
  <c r="Z382" i="3"/>
  <c r="AA382" i="3"/>
  <c r="AB382" i="3"/>
  <c r="M383" i="3"/>
  <c r="C382" i="4"/>
  <c r="AC382" i="3"/>
  <c r="AD382" i="3"/>
  <c r="G382" i="4"/>
  <c r="I382" i="4"/>
  <c r="J382" i="4"/>
  <c r="H382" i="4"/>
  <c r="AI383" i="3"/>
  <c r="O383" i="3"/>
  <c r="N383" i="3"/>
  <c r="P383" i="3"/>
  <c r="Q383" i="3"/>
  <c r="L383" i="4"/>
  <c r="V383" i="3"/>
  <c r="K382" i="4"/>
  <c r="M382" i="4"/>
  <c r="W383" i="3"/>
  <c r="X383" i="3"/>
  <c r="Y383" i="3"/>
  <c r="Z383" i="3"/>
  <c r="AA383" i="3"/>
  <c r="AB383" i="3"/>
  <c r="AC383" i="3"/>
  <c r="AD383" i="3"/>
  <c r="M384" i="3"/>
  <c r="C383" i="4"/>
  <c r="G383" i="4"/>
  <c r="I383" i="4"/>
  <c r="J383" i="4"/>
  <c r="H383" i="4"/>
  <c r="O384" i="3"/>
  <c r="N384" i="3"/>
  <c r="P384" i="3"/>
  <c r="Q384" i="3"/>
  <c r="AI384" i="3"/>
  <c r="L384" i="4"/>
  <c r="V384" i="3"/>
  <c r="K383" i="4"/>
  <c r="M383" i="4"/>
  <c r="W384" i="3"/>
  <c r="X384" i="3"/>
  <c r="Y384" i="3"/>
  <c r="Z384" i="3"/>
  <c r="AA384" i="3"/>
  <c r="AB384" i="3"/>
  <c r="M385" i="3"/>
  <c r="C384" i="4"/>
  <c r="AC384" i="3"/>
  <c r="AD384" i="3"/>
  <c r="G384" i="4"/>
  <c r="I384" i="4"/>
  <c r="J384" i="4"/>
  <c r="H384" i="4"/>
  <c r="N385" i="3"/>
  <c r="P385" i="3"/>
  <c r="Q385" i="3"/>
  <c r="O385" i="3"/>
  <c r="AI385" i="3"/>
  <c r="L385" i="4"/>
  <c r="V385" i="3"/>
  <c r="M384" i="4"/>
  <c r="K384" i="4"/>
  <c r="W385" i="3"/>
  <c r="X385" i="3"/>
  <c r="Y385" i="3"/>
  <c r="Z385" i="3"/>
  <c r="AA385" i="3"/>
  <c r="AB385" i="3"/>
  <c r="M386" i="3"/>
  <c r="C385" i="4"/>
  <c r="AC385" i="3"/>
  <c r="AD385" i="3"/>
  <c r="G385" i="4"/>
  <c r="I385" i="4"/>
  <c r="J385" i="4"/>
  <c r="H385" i="4"/>
  <c r="AI386" i="3"/>
  <c r="N386" i="3"/>
  <c r="O386" i="3"/>
  <c r="P386" i="3"/>
  <c r="Q386" i="3"/>
  <c r="K385" i="4"/>
  <c r="M385" i="4"/>
  <c r="L386" i="4"/>
  <c r="V386" i="3"/>
  <c r="W386" i="3"/>
  <c r="X386" i="3"/>
  <c r="Y386" i="3"/>
  <c r="Z386" i="3"/>
  <c r="AA386" i="3"/>
  <c r="AB386" i="3"/>
  <c r="M387" i="3"/>
  <c r="C386" i="4"/>
  <c r="AC386" i="3"/>
  <c r="AD386" i="3"/>
  <c r="G386" i="4"/>
  <c r="I386" i="4"/>
  <c r="J386" i="4"/>
  <c r="H386" i="4"/>
  <c r="N387" i="3"/>
  <c r="O387" i="3"/>
  <c r="AI387" i="3"/>
  <c r="P387" i="3"/>
  <c r="Q387" i="3"/>
  <c r="M386" i="4"/>
  <c r="K386" i="4"/>
  <c r="L387" i="4"/>
  <c r="V387" i="3"/>
  <c r="W387" i="3"/>
  <c r="X387" i="3"/>
  <c r="Y387" i="3"/>
  <c r="Z387" i="3"/>
  <c r="AA387" i="3"/>
  <c r="AB387" i="3"/>
  <c r="AC387" i="3"/>
  <c r="AD387" i="3"/>
  <c r="C387" i="4"/>
  <c r="M388" i="3"/>
  <c r="G387" i="4"/>
  <c r="I387" i="4"/>
  <c r="J387" i="4"/>
  <c r="H387" i="4"/>
  <c r="N388" i="3"/>
  <c r="O388" i="3"/>
  <c r="AI388" i="3"/>
  <c r="P388" i="3"/>
  <c r="Q388" i="3"/>
  <c r="M387" i="4"/>
  <c r="K387" i="4"/>
  <c r="L388" i="4"/>
  <c r="V388" i="3"/>
  <c r="W388" i="3"/>
  <c r="X388" i="3"/>
  <c r="Y388" i="3"/>
  <c r="Z388" i="3"/>
  <c r="AA388" i="3"/>
  <c r="AB388" i="3"/>
  <c r="M389" i="3"/>
  <c r="C388" i="4"/>
  <c r="AC388" i="3"/>
  <c r="AD388" i="3"/>
  <c r="G388" i="4"/>
  <c r="I388" i="4"/>
  <c r="J388" i="4"/>
  <c r="H388" i="4"/>
  <c r="N389" i="3"/>
  <c r="O389" i="3"/>
  <c r="AI389" i="3"/>
  <c r="P389" i="3"/>
  <c r="Q389" i="3"/>
  <c r="K388" i="4"/>
  <c r="M388" i="4"/>
  <c r="L389" i="4"/>
  <c r="V389" i="3"/>
  <c r="W389" i="3"/>
  <c r="X389" i="3"/>
  <c r="Y389" i="3"/>
  <c r="Z389" i="3"/>
  <c r="AA389" i="3"/>
  <c r="AB389" i="3"/>
  <c r="C389" i="4"/>
  <c r="M390" i="3"/>
  <c r="AC389" i="3"/>
  <c r="AD389" i="3"/>
  <c r="AI390" i="3"/>
  <c r="N390" i="3"/>
  <c r="O390" i="3"/>
  <c r="G389" i="4"/>
  <c r="I389" i="4"/>
  <c r="J389" i="4"/>
  <c r="H389" i="4"/>
  <c r="K389" i="4"/>
  <c r="M389" i="4"/>
  <c r="P390" i="3"/>
  <c r="Q390" i="3"/>
  <c r="L390" i="4"/>
  <c r="V390" i="3"/>
  <c r="W390" i="3"/>
  <c r="X390" i="3"/>
  <c r="Y390" i="3"/>
  <c r="Z390" i="3"/>
  <c r="AA390" i="3"/>
  <c r="AB390" i="3"/>
  <c r="C390" i="4"/>
  <c r="M391" i="3"/>
  <c r="AC390" i="3"/>
  <c r="AD390" i="3"/>
  <c r="AI391" i="3"/>
  <c r="N391" i="3"/>
  <c r="O391" i="3"/>
  <c r="G390" i="4"/>
  <c r="I390" i="4"/>
  <c r="J390" i="4"/>
  <c r="H390" i="4"/>
  <c r="M390" i="4"/>
  <c r="K390" i="4"/>
  <c r="P391" i="3"/>
  <c r="Q391" i="3"/>
  <c r="L391" i="4"/>
  <c r="V391" i="3"/>
  <c r="W391" i="3"/>
  <c r="X391" i="3"/>
  <c r="Y391" i="3"/>
  <c r="Z391" i="3"/>
  <c r="AA391" i="3"/>
  <c r="AB391" i="3"/>
  <c r="C391" i="4"/>
  <c r="AC391" i="3"/>
  <c r="AD391" i="3"/>
  <c r="M392" i="3"/>
  <c r="O392" i="3"/>
  <c r="AI392" i="3"/>
  <c r="N392" i="3"/>
  <c r="P392" i="3"/>
  <c r="Q392" i="3"/>
  <c r="G391" i="4"/>
  <c r="I391" i="4"/>
  <c r="J391" i="4"/>
  <c r="H391" i="4"/>
  <c r="K391" i="4"/>
  <c r="M391" i="4"/>
  <c r="L392" i="4"/>
  <c r="V392" i="3"/>
  <c r="W392" i="3"/>
  <c r="X392" i="3"/>
  <c r="Y392" i="3"/>
  <c r="Z392" i="3"/>
  <c r="AA392" i="3"/>
  <c r="AB392" i="3"/>
  <c r="C392" i="4"/>
  <c r="M393" i="3"/>
  <c r="AC392" i="3"/>
  <c r="AD392" i="3"/>
  <c r="N393" i="3"/>
  <c r="AI393" i="3"/>
  <c r="O393" i="3"/>
  <c r="G392" i="4"/>
  <c r="I392" i="4"/>
  <c r="J392" i="4"/>
  <c r="H392" i="4"/>
  <c r="M392" i="4"/>
  <c r="K392" i="4"/>
  <c r="P393" i="3"/>
  <c r="Q393" i="3"/>
  <c r="L393" i="4"/>
  <c r="V393" i="3"/>
  <c r="W393" i="3"/>
  <c r="X393" i="3"/>
  <c r="Y393" i="3"/>
  <c r="Z393" i="3"/>
  <c r="AA393" i="3"/>
  <c r="AB393" i="3"/>
  <c r="M394" i="3"/>
  <c r="AC393" i="3"/>
  <c r="AD393" i="3"/>
  <c r="C393" i="4"/>
  <c r="G393" i="4"/>
  <c r="I393" i="4"/>
  <c r="J393" i="4"/>
  <c r="H393" i="4"/>
  <c r="N394" i="3"/>
  <c r="O394" i="3"/>
  <c r="AI394" i="3"/>
  <c r="P394" i="3"/>
  <c r="Q394" i="3"/>
  <c r="M393" i="4"/>
  <c r="K393" i="4"/>
  <c r="L394" i="4"/>
  <c r="V394" i="3"/>
  <c r="W394" i="3"/>
  <c r="X394" i="3"/>
  <c r="Y394" i="3"/>
  <c r="Z394" i="3"/>
  <c r="AA394" i="3"/>
  <c r="AB394" i="3"/>
  <c r="C394" i="4"/>
  <c r="M395" i="3"/>
  <c r="AC394" i="3"/>
  <c r="AD394" i="3"/>
  <c r="O395" i="3"/>
  <c r="AI395" i="3"/>
  <c r="N395" i="3"/>
  <c r="P395" i="3"/>
  <c r="Q395" i="3"/>
  <c r="G394" i="4"/>
  <c r="I394" i="4"/>
  <c r="J394" i="4"/>
  <c r="H394" i="4"/>
  <c r="K394" i="4"/>
  <c r="M394" i="4"/>
  <c r="L395" i="4"/>
  <c r="V395" i="3"/>
  <c r="W395" i="3"/>
  <c r="X395" i="3"/>
  <c r="Y395" i="3"/>
  <c r="Z395" i="3"/>
  <c r="AA395" i="3"/>
  <c r="AB395" i="3"/>
  <c r="C395" i="4"/>
  <c r="AC395" i="3"/>
  <c r="AD395" i="3"/>
  <c r="M396" i="3"/>
  <c r="N396" i="3"/>
  <c r="AI396" i="3"/>
  <c r="O396" i="3"/>
  <c r="G395" i="4"/>
  <c r="I395" i="4"/>
  <c r="J395" i="4"/>
  <c r="H395" i="4"/>
  <c r="K395" i="4"/>
  <c r="M395" i="4"/>
  <c r="P396" i="3"/>
  <c r="Q396" i="3"/>
  <c r="L396" i="4"/>
  <c r="V396" i="3"/>
  <c r="W396" i="3"/>
  <c r="X396" i="3"/>
  <c r="Y396" i="3"/>
  <c r="Z396" i="3"/>
  <c r="AA396" i="3"/>
  <c r="AB396" i="3"/>
  <c r="M397" i="3"/>
  <c r="AC396" i="3"/>
  <c r="AD396" i="3"/>
  <c r="C396" i="4"/>
  <c r="G396" i="4"/>
  <c r="I396" i="4"/>
  <c r="J396" i="4"/>
  <c r="H396" i="4"/>
  <c r="O397" i="3"/>
  <c r="N397" i="3"/>
  <c r="P397" i="3"/>
  <c r="Q397" i="3"/>
  <c r="AI397" i="3"/>
  <c r="L397" i="4"/>
  <c r="V397" i="3"/>
  <c r="K396" i="4"/>
  <c r="M396" i="4"/>
  <c r="W397" i="3"/>
  <c r="X397" i="3"/>
  <c r="Y397" i="3"/>
  <c r="Z397" i="3"/>
  <c r="AA397" i="3"/>
  <c r="AB397" i="3"/>
  <c r="AC397" i="3"/>
  <c r="AD397" i="3"/>
  <c r="C397" i="4"/>
  <c r="M398" i="3"/>
  <c r="O398" i="3"/>
  <c r="N398" i="3"/>
  <c r="P398" i="3"/>
  <c r="Q398" i="3"/>
  <c r="AI398" i="3"/>
  <c r="G397" i="4"/>
  <c r="I397" i="4"/>
  <c r="J397" i="4"/>
  <c r="H397" i="4"/>
  <c r="K397" i="4"/>
  <c r="M397" i="4"/>
  <c r="L398" i="4"/>
  <c r="V398" i="3"/>
  <c r="W398" i="3"/>
  <c r="X398" i="3"/>
  <c r="Y398" i="3"/>
  <c r="Z398" i="3"/>
  <c r="AA398" i="3"/>
  <c r="AB398" i="3"/>
  <c r="M399" i="3"/>
  <c r="C398" i="4"/>
  <c r="AC398" i="3"/>
  <c r="AD398" i="3"/>
  <c r="G398" i="4"/>
  <c r="I398" i="4"/>
  <c r="J398" i="4"/>
  <c r="H398" i="4"/>
  <c r="O399" i="3"/>
  <c r="N399" i="3"/>
  <c r="AI399" i="3"/>
  <c r="P399" i="3"/>
  <c r="Q399" i="3"/>
  <c r="K398" i="4"/>
  <c r="M398" i="4"/>
  <c r="L399" i="4"/>
  <c r="V399" i="3"/>
  <c r="W399" i="3"/>
  <c r="X399" i="3"/>
  <c r="Y399" i="3"/>
  <c r="Z399" i="3"/>
  <c r="AA399" i="3"/>
  <c r="AB399" i="3"/>
  <c r="AC399" i="3"/>
  <c r="AD399" i="3"/>
  <c r="M400" i="3"/>
  <c r="C399" i="4"/>
  <c r="G399" i="4"/>
  <c r="I399" i="4"/>
  <c r="J399" i="4"/>
  <c r="H399" i="4"/>
  <c r="O400" i="3"/>
  <c r="AI400" i="3"/>
  <c r="N400" i="3"/>
  <c r="P400" i="3"/>
  <c r="Q400" i="3"/>
  <c r="L400" i="4"/>
  <c r="V400" i="3"/>
  <c r="K399" i="4"/>
  <c r="M399" i="4"/>
  <c r="W400" i="3"/>
  <c r="X400" i="3"/>
  <c r="Y400" i="3"/>
  <c r="Z400" i="3"/>
  <c r="AA400" i="3"/>
  <c r="AB400" i="3"/>
  <c r="AC400" i="3"/>
  <c r="AD400" i="3"/>
  <c r="M401" i="3"/>
  <c r="C400" i="4"/>
  <c r="G400" i="4"/>
  <c r="I400" i="4"/>
  <c r="J400" i="4"/>
  <c r="H400" i="4"/>
  <c r="N401" i="3"/>
  <c r="O401" i="3"/>
  <c r="AI401" i="3"/>
  <c r="P401" i="3"/>
  <c r="Q401" i="3"/>
  <c r="K400" i="4"/>
  <c r="M400" i="4"/>
  <c r="L401" i="4"/>
  <c r="V401" i="3"/>
  <c r="W401" i="3"/>
  <c r="X401" i="3"/>
  <c r="Y401" i="3"/>
  <c r="Z401" i="3"/>
  <c r="AA401" i="3"/>
  <c r="AB401" i="3"/>
  <c r="M402" i="3"/>
  <c r="AC401" i="3"/>
  <c r="AD401" i="3"/>
  <c r="C401" i="4"/>
  <c r="G401" i="4"/>
  <c r="I401" i="4"/>
  <c r="J401" i="4"/>
  <c r="H401" i="4"/>
  <c r="AI402" i="3"/>
  <c r="N402" i="3"/>
  <c r="P402" i="3"/>
  <c r="Q402" i="3"/>
  <c r="O402" i="3"/>
  <c r="L402" i="4"/>
  <c r="V402" i="3"/>
  <c r="K401" i="4"/>
  <c r="M401" i="4"/>
  <c r="W402" i="3"/>
  <c r="X402" i="3"/>
  <c r="Y402" i="3"/>
  <c r="Z402" i="3"/>
  <c r="AA402" i="3"/>
  <c r="AB402" i="3"/>
  <c r="AC402" i="3"/>
  <c r="AD402" i="3"/>
  <c r="C402" i="4"/>
  <c r="M403" i="3"/>
  <c r="AI403" i="3"/>
  <c r="O403" i="3"/>
  <c r="N403" i="3"/>
  <c r="P403" i="3"/>
  <c r="Q403" i="3"/>
  <c r="G402" i="4"/>
  <c r="I402" i="4"/>
  <c r="J402" i="4"/>
  <c r="H402" i="4"/>
  <c r="L403" i="4"/>
  <c r="V403" i="3"/>
  <c r="M402" i="4"/>
  <c r="K402" i="4"/>
  <c r="W403" i="3"/>
  <c r="X403" i="3"/>
  <c r="Y403" i="3"/>
  <c r="Z403" i="3"/>
  <c r="AA403" i="3"/>
  <c r="AB403" i="3"/>
  <c r="M404" i="3"/>
  <c r="AC403" i="3"/>
  <c r="AD403" i="3"/>
  <c r="C403" i="4"/>
  <c r="G403" i="4"/>
  <c r="I403" i="4"/>
  <c r="J403" i="4"/>
  <c r="H403" i="4"/>
  <c r="N404" i="3"/>
  <c r="O404" i="3"/>
  <c r="AI404" i="3"/>
  <c r="P404" i="3"/>
  <c r="Q404" i="3"/>
  <c r="M403" i="4"/>
  <c r="K403" i="4"/>
  <c r="L404" i="4"/>
  <c r="V404" i="3"/>
  <c r="W404" i="3"/>
  <c r="X404" i="3"/>
  <c r="Y404" i="3"/>
  <c r="Z404" i="3"/>
  <c r="AA404" i="3"/>
  <c r="AB404" i="3"/>
  <c r="M405" i="3"/>
  <c r="AC404" i="3"/>
  <c r="AD404" i="3"/>
  <c r="C404" i="4"/>
  <c r="G404" i="4"/>
  <c r="I404" i="4"/>
  <c r="J404" i="4"/>
  <c r="H404" i="4"/>
  <c r="O405" i="3"/>
  <c r="AI405" i="3"/>
  <c r="N405" i="3"/>
  <c r="P405" i="3"/>
  <c r="Q405" i="3"/>
  <c r="L405" i="4"/>
  <c r="V405" i="3"/>
  <c r="M404" i="4"/>
  <c r="K404" i="4"/>
  <c r="W405" i="3"/>
  <c r="X405" i="3"/>
  <c r="Y405" i="3"/>
  <c r="Z405" i="3"/>
  <c r="AA405" i="3"/>
  <c r="AB405" i="3"/>
  <c r="AC405" i="3"/>
  <c r="AD405" i="3"/>
  <c r="C405" i="4"/>
  <c r="M406" i="3"/>
  <c r="G405" i="4"/>
  <c r="I405" i="4"/>
  <c r="J405" i="4"/>
  <c r="H405" i="4"/>
  <c r="O406" i="3"/>
  <c r="N406" i="3"/>
  <c r="P406" i="3"/>
  <c r="Q406" i="3"/>
  <c r="AI406" i="3"/>
  <c r="L406" i="4"/>
  <c r="C34" i="5"/>
  <c r="N34" i="5"/>
  <c r="V406" i="3"/>
  <c r="M405" i="4"/>
  <c r="K405" i="4"/>
  <c r="W406" i="3"/>
  <c r="X406" i="3"/>
  <c r="Y406" i="3"/>
  <c r="Z406" i="3"/>
  <c r="AA406" i="3"/>
  <c r="AB406" i="3"/>
  <c r="M407" i="3"/>
  <c r="C406" i="4"/>
  <c r="AC406" i="3"/>
  <c r="AD406" i="3"/>
  <c r="G406" i="4"/>
  <c r="I406" i="4"/>
  <c r="J406" i="4"/>
  <c r="H406" i="4"/>
  <c r="N407" i="3"/>
  <c r="P407" i="3"/>
  <c r="Q407" i="3"/>
  <c r="O407" i="3"/>
  <c r="AI407" i="3"/>
  <c r="L407" i="4"/>
  <c r="V407" i="3"/>
  <c r="D34" i="5"/>
  <c r="K406" i="4"/>
  <c r="E34" i="5"/>
  <c r="M406" i="4"/>
  <c r="W407" i="3"/>
  <c r="X407" i="3"/>
  <c r="Y407" i="3"/>
  <c r="Z407" i="3"/>
  <c r="AA407" i="3"/>
  <c r="AB407" i="3"/>
  <c r="C407" i="4"/>
  <c r="AC407" i="3"/>
  <c r="AD407" i="3"/>
  <c r="M408" i="3"/>
  <c r="O408" i="3"/>
  <c r="N408" i="3"/>
  <c r="AI408" i="3"/>
  <c r="G407" i="4"/>
  <c r="I407" i="4"/>
  <c r="J407" i="4"/>
  <c r="H407" i="4"/>
  <c r="P408" i="3"/>
  <c r="Q408" i="3"/>
  <c r="K407" i="4"/>
  <c r="M407" i="4"/>
  <c r="L408" i="4"/>
  <c r="V408" i="3"/>
  <c r="W408" i="3"/>
  <c r="X408" i="3"/>
  <c r="Y408" i="3"/>
  <c r="Z408" i="3"/>
  <c r="AA408" i="3"/>
  <c r="AB408" i="3"/>
  <c r="C408" i="4"/>
  <c r="M409" i="3"/>
  <c r="AC408" i="3"/>
  <c r="AD408" i="3"/>
  <c r="N409" i="3"/>
  <c r="AI409" i="3"/>
  <c r="O409" i="3"/>
  <c r="G408" i="4"/>
  <c r="I408" i="4"/>
  <c r="J408" i="4"/>
  <c r="H408" i="4"/>
  <c r="M408" i="4"/>
  <c r="K408" i="4"/>
  <c r="P409" i="3"/>
  <c r="Q409" i="3"/>
  <c r="L409" i="4"/>
  <c r="V409" i="3"/>
  <c r="W409" i="3"/>
  <c r="X409" i="3"/>
  <c r="Y409" i="3"/>
  <c r="Z409" i="3"/>
  <c r="AA409" i="3"/>
  <c r="AB409" i="3"/>
  <c r="AC409" i="3"/>
  <c r="AD409" i="3"/>
  <c r="C409" i="4"/>
  <c r="M410" i="3"/>
  <c r="G409" i="4"/>
  <c r="I409" i="4"/>
  <c r="J409" i="4"/>
  <c r="H409" i="4"/>
  <c r="O410" i="3"/>
  <c r="N410" i="3"/>
  <c r="P410" i="3"/>
  <c r="Q410" i="3"/>
  <c r="AI410" i="3"/>
  <c r="L410" i="4"/>
  <c r="V410" i="3"/>
  <c r="M409" i="4"/>
  <c r="K409" i="4"/>
  <c r="W410" i="3"/>
  <c r="X410" i="3"/>
  <c r="Y410" i="3"/>
  <c r="Z410" i="3"/>
  <c r="AA410" i="3"/>
  <c r="AB410" i="3"/>
  <c r="M411" i="3"/>
  <c r="AC410" i="3"/>
  <c r="AD410" i="3"/>
  <c r="C410" i="4"/>
  <c r="G410" i="4"/>
  <c r="I410" i="4"/>
  <c r="J410" i="4"/>
  <c r="H410" i="4"/>
  <c r="O411" i="3"/>
  <c r="N411" i="3"/>
  <c r="P411" i="3"/>
  <c r="Q411" i="3"/>
  <c r="AI411" i="3"/>
  <c r="L411" i="4"/>
  <c r="V411" i="3"/>
  <c r="K410" i="4"/>
  <c r="M410" i="4"/>
  <c r="W411" i="3"/>
  <c r="X411" i="3"/>
  <c r="Y411" i="3"/>
  <c r="Z411" i="3"/>
  <c r="AA411" i="3"/>
  <c r="AB411" i="3"/>
  <c r="M412" i="3"/>
  <c r="AC411" i="3"/>
  <c r="AD411" i="3"/>
  <c r="C411" i="4"/>
  <c r="G411" i="4"/>
  <c r="I411" i="4"/>
  <c r="J411" i="4"/>
  <c r="H411" i="4"/>
  <c r="N412" i="3"/>
  <c r="AI412" i="3"/>
  <c r="O412" i="3"/>
  <c r="P412" i="3"/>
  <c r="Q412" i="3"/>
  <c r="M411" i="4"/>
  <c r="K411" i="4"/>
  <c r="L412" i="4"/>
  <c r="V412" i="3"/>
  <c r="W412" i="3"/>
  <c r="X412" i="3"/>
  <c r="Y412" i="3"/>
  <c r="Z412" i="3"/>
  <c r="AA412" i="3"/>
  <c r="AB412" i="3"/>
  <c r="AC412" i="3"/>
  <c r="AD412" i="3"/>
  <c r="M413" i="3"/>
  <c r="C412" i="4"/>
  <c r="AI413" i="3"/>
  <c r="O413" i="3"/>
  <c r="N413" i="3"/>
  <c r="P413" i="3"/>
  <c r="Q413" i="3"/>
  <c r="G412" i="4"/>
  <c r="I412" i="4"/>
  <c r="J412" i="4"/>
  <c r="H412" i="4"/>
  <c r="M412" i="4"/>
  <c r="K412" i="4"/>
  <c r="L413" i="4"/>
  <c r="V413" i="3"/>
  <c r="W413" i="3"/>
  <c r="X413" i="3"/>
  <c r="Y413" i="3"/>
  <c r="Z413" i="3"/>
  <c r="AA413" i="3"/>
  <c r="AB413" i="3"/>
  <c r="C413" i="4"/>
  <c r="M414" i="3"/>
  <c r="AC413" i="3"/>
  <c r="AD413" i="3"/>
  <c r="AI414" i="3"/>
  <c r="N414" i="3"/>
  <c r="P414" i="3"/>
  <c r="Q414" i="3"/>
  <c r="O414" i="3"/>
  <c r="G413" i="4"/>
  <c r="I413" i="4"/>
  <c r="J413" i="4"/>
  <c r="H413" i="4"/>
  <c r="M413" i="4"/>
  <c r="K413" i="4"/>
  <c r="L414" i="4"/>
  <c r="V414" i="3"/>
  <c r="W414" i="3"/>
  <c r="X414" i="3"/>
  <c r="Y414" i="3"/>
  <c r="Z414" i="3"/>
  <c r="AA414" i="3"/>
  <c r="AB414" i="3"/>
  <c r="C414" i="4"/>
  <c r="M415" i="3"/>
  <c r="AC414" i="3"/>
  <c r="AD414" i="3"/>
  <c r="AI415" i="3"/>
  <c r="N415" i="3"/>
  <c r="P415" i="3"/>
  <c r="Q415" i="3"/>
  <c r="O415" i="3"/>
  <c r="G414" i="4"/>
  <c r="I414" i="4"/>
  <c r="J414" i="4"/>
  <c r="H414" i="4"/>
  <c r="M414" i="4"/>
  <c r="K414" i="4"/>
  <c r="L415" i="4"/>
  <c r="V415" i="3"/>
  <c r="W415" i="3"/>
  <c r="X415" i="3"/>
  <c r="Y415" i="3"/>
  <c r="Z415" i="3"/>
  <c r="AA415" i="3"/>
  <c r="AB415" i="3"/>
  <c r="M416" i="3"/>
  <c r="C415" i="4"/>
  <c r="AC415" i="3"/>
  <c r="AD415" i="3"/>
  <c r="G415" i="4"/>
  <c r="I415" i="4"/>
  <c r="J415" i="4"/>
  <c r="H415" i="4"/>
  <c r="AI416" i="3"/>
  <c r="O416" i="3"/>
  <c r="N416" i="3"/>
  <c r="P416" i="3"/>
  <c r="Q416" i="3"/>
  <c r="L416" i="4"/>
  <c r="V416" i="3"/>
  <c r="M415" i="4"/>
  <c r="K415" i="4"/>
  <c r="W416" i="3"/>
  <c r="X416" i="3"/>
  <c r="Y416" i="3"/>
  <c r="Z416" i="3"/>
  <c r="AA416" i="3"/>
  <c r="AB416" i="3"/>
  <c r="C416" i="4"/>
  <c r="M417" i="3"/>
  <c r="AC416" i="3"/>
  <c r="AD416" i="3"/>
  <c r="AI417" i="3"/>
  <c r="N417" i="3"/>
  <c r="O417" i="3"/>
  <c r="G416" i="4"/>
  <c r="I416" i="4"/>
  <c r="J416" i="4"/>
  <c r="H416" i="4"/>
  <c r="P417" i="3"/>
  <c r="Q417" i="3"/>
  <c r="M416" i="4"/>
  <c r="K416" i="4"/>
  <c r="L417" i="4"/>
  <c r="V417" i="3"/>
  <c r="W417" i="3"/>
  <c r="X417" i="3"/>
  <c r="Y417" i="3"/>
  <c r="Z417" i="3"/>
  <c r="AA417" i="3"/>
  <c r="AB417" i="3"/>
  <c r="M418" i="3"/>
  <c r="C417" i="4"/>
  <c r="AC417" i="3"/>
  <c r="AD417" i="3"/>
  <c r="G417" i="4"/>
  <c r="I417" i="4"/>
  <c r="J417" i="4"/>
  <c r="H417" i="4"/>
  <c r="AI418" i="3"/>
  <c r="N418" i="3"/>
  <c r="O418" i="3"/>
  <c r="P418" i="3"/>
  <c r="Q418" i="3"/>
  <c r="K417" i="4"/>
  <c r="M417" i="4"/>
  <c r="L418" i="4"/>
  <c r="V418" i="3"/>
  <c r="W418" i="3"/>
  <c r="X418" i="3"/>
  <c r="Y418" i="3"/>
  <c r="Z418" i="3"/>
  <c r="AA418" i="3"/>
  <c r="AB418" i="3"/>
  <c r="C418" i="4"/>
  <c r="M419" i="3"/>
  <c r="AC418" i="3"/>
  <c r="AD418" i="3"/>
  <c r="N419" i="3"/>
  <c r="AI419" i="3"/>
  <c r="O419" i="3"/>
  <c r="G418" i="4"/>
  <c r="I418" i="4"/>
  <c r="J418" i="4"/>
  <c r="H418" i="4"/>
  <c r="K418" i="4"/>
  <c r="M418" i="4"/>
  <c r="P419" i="3"/>
  <c r="Q419" i="3"/>
  <c r="L419" i="4"/>
  <c r="V419" i="3"/>
  <c r="W419" i="3"/>
  <c r="X419" i="3"/>
  <c r="Y419" i="3"/>
  <c r="Z419" i="3"/>
  <c r="AA419" i="3"/>
  <c r="AB419" i="3"/>
  <c r="AC419" i="3"/>
  <c r="AD419" i="3"/>
  <c r="C419" i="4"/>
  <c r="M420" i="3"/>
  <c r="AI420" i="3"/>
  <c r="O420" i="3"/>
  <c r="N420" i="3"/>
  <c r="P420" i="3"/>
  <c r="Q420" i="3"/>
  <c r="G419" i="4"/>
  <c r="I419" i="4"/>
  <c r="J419" i="4"/>
  <c r="H419" i="4"/>
  <c r="L420" i="4"/>
  <c r="V420" i="3"/>
  <c r="M419" i="4"/>
  <c r="K419" i="4"/>
  <c r="W420" i="3"/>
  <c r="X420" i="3"/>
  <c r="Y420" i="3"/>
  <c r="Z420" i="3"/>
  <c r="AA420" i="3"/>
  <c r="AB420" i="3"/>
  <c r="AC420" i="3"/>
  <c r="AD420" i="3"/>
  <c r="C420" i="4"/>
  <c r="M421" i="3"/>
  <c r="AI421" i="3"/>
  <c r="O421" i="3"/>
  <c r="N421" i="3"/>
  <c r="P421" i="3"/>
  <c r="Q421" i="3"/>
  <c r="G420" i="4"/>
  <c r="I420" i="4"/>
  <c r="J420" i="4"/>
  <c r="H420" i="4"/>
  <c r="L421" i="4"/>
  <c r="V421" i="3"/>
  <c r="M420" i="4"/>
  <c r="K420" i="4"/>
  <c r="W421" i="3"/>
  <c r="X421" i="3"/>
  <c r="Y421" i="3"/>
  <c r="Z421" i="3"/>
  <c r="AA421" i="3"/>
  <c r="AB421" i="3"/>
  <c r="C421" i="4"/>
  <c r="M422" i="3"/>
  <c r="AC421" i="3"/>
  <c r="AD421" i="3"/>
  <c r="O422" i="3"/>
  <c r="N422" i="3"/>
  <c r="P422" i="3"/>
  <c r="Q422" i="3"/>
  <c r="AI422" i="3"/>
  <c r="G421" i="4"/>
  <c r="I421" i="4"/>
  <c r="J421" i="4"/>
  <c r="H421" i="4"/>
  <c r="M421" i="4"/>
  <c r="K421" i="4"/>
  <c r="L422" i="4"/>
  <c r="V422" i="3"/>
  <c r="W422" i="3"/>
  <c r="X422" i="3"/>
  <c r="Y422" i="3"/>
  <c r="Z422" i="3"/>
  <c r="AA422" i="3"/>
  <c r="AB422" i="3"/>
  <c r="M423" i="3"/>
  <c r="C422" i="4"/>
  <c r="AC422" i="3"/>
  <c r="AD422" i="3"/>
  <c r="G422" i="4"/>
  <c r="I422" i="4"/>
  <c r="J422" i="4"/>
  <c r="H422" i="4"/>
  <c r="O423" i="3"/>
  <c r="AI423" i="3"/>
  <c r="N423" i="3"/>
  <c r="P423" i="3"/>
  <c r="Q423" i="3"/>
  <c r="L423" i="4"/>
  <c r="V423" i="3"/>
  <c r="M422" i="4"/>
  <c r="K422" i="4"/>
  <c r="W423" i="3"/>
  <c r="X423" i="3"/>
  <c r="Y423" i="3"/>
  <c r="Z423" i="3"/>
  <c r="AA423" i="3"/>
  <c r="AB423" i="3"/>
  <c r="C423" i="4"/>
  <c r="AC423" i="3"/>
  <c r="AD423" i="3"/>
  <c r="M424" i="3"/>
  <c r="O424" i="3"/>
  <c r="AI424" i="3"/>
  <c r="N424" i="3"/>
  <c r="P424" i="3"/>
  <c r="Q424" i="3"/>
  <c r="G423" i="4"/>
  <c r="I423" i="4"/>
  <c r="J423" i="4"/>
  <c r="H423" i="4"/>
  <c r="K423" i="4"/>
  <c r="M423" i="4"/>
  <c r="L424" i="4"/>
  <c r="V424" i="3"/>
  <c r="W424" i="3"/>
  <c r="X424" i="3"/>
  <c r="Y424" i="3"/>
  <c r="Z424" i="3"/>
  <c r="AA424" i="3"/>
  <c r="AB424" i="3"/>
  <c r="C424" i="4"/>
  <c r="AC424" i="3"/>
  <c r="AD424" i="3"/>
  <c r="M425" i="3"/>
  <c r="AI425" i="3"/>
  <c r="N425" i="3"/>
  <c r="O425" i="3"/>
  <c r="G424" i="4"/>
  <c r="I424" i="4"/>
  <c r="J424" i="4"/>
  <c r="H424" i="4"/>
  <c r="K424" i="4"/>
  <c r="M424" i="4"/>
  <c r="P425" i="3"/>
  <c r="Q425" i="3"/>
  <c r="L425" i="4"/>
  <c r="V425" i="3"/>
  <c r="W425" i="3"/>
  <c r="X425" i="3"/>
  <c r="Y425" i="3"/>
  <c r="Z425" i="3"/>
  <c r="AA425" i="3"/>
  <c r="AB425" i="3"/>
  <c r="M426" i="3"/>
  <c r="AC425" i="3"/>
  <c r="AD425" i="3"/>
  <c r="C425" i="4"/>
  <c r="G425" i="4"/>
  <c r="I425" i="4"/>
  <c r="J425" i="4"/>
  <c r="H425" i="4"/>
  <c r="N426" i="3"/>
  <c r="O426" i="3"/>
  <c r="AI426" i="3"/>
  <c r="P426" i="3"/>
  <c r="Q426" i="3"/>
  <c r="K425" i="4"/>
  <c r="M425" i="4"/>
  <c r="L426" i="4"/>
  <c r="V426" i="3"/>
  <c r="W426" i="3"/>
  <c r="X426" i="3"/>
  <c r="Y426" i="3"/>
  <c r="Z426" i="3"/>
  <c r="AA426" i="3"/>
  <c r="AB426" i="3"/>
  <c r="AC426" i="3"/>
  <c r="AD426" i="3"/>
  <c r="M427" i="3"/>
  <c r="C426" i="4"/>
  <c r="G426" i="4"/>
  <c r="I426" i="4"/>
  <c r="J426" i="4"/>
  <c r="H426" i="4"/>
  <c r="O427" i="3"/>
  <c r="AI427" i="3"/>
  <c r="N427" i="3"/>
  <c r="P427" i="3"/>
  <c r="Q427" i="3"/>
  <c r="L427" i="4"/>
  <c r="V427" i="3"/>
  <c r="M426" i="4"/>
  <c r="K426" i="4"/>
  <c r="W427" i="3"/>
  <c r="X427" i="3"/>
  <c r="Y427" i="3"/>
  <c r="Z427" i="3"/>
  <c r="AA427" i="3"/>
  <c r="AB427" i="3"/>
  <c r="M428" i="3"/>
  <c r="AC427" i="3"/>
  <c r="AD427" i="3"/>
  <c r="C427" i="4"/>
  <c r="G427" i="4"/>
  <c r="I427" i="4"/>
  <c r="J427" i="4"/>
  <c r="H427" i="4"/>
  <c r="AI428" i="3"/>
  <c r="O428" i="3"/>
  <c r="N428" i="3"/>
  <c r="P428" i="3"/>
  <c r="Q428" i="3"/>
  <c r="L428" i="4"/>
  <c r="V428" i="3"/>
  <c r="K427" i="4"/>
  <c r="M427" i="4"/>
  <c r="W428" i="3"/>
  <c r="X428" i="3"/>
  <c r="Y428" i="3"/>
  <c r="Z428" i="3"/>
  <c r="AA428" i="3"/>
  <c r="AB428" i="3"/>
  <c r="M429" i="3"/>
  <c r="C428" i="4"/>
  <c r="AC428" i="3"/>
  <c r="AD428" i="3"/>
  <c r="G428" i="4"/>
  <c r="I428" i="4"/>
  <c r="J428" i="4"/>
  <c r="H428" i="4"/>
  <c r="AI429" i="3"/>
  <c r="N429" i="3"/>
  <c r="P429" i="3"/>
  <c r="Q429" i="3"/>
  <c r="O429" i="3"/>
  <c r="L429" i="4"/>
  <c r="V429" i="3"/>
  <c r="M428" i="4"/>
  <c r="K428" i="4"/>
  <c r="W429" i="3"/>
  <c r="X429" i="3"/>
  <c r="Y429" i="3"/>
  <c r="Z429" i="3"/>
  <c r="AA429" i="3"/>
  <c r="AB429" i="3"/>
  <c r="C429" i="4"/>
  <c r="M430" i="3"/>
  <c r="AC429" i="3"/>
  <c r="AD429" i="3"/>
  <c r="AI430" i="3"/>
  <c r="N430" i="3"/>
  <c r="O430" i="3"/>
  <c r="G429" i="4"/>
  <c r="I429" i="4"/>
  <c r="J429" i="4"/>
  <c r="H429" i="4"/>
  <c r="P430" i="3"/>
  <c r="Q430" i="3"/>
  <c r="K429" i="4"/>
  <c r="M429" i="4"/>
  <c r="L430" i="4"/>
  <c r="V430" i="3"/>
  <c r="W430" i="3"/>
  <c r="X430" i="3"/>
  <c r="Y430" i="3"/>
  <c r="Z430" i="3"/>
  <c r="AA430" i="3"/>
  <c r="AB430" i="3"/>
  <c r="C430" i="4"/>
  <c r="AC430" i="3"/>
  <c r="AD430" i="3"/>
  <c r="M431" i="3"/>
  <c r="O431" i="3"/>
  <c r="AI431" i="3"/>
  <c r="N431" i="3"/>
  <c r="P431" i="3"/>
  <c r="Q431" i="3"/>
  <c r="G430" i="4"/>
  <c r="I430" i="4"/>
  <c r="J430" i="4"/>
  <c r="H430" i="4"/>
  <c r="L431" i="4"/>
  <c r="V431" i="3"/>
  <c r="K430" i="4"/>
  <c r="M430" i="4"/>
  <c r="W431" i="3"/>
  <c r="X431" i="3"/>
  <c r="Y431" i="3"/>
  <c r="Z431" i="3"/>
  <c r="AA431" i="3"/>
  <c r="AB431" i="3"/>
  <c r="C431" i="4"/>
  <c r="M432" i="3"/>
  <c r="AC431" i="3"/>
  <c r="AD431" i="3"/>
  <c r="N432" i="3"/>
  <c r="AI432" i="3"/>
  <c r="O432" i="3"/>
  <c r="G431" i="4"/>
  <c r="I431" i="4"/>
  <c r="J431" i="4"/>
  <c r="H431" i="4"/>
  <c r="M431" i="4"/>
  <c r="K431" i="4"/>
  <c r="P432" i="3"/>
  <c r="Q432" i="3"/>
  <c r="L432" i="4"/>
  <c r="V432" i="3"/>
  <c r="W432" i="3"/>
  <c r="X432" i="3"/>
  <c r="Y432" i="3"/>
  <c r="Z432" i="3"/>
  <c r="AA432" i="3"/>
  <c r="AB432" i="3"/>
  <c r="M433" i="3"/>
  <c r="C432" i="4"/>
  <c r="AC432" i="3"/>
  <c r="AD432" i="3"/>
  <c r="G432" i="4"/>
  <c r="I432" i="4"/>
  <c r="J432" i="4"/>
  <c r="H432" i="4"/>
  <c r="N433" i="3"/>
  <c r="O433" i="3"/>
  <c r="AI433" i="3"/>
  <c r="P433" i="3"/>
  <c r="Q433" i="3"/>
  <c r="K432" i="4"/>
  <c r="M432" i="4"/>
  <c r="L433" i="4"/>
  <c r="V433" i="3"/>
  <c r="W433" i="3"/>
  <c r="X433" i="3"/>
  <c r="Y433" i="3"/>
  <c r="Z433" i="3"/>
  <c r="AA433" i="3"/>
  <c r="AB433" i="3"/>
  <c r="M434" i="3"/>
  <c r="AC433" i="3"/>
  <c r="AD433" i="3"/>
  <c r="C433" i="4"/>
  <c r="G433" i="4"/>
  <c r="I433" i="4"/>
  <c r="J433" i="4"/>
  <c r="H433" i="4"/>
  <c r="AI434" i="3"/>
  <c r="N434" i="3"/>
  <c r="O434" i="3"/>
  <c r="P434" i="3"/>
  <c r="Q434" i="3"/>
  <c r="K433" i="4"/>
  <c r="M433" i="4"/>
  <c r="L434" i="4"/>
  <c r="V434" i="3"/>
  <c r="W434" i="3"/>
  <c r="X434" i="3"/>
  <c r="Y434" i="3"/>
  <c r="Z434" i="3"/>
  <c r="AA434" i="3"/>
  <c r="AB434" i="3"/>
  <c r="C434" i="4"/>
  <c r="M435" i="3"/>
  <c r="AC434" i="3"/>
  <c r="AD434" i="3"/>
  <c r="N435" i="3"/>
  <c r="O435" i="3"/>
  <c r="AI435" i="3"/>
  <c r="G434" i="4"/>
  <c r="I434" i="4"/>
  <c r="J434" i="4"/>
  <c r="H434" i="4"/>
  <c r="K434" i="4"/>
  <c r="M434" i="4"/>
  <c r="P435" i="3"/>
  <c r="Q435" i="3"/>
  <c r="L435" i="4"/>
  <c r="V435" i="3"/>
  <c r="W435" i="3"/>
  <c r="X435" i="3"/>
  <c r="Y435" i="3"/>
  <c r="Z435" i="3"/>
  <c r="AA435" i="3"/>
  <c r="AB435" i="3"/>
  <c r="M436" i="3"/>
  <c r="AC435" i="3"/>
  <c r="AD435" i="3"/>
  <c r="C435" i="4"/>
  <c r="G435" i="4"/>
  <c r="I435" i="4"/>
  <c r="J435" i="4"/>
  <c r="H435" i="4"/>
  <c r="AI436" i="3"/>
  <c r="O436" i="3"/>
  <c r="N436" i="3"/>
  <c r="P436" i="3"/>
  <c r="Q436" i="3"/>
  <c r="L436" i="4"/>
  <c r="V436" i="3"/>
  <c r="M435" i="4"/>
  <c r="K435" i="4"/>
  <c r="W436" i="3"/>
  <c r="X436" i="3"/>
  <c r="Y436" i="3"/>
  <c r="Z436" i="3"/>
  <c r="AA436" i="3"/>
  <c r="AB436" i="3"/>
  <c r="AC436" i="3"/>
  <c r="AD436" i="3"/>
  <c r="M437" i="3"/>
  <c r="C436" i="4"/>
  <c r="G436" i="4"/>
  <c r="I436" i="4"/>
  <c r="J436" i="4"/>
  <c r="H436" i="4"/>
  <c r="AI437" i="3"/>
  <c r="N437" i="3"/>
  <c r="O437" i="3"/>
  <c r="P437" i="3"/>
  <c r="Q437" i="3"/>
  <c r="K436" i="4"/>
  <c r="M436" i="4"/>
  <c r="L437" i="4"/>
  <c r="V437" i="3"/>
  <c r="W437" i="3"/>
  <c r="X437" i="3"/>
  <c r="Y437" i="3"/>
  <c r="Z437" i="3"/>
  <c r="AA437" i="3"/>
  <c r="AB437" i="3"/>
  <c r="M438" i="3"/>
  <c r="AC437" i="3"/>
  <c r="AD437" i="3"/>
  <c r="C437" i="4"/>
  <c r="G437" i="4"/>
  <c r="I437" i="4"/>
  <c r="J437" i="4"/>
  <c r="H437" i="4"/>
  <c r="AI438" i="3"/>
  <c r="O438" i="3"/>
  <c r="N438" i="3"/>
  <c r="P438" i="3"/>
  <c r="Q438" i="3"/>
  <c r="L438" i="4"/>
  <c r="V438" i="3"/>
  <c r="K437" i="4"/>
  <c r="M437" i="4"/>
  <c r="W438" i="3"/>
  <c r="X438" i="3"/>
  <c r="Y438" i="3"/>
  <c r="Z438" i="3"/>
  <c r="AA438" i="3"/>
  <c r="AB438" i="3"/>
  <c r="M439" i="3"/>
  <c r="C438" i="4"/>
  <c r="AC438" i="3"/>
  <c r="AD438" i="3"/>
  <c r="G438" i="4"/>
  <c r="I438" i="4"/>
  <c r="J438" i="4"/>
  <c r="H438" i="4"/>
  <c r="AI439" i="3"/>
  <c r="O439" i="3"/>
  <c r="N439" i="3"/>
  <c r="P439" i="3"/>
  <c r="Q439" i="3"/>
  <c r="L439" i="4"/>
  <c r="V439" i="3"/>
  <c r="M438" i="4"/>
  <c r="K438" i="4"/>
  <c r="W439" i="3"/>
  <c r="X439" i="3"/>
  <c r="Y439" i="3"/>
  <c r="Z439" i="3"/>
  <c r="AA439" i="3"/>
  <c r="AB439" i="3"/>
  <c r="M440" i="3"/>
  <c r="C439" i="4"/>
  <c r="AC439" i="3"/>
  <c r="AD439" i="3"/>
  <c r="G439" i="4"/>
  <c r="I439" i="4"/>
  <c r="J439" i="4"/>
  <c r="H439" i="4"/>
  <c r="O440" i="3"/>
  <c r="N440" i="3"/>
  <c r="P440" i="3"/>
  <c r="Q440" i="3"/>
  <c r="AI440" i="3"/>
  <c r="L440" i="4"/>
  <c r="V440" i="3"/>
  <c r="M439" i="4"/>
  <c r="K439" i="4"/>
  <c r="W440" i="3"/>
  <c r="X440" i="3"/>
  <c r="Y440" i="3"/>
  <c r="Z440" i="3"/>
  <c r="AA440" i="3"/>
  <c r="AB440" i="3"/>
  <c r="C440" i="4"/>
  <c r="AC440" i="3"/>
  <c r="AD440" i="3"/>
  <c r="M441" i="3"/>
  <c r="AI441" i="3"/>
  <c r="N441" i="3"/>
  <c r="P441" i="3"/>
  <c r="Q441" i="3"/>
  <c r="O441" i="3"/>
  <c r="G440" i="4"/>
  <c r="I440" i="4"/>
  <c r="J440" i="4"/>
  <c r="H440" i="4"/>
  <c r="L441" i="4"/>
  <c r="V441" i="3"/>
  <c r="K440" i="4"/>
  <c r="M440" i="4"/>
  <c r="W441" i="3"/>
  <c r="X441" i="3"/>
  <c r="Y441" i="3"/>
  <c r="Z441" i="3"/>
  <c r="AA441" i="3"/>
  <c r="AB441" i="3"/>
  <c r="AC441" i="3"/>
  <c r="AD441" i="3"/>
  <c r="C441" i="4"/>
  <c r="M442" i="3"/>
  <c r="G441" i="4"/>
  <c r="I441" i="4"/>
  <c r="J441" i="4"/>
  <c r="H441" i="4"/>
  <c r="AI442" i="3"/>
  <c r="O442" i="3"/>
  <c r="N442" i="3"/>
  <c r="P442" i="3"/>
  <c r="Q442" i="3"/>
  <c r="M441" i="4"/>
  <c r="K441" i="4"/>
  <c r="L442" i="4"/>
  <c r="V442" i="3"/>
  <c r="W442" i="3"/>
  <c r="X442" i="3"/>
  <c r="Y442" i="3"/>
  <c r="Z442" i="3"/>
  <c r="AA442" i="3"/>
  <c r="AB442" i="3"/>
  <c r="AC442" i="3"/>
  <c r="AD442" i="3"/>
  <c r="M443" i="3"/>
  <c r="C442" i="4"/>
  <c r="G442" i="4"/>
  <c r="I442" i="4"/>
  <c r="J442" i="4"/>
  <c r="H442" i="4"/>
  <c r="AI443" i="3"/>
  <c r="O443" i="3"/>
  <c r="N443" i="3"/>
  <c r="P443" i="3"/>
  <c r="Q443" i="3"/>
  <c r="L443" i="4"/>
  <c r="V443" i="3"/>
  <c r="M442" i="4"/>
  <c r="K442" i="4"/>
  <c r="W443" i="3"/>
  <c r="X443" i="3"/>
  <c r="Y443" i="3"/>
  <c r="Z443" i="3"/>
  <c r="AA443" i="3"/>
  <c r="AB443" i="3"/>
  <c r="C443" i="4"/>
  <c r="M444" i="3"/>
  <c r="AC443" i="3"/>
  <c r="AD443" i="3"/>
  <c r="O444" i="3"/>
  <c r="N444" i="3"/>
  <c r="P444" i="3"/>
  <c r="Q444" i="3"/>
  <c r="AI444" i="3"/>
  <c r="G443" i="4"/>
  <c r="I443" i="4"/>
  <c r="J443" i="4"/>
  <c r="H443" i="4"/>
  <c r="L444" i="4"/>
  <c r="V444" i="3"/>
  <c r="K443" i="4"/>
  <c r="M443" i="4"/>
  <c r="W444" i="3"/>
  <c r="X444" i="3"/>
  <c r="Y444" i="3"/>
  <c r="Z444" i="3"/>
  <c r="AA444" i="3"/>
  <c r="AB444" i="3"/>
  <c r="M445" i="3"/>
  <c r="AC444" i="3"/>
  <c r="AD444" i="3"/>
  <c r="C444" i="4"/>
  <c r="G444" i="4"/>
  <c r="I444" i="4"/>
  <c r="J444" i="4"/>
  <c r="H444" i="4"/>
  <c r="O445" i="3"/>
  <c r="N445" i="3"/>
  <c r="P445" i="3"/>
  <c r="Q445" i="3"/>
  <c r="AI445" i="3"/>
  <c r="L445" i="4"/>
  <c r="V445" i="3"/>
  <c r="K444" i="4"/>
  <c r="M444" i="4"/>
  <c r="W445" i="3"/>
  <c r="X445" i="3"/>
  <c r="Y445" i="3"/>
  <c r="Z445" i="3"/>
  <c r="AA445" i="3"/>
  <c r="AB445" i="3"/>
  <c r="M446" i="3"/>
  <c r="AC445" i="3"/>
  <c r="AD445" i="3"/>
  <c r="C445" i="4"/>
  <c r="G445" i="4"/>
  <c r="I445" i="4"/>
  <c r="J445" i="4"/>
  <c r="H445" i="4"/>
  <c r="N446" i="3"/>
  <c r="AI446" i="3"/>
  <c r="O446" i="3"/>
  <c r="P446" i="3"/>
  <c r="Q446" i="3"/>
  <c r="K445" i="4"/>
  <c r="M445" i="4"/>
  <c r="L446" i="4"/>
  <c r="V446" i="3"/>
  <c r="W446" i="3"/>
  <c r="X446" i="3"/>
  <c r="Y446" i="3"/>
  <c r="Z446" i="3"/>
  <c r="AA446" i="3"/>
  <c r="AB446" i="3"/>
  <c r="M447" i="3"/>
  <c r="AC446" i="3"/>
  <c r="AD446" i="3"/>
  <c r="C446" i="4"/>
  <c r="G446" i="4"/>
  <c r="I446" i="4"/>
  <c r="J446" i="4"/>
  <c r="H446" i="4"/>
  <c r="N447" i="3"/>
  <c r="O447" i="3"/>
  <c r="AI447" i="3"/>
  <c r="P447" i="3"/>
  <c r="Q447" i="3"/>
  <c r="K446" i="4"/>
  <c r="M446" i="4"/>
  <c r="L447" i="4"/>
  <c r="V447" i="3"/>
  <c r="W447" i="3"/>
  <c r="X447" i="3"/>
  <c r="Y447" i="3"/>
  <c r="Z447" i="3"/>
  <c r="AA447" i="3"/>
  <c r="AB447" i="3"/>
  <c r="AC447" i="3"/>
  <c r="AD447" i="3"/>
  <c r="M448" i="3"/>
  <c r="C447" i="4"/>
  <c r="G447" i="4"/>
  <c r="I447" i="4"/>
  <c r="J447" i="4"/>
  <c r="H447" i="4"/>
  <c r="O448" i="3"/>
  <c r="N448" i="3"/>
  <c r="P448" i="3"/>
  <c r="Q448" i="3"/>
  <c r="AI448" i="3"/>
  <c r="L448" i="4"/>
  <c r="C35" i="5"/>
  <c r="N35" i="5"/>
  <c r="V448" i="3"/>
  <c r="M447" i="4"/>
  <c r="K447" i="4"/>
  <c r="W448" i="3"/>
  <c r="X448" i="3"/>
  <c r="Y448" i="3"/>
  <c r="Z448" i="3"/>
  <c r="AA448" i="3"/>
  <c r="AB448" i="3"/>
  <c r="AC448" i="3"/>
  <c r="AD448" i="3"/>
  <c r="C448" i="4"/>
  <c r="M449" i="3"/>
  <c r="O449" i="3"/>
  <c r="AI449" i="3"/>
  <c r="N449" i="3"/>
  <c r="P449" i="3"/>
  <c r="Q449" i="3"/>
  <c r="G448" i="4"/>
  <c r="I448" i="4"/>
  <c r="J448" i="4"/>
  <c r="H448" i="4"/>
  <c r="L449" i="4"/>
  <c r="V449" i="3"/>
  <c r="K448" i="4"/>
  <c r="E35" i="5"/>
  <c r="D35" i="5"/>
  <c r="M448" i="4"/>
  <c r="W449" i="3"/>
  <c r="X449" i="3"/>
  <c r="Y449" i="3"/>
  <c r="Z449" i="3"/>
  <c r="AA449" i="3"/>
  <c r="AB449" i="3"/>
  <c r="C449" i="4"/>
  <c r="M450" i="3"/>
  <c r="AC449" i="3"/>
  <c r="AD449" i="3"/>
  <c r="N450" i="3"/>
  <c r="AI450" i="3"/>
  <c r="O450" i="3"/>
  <c r="G449" i="4"/>
  <c r="I449" i="4"/>
  <c r="J449" i="4"/>
  <c r="H449" i="4"/>
  <c r="K449" i="4"/>
  <c r="M449" i="4"/>
  <c r="P450" i="3"/>
  <c r="Q450" i="3"/>
  <c r="L450" i="4"/>
  <c r="V450" i="3"/>
  <c r="W450" i="3"/>
  <c r="X450" i="3"/>
  <c r="Y450" i="3"/>
  <c r="Z450" i="3"/>
  <c r="AA450" i="3"/>
  <c r="AB450" i="3"/>
  <c r="M451" i="3"/>
  <c r="AC450" i="3"/>
  <c r="AD450" i="3"/>
  <c r="C450" i="4"/>
  <c r="G450" i="4"/>
  <c r="I450" i="4"/>
  <c r="J450" i="4"/>
  <c r="H450" i="4"/>
  <c r="AI451" i="3"/>
  <c r="O451" i="3"/>
  <c r="N451" i="3"/>
  <c r="P451" i="3"/>
  <c r="Q451" i="3"/>
  <c r="M450" i="4"/>
  <c r="K450" i="4"/>
  <c r="L451" i="4"/>
  <c r="V451" i="3"/>
  <c r="W451" i="3"/>
  <c r="X451" i="3"/>
  <c r="Y451" i="3"/>
  <c r="Z451" i="3"/>
  <c r="AA451" i="3"/>
  <c r="AB451" i="3"/>
  <c r="M452" i="3"/>
  <c r="C451" i="4"/>
  <c r="AC451" i="3"/>
  <c r="AD451" i="3"/>
  <c r="G451" i="4"/>
  <c r="I451" i="4"/>
  <c r="J451" i="4"/>
  <c r="H451" i="4"/>
  <c r="O452" i="3"/>
  <c r="AI452" i="3"/>
  <c r="N452" i="3"/>
  <c r="P452" i="3"/>
  <c r="Q452" i="3"/>
  <c r="L452" i="4"/>
  <c r="V452" i="3"/>
  <c r="M451" i="4"/>
  <c r="K451" i="4"/>
  <c r="W452" i="3"/>
  <c r="X452" i="3"/>
  <c r="Y452" i="3"/>
  <c r="Z452" i="3"/>
  <c r="AA452" i="3"/>
  <c r="AB452" i="3"/>
  <c r="M453" i="3"/>
  <c r="AC452" i="3"/>
  <c r="AD452" i="3"/>
  <c r="C452" i="4"/>
  <c r="G452" i="4"/>
  <c r="I452" i="4"/>
  <c r="J452" i="4"/>
  <c r="H452" i="4"/>
  <c r="N453" i="3"/>
  <c r="O453" i="3"/>
  <c r="AI453" i="3"/>
  <c r="P453" i="3"/>
  <c r="Q453" i="3"/>
  <c r="K452" i="4"/>
  <c r="M452" i="4"/>
  <c r="L453" i="4"/>
  <c r="V453" i="3"/>
  <c r="W453" i="3"/>
  <c r="X453" i="3"/>
  <c r="Y453" i="3"/>
  <c r="Z453" i="3"/>
  <c r="AA453" i="3"/>
  <c r="AB453" i="3"/>
  <c r="C453" i="4"/>
  <c r="M454" i="3"/>
  <c r="AC453" i="3"/>
  <c r="AD453" i="3"/>
  <c r="O454" i="3"/>
  <c r="N454" i="3"/>
  <c r="P454" i="3"/>
  <c r="Q454" i="3"/>
  <c r="AI454" i="3"/>
  <c r="G453" i="4"/>
  <c r="I453" i="4"/>
  <c r="J453" i="4"/>
  <c r="H453" i="4"/>
  <c r="M453" i="4"/>
  <c r="K453" i="4"/>
  <c r="L454" i="4"/>
  <c r="V454" i="3"/>
  <c r="W454" i="3"/>
  <c r="X454" i="3"/>
  <c r="Y454" i="3"/>
  <c r="Z454" i="3"/>
  <c r="AA454" i="3"/>
  <c r="AB454" i="3"/>
  <c r="AC454" i="3"/>
  <c r="AD454" i="3"/>
  <c r="M455" i="3"/>
  <c r="C454" i="4"/>
  <c r="G454" i="4"/>
  <c r="I454" i="4"/>
  <c r="J454" i="4"/>
  <c r="H454" i="4"/>
  <c r="N455" i="3"/>
  <c r="AI455" i="3"/>
  <c r="O455" i="3"/>
  <c r="P455" i="3"/>
  <c r="Q455" i="3"/>
  <c r="M454" i="4"/>
  <c r="K454" i="4"/>
  <c r="L455" i="4"/>
  <c r="V455" i="3"/>
  <c r="W455" i="3"/>
  <c r="X455" i="3"/>
  <c r="Y455" i="3"/>
  <c r="Z455" i="3"/>
  <c r="AA455" i="3"/>
  <c r="AB455" i="3"/>
  <c r="C455" i="4"/>
  <c r="M456" i="3"/>
  <c r="AC455" i="3"/>
  <c r="AD455" i="3"/>
  <c r="AI456" i="3"/>
  <c r="O456" i="3"/>
  <c r="N456" i="3"/>
  <c r="G455" i="4"/>
  <c r="I455" i="4"/>
  <c r="J455" i="4"/>
  <c r="H455" i="4"/>
  <c r="M455" i="4"/>
  <c r="K455" i="4"/>
  <c r="P456" i="3"/>
  <c r="Q456" i="3"/>
  <c r="L456" i="4"/>
  <c r="V456" i="3"/>
  <c r="W456" i="3"/>
  <c r="X456" i="3"/>
  <c r="Y456" i="3"/>
  <c r="Z456" i="3"/>
  <c r="AA456" i="3"/>
  <c r="AB456" i="3"/>
  <c r="AC456" i="3"/>
  <c r="AD456" i="3"/>
  <c r="M457" i="3"/>
  <c r="C456" i="4"/>
  <c r="G456" i="4"/>
  <c r="I456" i="4"/>
  <c r="J456" i="4"/>
  <c r="H456" i="4"/>
  <c r="N457" i="3"/>
  <c r="O457" i="3"/>
  <c r="AI457" i="3"/>
  <c r="P457" i="3"/>
  <c r="Q457" i="3"/>
  <c r="K456" i="4"/>
  <c r="M456" i="4"/>
  <c r="L457" i="4"/>
  <c r="V457" i="3"/>
  <c r="W457" i="3"/>
  <c r="X457" i="3"/>
  <c r="Y457" i="3"/>
  <c r="Z457" i="3"/>
  <c r="AA457" i="3"/>
  <c r="AB457" i="3"/>
  <c r="C457" i="4"/>
  <c r="M458" i="3"/>
  <c r="AC457" i="3"/>
  <c r="AD457" i="3"/>
  <c r="O458" i="3"/>
  <c r="N458" i="3"/>
  <c r="P458" i="3"/>
  <c r="Q458" i="3"/>
  <c r="AI458" i="3"/>
  <c r="G457" i="4"/>
  <c r="I457" i="4"/>
  <c r="J457" i="4"/>
  <c r="H457" i="4"/>
  <c r="K457" i="4"/>
  <c r="M457" i="4"/>
  <c r="L458" i="4"/>
  <c r="V458" i="3"/>
  <c r="W458" i="3"/>
  <c r="X458" i="3"/>
  <c r="Y458" i="3"/>
  <c r="Z458" i="3"/>
  <c r="AA458" i="3"/>
  <c r="AB458" i="3"/>
  <c r="M459" i="3"/>
  <c r="AC458" i="3"/>
  <c r="AD458" i="3"/>
  <c r="C458" i="4"/>
  <c r="G458" i="4"/>
  <c r="I458" i="4"/>
  <c r="J458" i="4"/>
  <c r="H458" i="4"/>
  <c r="AI459" i="3"/>
  <c r="O459" i="3"/>
  <c r="N459" i="3"/>
  <c r="P459" i="3"/>
  <c r="Q459" i="3"/>
  <c r="L459" i="4"/>
  <c r="V459" i="3"/>
  <c r="M458" i="4"/>
  <c r="K458" i="4"/>
  <c r="W459" i="3"/>
  <c r="X459" i="3"/>
  <c r="Y459" i="3"/>
  <c r="Z459" i="3"/>
  <c r="AA459" i="3"/>
  <c r="AB459" i="3"/>
  <c r="M460" i="3"/>
  <c r="C459" i="4"/>
  <c r="AC459" i="3"/>
  <c r="AD459" i="3"/>
  <c r="G459" i="4"/>
  <c r="I459" i="4"/>
  <c r="J459" i="4"/>
  <c r="H459" i="4"/>
  <c r="N460" i="3"/>
  <c r="P460" i="3"/>
  <c r="Q460" i="3"/>
  <c r="O460" i="3"/>
  <c r="AI460" i="3"/>
  <c r="L460" i="4"/>
  <c r="V460" i="3"/>
  <c r="K459" i="4"/>
  <c r="M459" i="4"/>
  <c r="W460" i="3"/>
  <c r="X460" i="3"/>
  <c r="Y460" i="3"/>
  <c r="Z460" i="3"/>
  <c r="AA460" i="3"/>
  <c r="AB460" i="3"/>
  <c r="M461" i="3"/>
  <c r="AC460" i="3"/>
  <c r="AD460" i="3"/>
  <c r="C460" i="4"/>
  <c r="G460" i="4"/>
  <c r="I460" i="4"/>
  <c r="J460" i="4"/>
  <c r="H460" i="4"/>
  <c r="AI461" i="3"/>
  <c r="O461" i="3"/>
  <c r="N461" i="3"/>
  <c r="P461" i="3"/>
  <c r="Q461" i="3"/>
  <c r="K460" i="4"/>
  <c r="M460" i="4"/>
  <c r="L461" i="4"/>
  <c r="V461" i="3"/>
  <c r="W461" i="3"/>
  <c r="X461" i="3"/>
  <c r="Y461" i="3"/>
  <c r="Z461" i="3"/>
  <c r="AA461" i="3"/>
  <c r="AB461" i="3"/>
  <c r="M462" i="3"/>
  <c r="C461" i="4"/>
  <c r="AC461" i="3"/>
  <c r="AD461" i="3"/>
  <c r="G461" i="4"/>
  <c r="I461" i="4"/>
  <c r="J461" i="4"/>
  <c r="H461" i="4"/>
  <c r="O462" i="3"/>
  <c r="N462" i="3"/>
  <c r="P462" i="3"/>
  <c r="Q462" i="3"/>
  <c r="AI462" i="3"/>
  <c r="L462" i="4"/>
  <c r="V462" i="3"/>
  <c r="M461" i="4"/>
  <c r="K461" i="4"/>
  <c r="W462" i="3"/>
  <c r="X462" i="3"/>
  <c r="Y462" i="3"/>
  <c r="Z462" i="3"/>
  <c r="AA462" i="3"/>
  <c r="AB462" i="3"/>
  <c r="C462" i="4"/>
  <c r="AC462" i="3"/>
  <c r="AD462" i="3"/>
  <c r="M463" i="3"/>
  <c r="N463" i="3"/>
  <c r="O463" i="3"/>
  <c r="AI463" i="3"/>
  <c r="G462" i="4"/>
  <c r="I462" i="4"/>
  <c r="J462" i="4"/>
  <c r="H462" i="4"/>
  <c r="K462" i="4"/>
  <c r="M462" i="4"/>
  <c r="P463" i="3"/>
  <c r="Q463" i="3"/>
  <c r="L463" i="4"/>
  <c r="V463" i="3"/>
  <c r="W463" i="3"/>
  <c r="X463" i="3"/>
  <c r="Y463" i="3"/>
  <c r="Z463" i="3"/>
  <c r="AA463" i="3"/>
  <c r="AB463" i="3"/>
  <c r="M464" i="3"/>
  <c r="C463" i="4"/>
  <c r="AC463" i="3"/>
  <c r="AD463" i="3"/>
  <c r="N464" i="3"/>
  <c r="O464" i="3"/>
  <c r="AI464" i="3"/>
  <c r="G463" i="4"/>
  <c r="I463" i="4"/>
  <c r="J463" i="4"/>
  <c r="H463" i="4"/>
  <c r="K463" i="4"/>
  <c r="M463" i="4"/>
  <c r="P464" i="3"/>
  <c r="Q464" i="3"/>
  <c r="L464" i="4"/>
  <c r="V464" i="3"/>
  <c r="W464" i="3"/>
  <c r="X464" i="3"/>
  <c r="Y464" i="3"/>
  <c r="Z464" i="3"/>
  <c r="AA464" i="3"/>
  <c r="AB464" i="3"/>
  <c r="AC464" i="3"/>
  <c r="AD464" i="3"/>
  <c r="C464" i="4"/>
  <c r="M465" i="3"/>
  <c r="O465" i="3"/>
  <c r="N465" i="3"/>
  <c r="P465" i="3"/>
  <c r="Q465" i="3"/>
  <c r="AI465" i="3"/>
  <c r="G464" i="4"/>
  <c r="I464" i="4"/>
  <c r="J464" i="4"/>
  <c r="H464" i="4"/>
  <c r="L465" i="4"/>
  <c r="V465" i="3"/>
  <c r="K464" i="4"/>
  <c r="M464" i="4"/>
  <c r="W465" i="3"/>
  <c r="X465" i="3"/>
  <c r="Y465" i="3"/>
  <c r="Z465" i="3"/>
  <c r="AA465" i="3"/>
  <c r="AB465" i="3"/>
  <c r="C465" i="4"/>
  <c r="M466" i="3"/>
  <c r="AC465" i="3"/>
  <c r="AD465" i="3"/>
  <c r="O466" i="3"/>
  <c r="N466" i="3"/>
  <c r="P466" i="3"/>
  <c r="Q466" i="3"/>
  <c r="AI466" i="3"/>
  <c r="G465" i="4"/>
  <c r="I465" i="4"/>
  <c r="J465" i="4"/>
  <c r="H465" i="4"/>
  <c r="K465" i="4"/>
  <c r="M465" i="4"/>
  <c r="L466" i="4"/>
  <c r="V466" i="3"/>
  <c r="W466" i="3"/>
  <c r="X466" i="3"/>
  <c r="Y466" i="3"/>
  <c r="Z466" i="3"/>
  <c r="AA466" i="3"/>
  <c r="AB466" i="3"/>
  <c r="M467" i="3"/>
  <c r="AC466" i="3"/>
  <c r="AD466" i="3"/>
  <c r="C466" i="4"/>
  <c r="G466" i="4"/>
  <c r="I466" i="4"/>
  <c r="J466" i="4"/>
  <c r="H466" i="4"/>
  <c r="AI467" i="3"/>
  <c r="N467" i="3"/>
  <c r="P467" i="3"/>
  <c r="Q467" i="3"/>
  <c r="O467" i="3"/>
  <c r="L467" i="4"/>
  <c r="V467" i="3"/>
  <c r="K466" i="4"/>
  <c r="M466" i="4"/>
  <c r="W467" i="3"/>
  <c r="X467" i="3"/>
  <c r="Y467" i="3"/>
  <c r="Z467" i="3"/>
  <c r="AA467" i="3"/>
  <c r="AB467" i="3"/>
  <c r="C467" i="4"/>
  <c r="AC467" i="3"/>
  <c r="AD467" i="3"/>
  <c r="M468" i="3"/>
  <c r="AI468" i="3"/>
  <c r="N468" i="3"/>
  <c r="P468" i="3"/>
  <c r="Q468" i="3"/>
  <c r="O468" i="3"/>
  <c r="G467" i="4"/>
  <c r="I467" i="4"/>
  <c r="J467" i="4"/>
  <c r="H467" i="4"/>
  <c r="L468" i="4"/>
  <c r="V468" i="3"/>
  <c r="K467" i="4"/>
  <c r="M467" i="4"/>
  <c r="W468" i="3"/>
  <c r="X468" i="3"/>
  <c r="Y468" i="3"/>
  <c r="Z468" i="3"/>
  <c r="AA468" i="3"/>
  <c r="AB468" i="3"/>
  <c r="AC468" i="3"/>
  <c r="AD468" i="3"/>
  <c r="C468" i="4"/>
  <c r="M469" i="3"/>
  <c r="G468" i="4"/>
  <c r="I468" i="4"/>
  <c r="J468" i="4"/>
  <c r="H468" i="4"/>
  <c r="O469" i="3"/>
  <c r="AI469" i="3"/>
  <c r="N469" i="3"/>
  <c r="P469" i="3"/>
  <c r="Q469" i="3"/>
  <c r="M468" i="4"/>
  <c r="K468" i="4"/>
  <c r="L469" i="4"/>
  <c r="V469" i="3"/>
  <c r="W469" i="3"/>
  <c r="X469" i="3"/>
  <c r="Y469" i="3"/>
  <c r="Z469" i="3"/>
  <c r="AA469" i="3"/>
  <c r="AB469" i="3"/>
  <c r="C469" i="4"/>
  <c r="AC469" i="3"/>
  <c r="AD469" i="3"/>
  <c r="M470" i="3"/>
  <c r="O470" i="3"/>
  <c r="N470" i="3"/>
  <c r="P470" i="3"/>
  <c r="Q470" i="3"/>
  <c r="AI470" i="3"/>
  <c r="G469" i="4"/>
  <c r="I469" i="4"/>
  <c r="J469" i="4"/>
  <c r="H469" i="4"/>
  <c r="K469" i="4"/>
  <c r="M469" i="4"/>
  <c r="L470" i="4"/>
  <c r="V470" i="3"/>
  <c r="W470" i="3"/>
  <c r="X470" i="3"/>
  <c r="Y470" i="3"/>
  <c r="Z470" i="3"/>
  <c r="AA470" i="3"/>
  <c r="AB470" i="3"/>
  <c r="M471" i="3"/>
  <c r="C470" i="4"/>
  <c r="AC470" i="3"/>
  <c r="AD470" i="3"/>
  <c r="G470" i="4"/>
  <c r="I470" i="4"/>
  <c r="J470" i="4"/>
  <c r="H470" i="4"/>
  <c r="N471" i="3"/>
  <c r="AI471" i="3"/>
  <c r="O471" i="3"/>
  <c r="P471" i="3"/>
  <c r="Q471" i="3"/>
  <c r="M470" i="4"/>
  <c r="K470" i="4"/>
  <c r="L471" i="4"/>
  <c r="V471" i="3"/>
  <c r="W471" i="3"/>
  <c r="X471" i="3"/>
  <c r="Y471" i="3"/>
  <c r="Z471" i="3"/>
  <c r="AA471" i="3"/>
  <c r="AB471" i="3"/>
  <c r="M472" i="3"/>
  <c r="C471" i="4"/>
  <c r="AC471" i="3"/>
  <c r="AD471" i="3"/>
  <c r="G471" i="4"/>
  <c r="I471" i="4"/>
  <c r="J471" i="4"/>
  <c r="H471" i="4"/>
  <c r="N472" i="3"/>
  <c r="AI472" i="3"/>
  <c r="O472" i="3"/>
  <c r="P472" i="3"/>
  <c r="Q472" i="3"/>
  <c r="K471" i="4"/>
  <c r="M471" i="4"/>
  <c r="L472" i="4"/>
  <c r="V472" i="3"/>
  <c r="W472" i="3"/>
  <c r="X472" i="3"/>
  <c r="Y472" i="3"/>
  <c r="Z472" i="3"/>
  <c r="AA472" i="3"/>
  <c r="AB472" i="3"/>
  <c r="AC472" i="3"/>
  <c r="AD472" i="3"/>
  <c r="M473" i="3"/>
  <c r="C472" i="4"/>
  <c r="G472" i="4"/>
  <c r="I472" i="4"/>
  <c r="J472" i="4"/>
  <c r="H472" i="4"/>
  <c r="AI473" i="3"/>
  <c r="O473" i="3"/>
  <c r="N473" i="3"/>
  <c r="P473" i="3"/>
  <c r="Q473" i="3"/>
  <c r="L473" i="4"/>
  <c r="V473" i="3"/>
  <c r="K472" i="4"/>
  <c r="M472" i="4"/>
  <c r="W473" i="3"/>
  <c r="X473" i="3"/>
  <c r="Y473" i="3"/>
  <c r="Z473" i="3"/>
  <c r="AA473" i="3"/>
  <c r="AB473" i="3"/>
  <c r="M474" i="3"/>
  <c r="AC473" i="3"/>
  <c r="AD473" i="3"/>
  <c r="C473" i="4"/>
  <c r="G473" i="4"/>
  <c r="I473" i="4"/>
  <c r="J473" i="4"/>
  <c r="H473" i="4"/>
  <c r="O474" i="3"/>
  <c r="AI474" i="3"/>
  <c r="N474" i="3"/>
  <c r="P474" i="3"/>
  <c r="Q474" i="3"/>
  <c r="L474" i="4"/>
  <c r="V474" i="3"/>
  <c r="K473" i="4"/>
  <c r="M473" i="4"/>
  <c r="W474" i="3"/>
  <c r="X474" i="3"/>
  <c r="Y474" i="3"/>
  <c r="Z474" i="3"/>
  <c r="AA474" i="3"/>
  <c r="AB474" i="3"/>
  <c r="M475" i="3"/>
  <c r="C474" i="4"/>
  <c r="AC474" i="3"/>
  <c r="AD474" i="3"/>
  <c r="G474" i="4"/>
  <c r="I474" i="4"/>
  <c r="J474" i="4"/>
  <c r="H474" i="4"/>
  <c r="O475" i="3"/>
  <c r="N475" i="3"/>
  <c r="P475" i="3"/>
  <c r="Q475" i="3"/>
  <c r="AI475" i="3"/>
  <c r="L475" i="4"/>
  <c r="V475" i="3"/>
  <c r="K474" i="4"/>
  <c r="M474" i="4"/>
  <c r="W475" i="3"/>
  <c r="X475" i="3"/>
  <c r="Y475" i="3"/>
  <c r="Z475" i="3"/>
  <c r="AA475" i="3"/>
  <c r="AB475" i="3"/>
  <c r="C475" i="4"/>
  <c r="AC475" i="3"/>
  <c r="AD475" i="3"/>
  <c r="M476" i="3"/>
  <c r="N476" i="3"/>
  <c r="AI476" i="3"/>
  <c r="O476" i="3"/>
  <c r="G475" i="4"/>
  <c r="I475" i="4"/>
  <c r="J475" i="4"/>
  <c r="H475" i="4"/>
  <c r="M475" i="4"/>
  <c r="K475" i="4"/>
  <c r="P476" i="3"/>
  <c r="Q476" i="3"/>
  <c r="L476" i="4"/>
  <c r="V476" i="3"/>
  <c r="W476" i="3"/>
  <c r="X476" i="3"/>
  <c r="Y476" i="3"/>
  <c r="Z476" i="3"/>
  <c r="AA476" i="3"/>
  <c r="AB476" i="3"/>
  <c r="AC476" i="3"/>
  <c r="AD476" i="3"/>
  <c r="M477" i="3"/>
  <c r="C476" i="4"/>
  <c r="AI477" i="3"/>
  <c r="N477" i="3"/>
  <c r="O477" i="3"/>
  <c r="G476" i="4"/>
  <c r="I476" i="4"/>
  <c r="J476" i="4"/>
  <c r="H476" i="4"/>
  <c r="P477" i="3"/>
  <c r="Q477" i="3"/>
  <c r="K476" i="4"/>
  <c r="M476" i="4"/>
  <c r="L477" i="4"/>
  <c r="V477" i="3"/>
  <c r="W477" i="3"/>
  <c r="X477" i="3"/>
  <c r="Y477" i="3"/>
  <c r="Z477" i="3"/>
  <c r="AA477" i="3"/>
  <c r="AB477" i="3"/>
  <c r="AC477" i="3"/>
  <c r="AD477" i="3"/>
  <c r="C477" i="4"/>
  <c r="M478" i="3"/>
  <c r="N478" i="3"/>
  <c r="AI478" i="3"/>
  <c r="O478" i="3"/>
  <c r="G477" i="4"/>
  <c r="I477" i="4"/>
  <c r="J477" i="4"/>
  <c r="H477" i="4"/>
  <c r="M477" i="4"/>
  <c r="K477" i="4"/>
  <c r="P478" i="3"/>
  <c r="Q478" i="3"/>
  <c r="L478" i="4"/>
  <c r="V478" i="3"/>
  <c r="W478" i="3"/>
  <c r="X478" i="3"/>
  <c r="Y478" i="3"/>
  <c r="Z478" i="3"/>
  <c r="AA478" i="3"/>
  <c r="AB478" i="3"/>
  <c r="M479" i="3"/>
  <c r="C478" i="4"/>
  <c r="AC478" i="3"/>
  <c r="AD478" i="3"/>
  <c r="G478" i="4"/>
  <c r="I478" i="4"/>
  <c r="J478" i="4"/>
  <c r="H478" i="4"/>
  <c r="AI479" i="3"/>
  <c r="N479" i="3"/>
  <c r="P479" i="3"/>
  <c r="Q479" i="3"/>
  <c r="O479" i="3"/>
  <c r="L479" i="4"/>
  <c r="V479" i="3"/>
  <c r="K478" i="4"/>
  <c r="M478" i="4"/>
  <c r="W479" i="3"/>
  <c r="X479" i="3"/>
  <c r="Y479" i="3"/>
  <c r="Z479" i="3"/>
  <c r="AA479" i="3"/>
  <c r="AB479" i="3"/>
  <c r="AC479" i="3"/>
  <c r="AD479" i="3"/>
  <c r="C479" i="4"/>
  <c r="M480" i="3"/>
  <c r="G479" i="4"/>
  <c r="I479" i="4"/>
  <c r="J479" i="4"/>
  <c r="H479" i="4"/>
  <c r="AI480" i="3"/>
  <c r="O480" i="3"/>
  <c r="N480" i="3"/>
  <c r="P480" i="3"/>
  <c r="Q480" i="3"/>
  <c r="L480" i="4"/>
  <c r="V480" i="3"/>
  <c r="M479" i="4"/>
  <c r="K479" i="4"/>
  <c r="W480" i="3"/>
  <c r="X480" i="3"/>
  <c r="Y480" i="3"/>
  <c r="Z480" i="3"/>
  <c r="AA480" i="3"/>
  <c r="AB480" i="3"/>
  <c r="AC480" i="3"/>
  <c r="AD480" i="3"/>
  <c r="C480" i="4"/>
  <c r="M481" i="3"/>
  <c r="AI481" i="3"/>
  <c r="N481" i="3"/>
  <c r="O481" i="3"/>
  <c r="G480" i="4"/>
  <c r="I480" i="4"/>
  <c r="J480" i="4"/>
  <c r="H480" i="4"/>
  <c r="M480" i="4"/>
  <c r="K480" i="4"/>
  <c r="P481" i="3"/>
  <c r="Q481" i="3"/>
  <c r="L481" i="4"/>
  <c r="V481" i="3"/>
  <c r="W481" i="3"/>
  <c r="X481" i="3"/>
  <c r="Y481" i="3"/>
  <c r="Z481" i="3"/>
  <c r="AA481" i="3"/>
  <c r="AB481" i="3"/>
  <c r="M482" i="3"/>
  <c r="C481" i="4"/>
  <c r="AC481" i="3"/>
  <c r="AD481" i="3"/>
  <c r="G481" i="4"/>
  <c r="I481" i="4"/>
  <c r="J481" i="4"/>
  <c r="H481" i="4"/>
  <c r="N482" i="3"/>
  <c r="AI482" i="3"/>
  <c r="O482" i="3"/>
  <c r="P482" i="3"/>
  <c r="Q482" i="3"/>
  <c r="K481" i="4"/>
  <c r="M481" i="4"/>
  <c r="L482" i="4"/>
  <c r="V482" i="3"/>
  <c r="W482" i="3"/>
  <c r="X482" i="3"/>
  <c r="Y482" i="3"/>
  <c r="Z482" i="3"/>
  <c r="AA482" i="3"/>
  <c r="AB482" i="3"/>
  <c r="AC482" i="3"/>
  <c r="AD482" i="3"/>
  <c r="C482" i="4"/>
  <c r="M483" i="3"/>
  <c r="AI483" i="3"/>
  <c r="O483" i="3"/>
  <c r="N483" i="3"/>
  <c r="P483" i="3"/>
  <c r="Q483" i="3"/>
  <c r="G482" i="4"/>
  <c r="I482" i="4"/>
  <c r="J482" i="4"/>
  <c r="H482" i="4"/>
  <c r="L483" i="4"/>
  <c r="V483" i="3"/>
  <c r="M482" i="4"/>
  <c r="K482" i="4"/>
  <c r="W483" i="3"/>
  <c r="X483" i="3"/>
  <c r="Y483" i="3"/>
  <c r="Z483" i="3"/>
  <c r="AA483" i="3"/>
  <c r="AB483" i="3"/>
  <c r="M484" i="3"/>
  <c r="C483" i="4"/>
  <c r="AC483" i="3"/>
  <c r="AD483" i="3"/>
  <c r="G483" i="4"/>
  <c r="I483" i="4"/>
  <c r="J483" i="4"/>
  <c r="H483" i="4"/>
  <c r="O484" i="3"/>
  <c r="N484" i="3"/>
  <c r="P484" i="3"/>
  <c r="Q484" i="3"/>
  <c r="AI484" i="3"/>
  <c r="L484" i="4"/>
  <c r="V484" i="3"/>
  <c r="K483" i="4"/>
  <c r="M483" i="4"/>
  <c r="W484" i="3"/>
  <c r="X484" i="3"/>
  <c r="Y484" i="3"/>
  <c r="Z484" i="3"/>
  <c r="AA484" i="3"/>
  <c r="AB484" i="3"/>
  <c r="C484" i="4"/>
  <c r="AC484" i="3"/>
  <c r="AD484" i="3"/>
  <c r="M485" i="3"/>
  <c r="O485" i="3"/>
  <c r="N485" i="3"/>
  <c r="AI485" i="3"/>
  <c r="G484" i="4"/>
  <c r="I484" i="4"/>
  <c r="J484" i="4"/>
  <c r="H484" i="4"/>
  <c r="M484" i="4"/>
  <c r="K484" i="4"/>
  <c r="P485" i="3"/>
  <c r="Q485" i="3"/>
  <c r="L485" i="4"/>
  <c r="V485" i="3"/>
  <c r="W485" i="3"/>
  <c r="X485" i="3"/>
  <c r="Y485" i="3"/>
  <c r="Z485" i="3"/>
  <c r="AA485" i="3"/>
  <c r="AB485" i="3"/>
  <c r="M486" i="3"/>
  <c r="C485" i="4"/>
  <c r="AC485" i="3"/>
  <c r="AD485" i="3"/>
  <c r="G485" i="4"/>
  <c r="I485" i="4"/>
  <c r="J485" i="4"/>
  <c r="H485" i="4"/>
  <c r="N486" i="3"/>
  <c r="O486" i="3"/>
  <c r="AI486" i="3"/>
  <c r="P486" i="3"/>
  <c r="Q486" i="3"/>
  <c r="K485" i="4"/>
  <c r="M485" i="4"/>
  <c r="L486" i="4"/>
  <c r="V486" i="3"/>
  <c r="W486" i="3"/>
  <c r="X486" i="3"/>
  <c r="Y486" i="3"/>
  <c r="Z486" i="3"/>
  <c r="AA486" i="3"/>
  <c r="AB486" i="3"/>
  <c r="M487" i="3"/>
  <c r="AC486" i="3"/>
  <c r="AD486" i="3"/>
  <c r="C486" i="4"/>
  <c r="G486" i="4"/>
  <c r="I486" i="4"/>
  <c r="J486" i="4"/>
  <c r="H486" i="4"/>
  <c r="O487" i="3"/>
  <c r="N487" i="3"/>
  <c r="P487" i="3"/>
  <c r="Q487" i="3"/>
  <c r="AI487" i="3"/>
  <c r="L487" i="4"/>
  <c r="V487" i="3"/>
  <c r="K486" i="4"/>
  <c r="M486" i="4"/>
  <c r="W487" i="3"/>
  <c r="X487" i="3"/>
  <c r="Y487" i="3"/>
  <c r="Z487" i="3"/>
  <c r="AA487" i="3"/>
  <c r="AB487" i="3"/>
  <c r="AC487" i="3"/>
  <c r="AD487" i="3"/>
  <c r="M488" i="3"/>
  <c r="C487" i="4"/>
  <c r="G487" i="4"/>
  <c r="I487" i="4"/>
  <c r="J487" i="4"/>
  <c r="H487" i="4"/>
  <c r="AI488" i="3"/>
  <c r="O488" i="3"/>
  <c r="N488" i="3"/>
  <c r="P488" i="3"/>
  <c r="Q488" i="3"/>
  <c r="L488" i="4"/>
  <c r="V488" i="3"/>
  <c r="M487" i="4"/>
  <c r="K487" i="4"/>
  <c r="W488" i="3"/>
  <c r="X488" i="3"/>
  <c r="Y488" i="3"/>
  <c r="Z488" i="3"/>
  <c r="AA488" i="3"/>
  <c r="AB488" i="3"/>
  <c r="M489" i="3"/>
  <c r="AC488" i="3"/>
  <c r="AD488" i="3"/>
  <c r="C488" i="4"/>
  <c r="G488" i="4"/>
  <c r="I488" i="4"/>
  <c r="J488" i="4"/>
  <c r="H488" i="4"/>
  <c r="N489" i="3"/>
  <c r="AI489" i="3"/>
  <c r="O489" i="3"/>
  <c r="P489" i="3"/>
  <c r="Q489" i="3"/>
  <c r="M488" i="4"/>
  <c r="K488" i="4"/>
  <c r="L489" i="4"/>
  <c r="V489" i="3"/>
  <c r="W489" i="3"/>
  <c r="X489" i="3"/>
  <c r="Y489" i="3"/>
  <c r="Z489" i="3"/>
  <c r="AA489" i="3"/>
  <c r="AB489" i="3"/>
  <c r="C489" i="4"/>
  <c r="M490" i="3"/>
  <c r="AC489" i="3"/>
  <c r="AD489" i="3"/>
  <c r="N490" i="3"/>
  <c r="AI490" i="3"/>
  <c r="O490" i="3"/>
  <c r="G489" i="4"/>
  <c r="I489" i="4"/>
  <c r="J489" i="4"/>
  <c r="H489" i="4"/>
  <c r="K489" i="4"/>
  <c r="M489" i="4"/>
  <c r="P490" i="3"/>
  <c r="Q490" i="3"/>
  <c r="L490" i="4"/>
  <c r="C36" i="5"/>
  <c r="N36" i="5"/>
  <c r="V490" i="3"/>
  <c r="W490" i="3"/>
  <c r="X490" i="3"/>
  <c r="Y490" i="3"/>
  <c r="Z490" i="3"/>
  <c r="AA490" i="3"/>
  <c r="AB490" i="3"/>
  <c r="AC490" i="3"/>
  <c r="AD490" i="3"/>
  <c r="M491" i="3"/>
  <c r="C490" i="4"/>
  <c r="G490" i="4"/>
  <c r="I490" i="4"/>
  <c r="J490" i="4"/>
  <c r="H490" i="4"/>
  <c r="O491" i="3"/>
  <c r="AI491" i="3"/>
  <c r="N491" i="3"/>
  <c r="P491" i="3"/>
  <c r="Q491" i="3"/>
  <c r="L491" i="4"/>
  <c r="V491" i="3"/>
  <c r="D36" i="5"/>
  <c r="K490" i="4"/>
  <c r="E36" i="5"/>
  <c r="M490" i="4"/>
  <c r="W491" i="3"/>
  <c r="X491" i="3"/>
  <c r="Y491" i="3"/>
  <c r="Z491" i="3"/>
  <c r="AA491" i="3"/>
  <c r="AB491" i="3"/>
  <c r="M492" i="3"/>
  <c r="AC491" i="3"/>
  <c r="AD491" i="3"/>
  <c r="C491" i="4"/>
  <c r="G491" i="4"/>
  <c r="I491" i="4"/>
  <c r="J491" i="4"/>
  <c r="H491" i="4"/>
  <c r="N492" i="3"/>
  <c r="O492" i="3"/>
  <c r="AI492" i="3"/>
  <c r="P492" i="3"/>
  <c r="Q492" i="3"/>
  <c r="M491" i="4"/>
  <c r="K491" i="4"/>
  <c r="L492" i="4"/>
  <c r="V492" i="3"/>
  <c r="W492" i="3"/>
  <c r="X492" i="3"/>
  <c r="Y492" i="3"/>
  <c r="Z492" i="3"/>
  <c r="AA492" i="3"/>
  <c r="AB492" i="3"/>
  <c r="M493" i="3"/>
  <c r="AC492" i="3"/>
  <c r="AD492" i="3"/>
  <c r="C492" i="4"/>
  <c r="G492" i="4"/>
  <c r="I492" i="4"/>
  <c r="J492" i="4"/>
  <c r="H492" i="4"/>
  <c r="O493" i="3"/>
  <c r="N493" i="3"/>
  <c r="P493" i="3"/>
  <c r="Q493" i="3"/>
  <c r="AI493" i="3"/>
  <c r="L493" i="4"/>
  <c r="V493" i="3"/>
  <c r="M492" i="4"/>
  <c r="K492" i="4"/>
  <c r="W493" i="3"/>
  <c r="X493" i="3"/>
  <c r="Y493" i="3"/>
  <c r="Z493" i="3"/>
  <c r="AA493" i="3"/>
  <c r="AB493" i="3"/>
  <c r="C493" i="4"/>
  <c r="M494" i="3"/>
  <c r="AC493" i="3"/>
  <c r="AD493" i="3"/>
  <c r="N494" i="3"/>
  <c r="AI494" i="3"/>
  <c r="O494" i="3"/>
  <c r="G493" i="4"/>
  <c r="I493" i="4"/>
  <c r="J493" i="4"/>
  <c r="H493" i="4"/>
  <c r="M493" i="4"/>
  <c r="K493" i="4"/>
  <c r="P494" i="3"/>
  <c r="Q494" i="3"/>
  <c r="L494" i="4"/>
  <c r="V494" i="3"/>
  <c r="W494" i="3"/>
  <c r="X494" i="3"/>
  <c r="Y494" i="3"/>
  <c r="Z494" i="3"/>
  <c r="AA494" i="3"/>
  <c r="AB494" i="3"/>
  <c r="M495" i="3"/>
  <c r="C494" i="4"/>
  <c r="AC494" i="3"/>
  <c r="AD494" i="3"/>
  <c r="G494" i="4"/>
  <c r="I494" i="4"/>
  <c r="J494" i="4"/>
  <c r="H494" i="4"/>
  <c r="O495" i="3"/>
  <c r="N495" i="3"/>
  <c r="P495" i="3"/>
  <c r="Q495" i="3"/>
  <c r="AI495" i="3"/>
  <c r="L495" i="4"/>
  <c r="V495" i="3"/>
  <c r="M494" i="4"/>
  <c r="K494" i="4"/>
  <c r="W495" i="3"/>
  <c r="X495" i="3"/>
  <c r="Y495" i="3"/>
  <c r="Z495" i="3"/>
  <c r="AA495" i="3"/>
  <c r="AB495" i="3"/>
  <c r="AC495" i="3"/>
  <c r="AD495" i="3"/>
  <c r="C495" i="4"/>
  <c r="M496" i="3"/>
  <c r="G495" i="4"/>
  <c r="I495" i="4"/>
  <c r="J495" i="4"/>
  <c r="H495" i="4"/>
  <c r="AI496" i="3"/>
  <c r="N496" i="3"/>
  <c r="O496" i="3"/>
  <c r="P496" i="3"/>
  <c r="Q496" i="3"/>
  <c r="K495" i="4"/>
  <c r="M495" i="4"/>
  <c r="L496" i="4"/>
  <c r="V496" i="3"/>
  <c r="W496" i="3"/>
  <c r="X496" i="3"/>
  <c r="Y496" i="3"/>
  <c r="Z496" i="3"/>
  <c r="AA496" i="3"/>
  <c r="AB496" i="3"/>
  <c r="C496" i="4"/>
  <c r="M497" i="3"/>
  <c r="AC496" i="3"/>
  <c r="AD496" i="3"/>
  <c r="N497" i="3"/>
  <c r="P497" i="3"/>
  <c r="Q497" i="3"/>
  <c r="O497" i="3"/>
  <c r="AI497" i="3"/>
  <c r="G496" i="4"/>
  <c r="I496" i="4"/>
  <c r="J496" i="4"/>
  <c r="H496" i="4"/>
  <c r="K496" i="4"/>
  <c r="M496" i="4"/>
  <c r="L497" i="4"/>
  <c r="V497" i="3"/>
  <c r="W497" i="3"/>
  <c r="X497" i="3"/>
  <c r="Y497" i="3"/>
  <c r="Z497" i="3"/>
  <c r="AA497" i="3"/>
  <c r="AB497" i="3"/>
  <c r="AC497" i="3"/>
  <c r="AD497" i="3"/>
  <c r="M498" i="3"/>
  <c r="C497" i="4"/>
  <c r="G497" i="4"/>
  <c r="I497" i="4"/>
  <c r="J497" i="4"/>
  <c r="H497" i="4"/>
  <c r="N498" i="3"/>
  <c r="O498" i="3"/>
  <c r="AI498" i="3"/>
  <c r="P498" i="3"/>
  <c r="Q498" i="3"/>
  <c r="M497" i="4"/>
  <c r="K497" i="4"/>
  <c r="L498" i="4"/>
  <c r="V498" i="3"/>
  <c r="W498" i="3"/>
  <c r="X498" i="3"/>
  <c r="Y498" i="3"/>
  <c r="Z498" i="3"/>
  <c r="AA498" i="3"/>
  <c r="AB498" i="3"/>
  <c r="C498" i="4"/>
  <c r="M499" i="3"/>
  <c r="AC498" i="3"/>
  <c r="AD498" i="3"/>
  <c r="N499" i="3"/>
  <c r="O499" i="3"/>
  <c r="AI499" i="3"/>
  <c r="G498" i="4"/>
  <c r="I498" i="4"/>
  <c r="J498" i="4"/>
  <c r="H498" i="4"/>
  <c r="M498" i="4"/>
  <c r="K498" i="4"/>
  <c r="P499" i="3"/>
  <c r="Q499" i="3"/>
  <c r="L499" i="4"/>
  <c r="V499" i="3"/>
  <c r="W499" i="3"/>
  <c r="X499" i="3"/>
  <c r="Y499" i="3"/>
  <c r="Z499" i="3"/>
  <c r="AA499" i="3"/>
  <c r="AB499" i="3"/>
  <c r="C499" i="4"/>
  <c r="M500" i="3"/>
  <c r="AC499" i="3"/>
  <c r="AD499" i="3"/>
  <c r="O500" i="3"/>
  <c r="N500" i="3"/>
  <c r="P500" i="3"/>
  <c r="Q500" i="3"/>
  <c r="AI500" i="3"/>
  <c r="G499" i="4"/>
  <c r="I499" i="4"/>
  <c r="J499" i="4"/>
  <c r="H499" i="4"/>
  <c r="K499" i="4"/>
  <c r="M499" i="4"/>
  <c r="L500" i="4"/>
  <c r="V500" i="3"/>
  <c r="W500" i="3"/>
  <c r="X500" i="3"/>
  <c r="Y500" i="3"/>
  <c r="Z500" i="3"/>
  <c r="AA500" i="3"/>
  <c r="AB500" i="3"/>
  <c r="M501" i="3"/>
  <c r="AC500" i="3"/>
  <c r="AD500" i="3"/>
  <c r="C500" i="4"/>
  <c r="G500" i="4"/>
  <c r="I500" i="4"/>
  <c r="J500" i="4"/>
  <c r="H500" i="4"/>
  <c r="N501" i="3"/>
  <c r="AI501" i="3"/>
  <c r="O501" i="3"/>
  <c r="P501" i="3"/>
  <c r="Q501" i="3"/>
  <c r="M500" i="4"/>
  <c r="K500" i="4"/>
  <c r="L501" i="4"/>
  <c r="V501" i="3"/>
  <c r="W501" i="3"/>
  <c r="X501" i="3"/>
  <c r="Y501" i="3"/>
  <c r="Z501" i="3"/>
  <c r="AA501" i="3"/>
  <c r="AB501" i="3"/>
  <c r="C501" i="4"/>
  <c r="M502" i="3"/>
  <c r="AC501" i="3"/>
  <c r="AD501" i="3"/>
  <c r="O502" i="3"/>
  <c r="N502" i="3"/>
  <c r="P502" i="3"/>
  <c r="Q502" i="3"/>
  <c r="AI502" i="3"/>
  <c r="G501" i="4"/>
  <c r="I501" i="4"/>
  <c r="J501" i="4"/>
  <c r="H501" i="4"/>
  <c r="M501" i="4"/>
  <c r="K501" i="4"/>
  <c r="L502" i="4"/>
  <c r="V502" i="3"/>
  <c r="W502" i="3"/>
  <c r="X502" i="3"/>
  <c r="Y502" i="3"/>
  <c r="Z502" i="3"/>
  <c r="AA502" i="3"/>
  <c r="AB502" i="3"/>
  <c r="M503" i="3"/>
  <c r="C502" i="4"/>
  <c r="AC502" i="3"/>
  <c r="AD502" i="3"/>
  <c r="G502" i="4"/>
  <c r="I502" i="4"/>
  <c r="J502" i="4"/>
  <c r="H502" i="4"/>
  <c r="O503" i="3"/>
  <c r="N503" i="3"/>
  <c r="P503" i="3"/>
  <c r="Q503" i="3"/>
  <c r="AI503" i="3"/>
  <c r="L503" i="4"/>
  <c r="V503" i="3"/>
  <c r="K502" i="4"/>
  <c r="M502" i="4"/>
  <c r="W503" i="3"/>
  <c r="X503" i="3"/>
  <c r="Y503" i="3"/>
  <c r="Z503" i="3"/>
  <c r="AA503" i="3"/>
  <c r="AB503" i="3"/>
  <c r="C503" i="4"/>
  <c r="AC503" i="3"/>
  <c r="AD503" i="3"/>
  <c r="M504" i="3"/>
  <c r="O504" i="3"/>
  <c r="N504" i="3"/>
  <c r="P504" i="3"/>
  <c r="Q504" i="3"/>
  <c r="AI504" i="3"/>
  <c r="G503" i="4"/>
  <c r="I503" i="4"/>
  <c r="J503" i="4"/>
  <c r="H503" i="4"/>
  <c r="K503" i="4"/>
  <c r="M503" i="4"/>
  <c r="L504" i="4"/>
  <c r="V504" i="3"/>
  <c r="W504" i="3"/>
  <c r="X504" i="3"/>
  <c r="Y504" i="3"/>
  <c r="Z504" i="3"/>
  <c r="AA504" i="3"/>
  <c r="AB504" i="3"/>
  <c r="AC504" i="3"/>
  <c r="AD504" i="3"/>
  <c r="M505" i="3"/>
  <c r="C504" i="4"/>
  <c r="G504" i="4"/>
  <c r="I504" i="4"/>
  <c r="J504" i="4"/>
  <c r="H504" i="4"/>
  <c r="O505" i="3"/>
  <c r="AI505" i="3"/>
  <c r="N505" i="3"/>
  <c r="P505" i="3"/>
  <c r="Q505" i="3"/>
  <c r="L505" i="4"/>
  <c r="V505" i="3"/>
  <c r="M504" i="4"/>
  <c r="K504" i="4"/>
  <c r="W505" i="3"/>
  <c r="X505" i="3"/>
  <c r="Y505" i="3"/>
  <c r="Z505" i="3"/>
  <c r="AA505" i="3"/>
  <c r="AB505" i="3"/>
  <c r="AC505" i="3"/>
  <c r="AD505" i="3"/>
  <c r="C505" i="4"/>
  <c r="M506" i="3"/>
  <c r="O506" i="3"/>
  <c r="N506" i="3"/>
  <c r="P506" i="3"/>
  <c r="Q506" i="3"/>
  <c r="AI506" i="3"/>
  <c r="G505" i="4"/>
  <c r="I505" i="4"/>
  <c r="J505" i="4"/>
  <c r="H505" i="4"/>
  <c r="L506" i="4"/>
  <c r="V506" i="3"/>
  <c r="M505" i="4"/>
  <c r="K505" i="4"/>
  <c r="W506" i="3"/>
  <c r="X506" i="3"/>
  <c r="Y506" i="3"/>
  <c r="Z506" i="3"/>
  <c r="AA506" i="3"/>
  <c r="AB506" i="3"/>
  <c r="C506" i="4"/>
  <c r="M507" i="3"/>
  <c r="AC506" i="3"/>
  <c r="AD506" i="3"/>
  <c r="AI507" i="3"/>
  <c r="O507" i="3"/>
  <c r="N507" i="3"/>
  <c r="P507" i="3"/>
  <c r="Q507" i="3"/>
  <c r="G506" i="4"/>
  <c r="I506" i="4"/>
  <c r="J506" i="4"/>
  <c r="H506" i="4"/>
  <c r="L507" i="4"/>
  <c r="V507" i="3"/>
  <c r="M506" i="4"/>
  <c r="K506" i="4"/>
  <c r="W507" i="3"/>
  <c r="X507" i="3"/>
  <c r="Y507" i="3"/>
  <c r="Z507" i="3"/>
  <c r="AA507" i="3"/>
  <c r="AB507" i="3"/>
  <c r="C507" i="4"/>
  <c r="M508" i="3"/>
  <c r="AC507" i="3"/>
  <c r="AD507" i="3"/>
  <c r="N508" i="3"/>
  <c r="O508" i="3"/>
  <c r="AI508" i="3"/>
  <c r="G507" i="4"/>
  <c r="I507" i="4"/>
  <c r="J507" i="4"/>
  <c r="H507" i="4"/>
  <c r="M507" i="4"/>
  <c r="K507" i="4"/>
  <c r="P508" i="3"/>
  <c r="Q508" i="3"/>
  <c r="L508" i="4"/>
  <c r="V508" i="3"/>
  <c r="W508" i="3"/>
  <c r="X508" i="3"/>
  <c r="Y508" i="3"/>
  <c r="Z508" i="3"/>
  <c r="AA508" i="3"/>
  <c r="AB508" i="3"/>
  <c r="M509" i="3"/>
  <c r="C508" i="4"/>
  <c r="AC508" i="3"/>
  <c r="AD508" i="3"/>
  <c r="G508" i="4"/>
  <c r="I508" i="4"/>
  <c r="J508" i="4"/>
  <c r="H508" i="4"/>
  <c r="N509" i="3"/>
  <c r="O509" i="3"/>
  <c r="AI509" i="3"/>
  <c r="P509" i="3"/>
  <c r="Q509" i="3"/>
  <c r="K508" i="4"/>
  <c r="M508" i="4"/>
  <c r="L509" i="4"/>
  <c r="V509" i="3"/>
  <c r="W509" i="3"/>
  <c r="X509" i="3"/>
  <c r="Y509" i="3"/>
  <c r="Z509" i="3"/>
  <c r="AA509" i="3"/>
  <c r="AB509" i="3"/>
  <c r="AC509" i="3"/>
  <c r="AD509" i="3"/>
  <c r="C509" i="4"/>
  <c r="M510" i="3"/>
  <c r="O510" i="3"/>
  <c r="AI510" i="3"/>
  <c r="N510" i="3"/>
  <c r="P510" i="3"/>
  <c r="Q510" i="3"/>
  <c r="G509" i="4"/>
  <c r="I509" i="4"/>
  <c r="J509" i="4"/>
  <c r="H509" i="4"/>
  <c r="L510" i="4"/>
  <c r="V510" i="3"/>
  <c r="K509" i="4"/>
  <c r="M509" i="4"/>
  <c r="W510" i="3"/>
  <c r="X510" i="3"/>
  <c r="Y510" i="3"/>
  <c r="Z510" i="3"/>
  <c r="AA510" i="3"/>
  <c r="AB510" i="3"/>
  <c r="C510" i="4"/>
  <c r="M511" i="3"/>
  <c r="AC510" i="3"/>
  <c r="AD510" i="3"/>
  <c r="O511" i="3"/>
  <c r="N511" i="3"/>
  <c r="P511" i="3"/>
  <c r="Q511" i="3"/>
  <c r="AI511" i="3"/>
  <c r="G510" i="4"/>
  <c r="I510" i="4"/>
  <c r="J510" i="4"/>
  <c r="H510" i="4"/>
  <c r="M510" i="4"/>
  <c r="K510" i="4"/>
  <c r="L511" i="4"/>
  <c r="V511" i="3"/>
  <c r="W511" i="3"/>
  <c r="X511" i="3"/>
  <c r="Y511" i="3"/>
  <c r="Z511" i="3"/>
  <c r="AA511" i="3"/>
  <c r="AB511" i="3"/>
  <c r="M512" i="3"/>
  <c r="C511" i="4"/>
  <c r="AC511" i="3"/>
  <c r="AD511" i="3"/>
  <c r="G511" i="4"/>
  <c r="I511" i="4"/>
  <c r="J511" i="4"/>
  <c r="H511" i="4"/>
  <c r="N512" i="3"/>
  <c r="O512" i="3"/>
  <c r="AI512" i="3"/>
  <c r="P512" i="3"/>
  <c r="Q512" i="3"/>
  <c r="K511" i="4"/>
  <c r="M511" i="4"/>
  <c r="L512" i="4"/>
  <c r="V512" i="3"/>
  <c r="W512" i="3"/>
  <c r="X512" i="3"/>
  <c r="Y512" i="3"/>
  <c r="Z512" i="3"/>
  <c r="AA512" i="3"/>
  <c r="AB512" i="3"/>
  <c r="M513" i="3"/>
  <c r="AC512" i="3"/>
  <c r="AD512" i="3"/>
  <c r="C512" i="4"/>
  <c r="G512" i="4"/>
  <c r="I512" i="4"/>
  <c r="J512" i="4"/>
  <c r="H512" i="4"/>
  <c r="O513" i="3"/>
  <c r="AI513" i="3"/>
  <c r="N513" i="3"/>
  <c r="P513" i="3"/>
  <c r="Q513" i="3"/>
  <c r="L513" i="4"/>
  <c r="V513" i="3"/>
  <c r="K512" i="4"/>
  <c r="M512" i="4"/>
  <c r="W513" i="3"/>
  <c r="X513" i="3"/>
  <c r="Y513" i="3"/>
  <c r="Z513" i="3"/>
  <c r="AA513" i="3"/>
  <c r="AB513" i="3"/>
  <c r="AC513" i="3"/>
  <c r="AD513" i="3"/>
  <c r="C513" i="4"/>
  <c r="M514" i="3"/>
  <c r="N514" i="3"/>
  <c r="P514" i="3"/>
  <c r="Q514" i="3"/>
  <c r="O514" i="3"/>
  <c r="AI514" i="3"/>
  <c r="G513" i="4"/>
  <c r="I513" i="4"/>
  <c r="J513" i="4"/>
  <c r="H513" i="4"/>
  <c r="K513" i="4"/>
  <c r="M513" i="4"/>
  <c r="L514" i="4"/>
  <c r="V514" i="3"/>
  <c r="W514" i="3"/>
  <c r="X514" i="3"/>
  <c r="Y514" i="3"/>
  <c r="Z514" i="3"/>
  <c r="AA514" i="3"/>
  <c r="AB514" i="3"/>
  <c r="AC514" i="3"/>
  <c r="AD514" i="3"/>
  <c r="C514" i="4"/>
  <c r="M515" i="3"/>
  <c r="O515" i="3"/>
  <c r="N515" i="3"/>
  <c r="P515" i="3"/>
  <c r="Q515" i="3"/>
  <c r="AI515" i="3"/>
  <c r="G514" i="4"/>
  <c r="I514" i="4"/>
  <c r="J514" i="4"/>
  <c r="H514" i="4"/>
  <c r="L515" i="4"/>
  <c r="V515" i="3"/>
  <c r="K514" i="4"/>
  <c r="M514" i="4"/>
  <c r="W515" i="3"/>
  <c r="X515" i="3"/>
  <c r="Y515" i="3"/>
  <c r="Z515" i="3"/>
  <c r="AA515" i="3"/>
  <c r="AB515" i="3"/>
  <c r="C515" i="4"/>
  <c r="M516" i="3"/>
  <c r="AC515" i="3"/>
  <c r="AD515" i="3"/>
  <c r="O516" i="3"/>
  <c r="N516" i="3"/>
  <c r="P516" i="3"/>
  <c r="Q516" i="3"/>
  <c r="AI516" i="3"/>
  <c r="G515" i="4"/>
  <c r="I515" i="4"/>
  <c r="J515" i="4"/>
  <c r="H515" i="4"/>
  <c r="M515" i="4"/>
  <c r="K515" i="4"/>
  <c r="L516" i="4"/>
  <c r="V516" i="3"/>
  <c r="W516" i="3"/>
  <c r="X516" i="3"/>
  <c r="Y516" i="3"/>
  <c r="Z516" i="3"/>
  <c r="AA516" i="3"/>
  <c r="AB516" i="3"/>
  <c r="AC516" i="3"/>
  <c r="AD516" i="3"/>
  <c r="C516" i="4"/>
  <c r="M517" i="3"/>
  <c r="N517" i="3"/>
  <c r="O517" i="3"/>
  <c r="AI517" i="3"/>
  <c r="G516" i="4"/>
  <c r="I516" i="4"/>
  <c r="J516" i="4"/>
  <c r="H516" i="4"/>
  <c r="M516" i="4"/>
  <c r="K516" i="4"/>
  <c r="P517" i="3"/>
  <c r="Q517" i="3"/>
  <c r="L517" i="4"/>
  <c r="V517" i="3"/>
  <c r="W517" i="3"/>
  <c r="X517" i="3"/>
  <c r="Y517" i="3"/>
  <c r="Z517" i="3"/>
  <c r="AA517" i="3"/>
  <c r="AB517" i="3"/>
  <c r="C517" i="4"/>
  <c r="M518" i="3"/>
  <c r="AC517" i="3"/>
  <c r="AD517" i="3"/>
  <c r="N518" i="3"/>
  <c r="O518" i="3"/>
  <c r="AI518" i="3"/>
  <c r="G517" i="4"/>
  <c r="I517" i="4"/>
  <c r="J517" i="4"/>
  <c r="H517" i="4"/>
  <c r="M517" i="4"/>
  <c r="K517" i="4"/>
  <c r="P518" i="3"/>
  <c r="Q518" i="3"/>
  <c r="L518" i="4"/>
  <c r="V518" i="3"/>
  <c r="W518" i="3"/>
  <c r="X518" i="3"/>
  <c r="Y518" i="3"/>
  <c r="Z518" i="3"/>
  <c r="AA518" i="3"/>
  <c r="AB518" i="3"/>
  <c r="AC518" i="3"/>
  <c r="AD518" i="3"/>
  <c r="M519" i="3"/>
  <c r="C518" i="4"/>
  <c r="G518" i="4"/>
  <c r="I518" i="4"/>
  <c r="J518" i="4"/>
  <c r="H518" i="4"/>
  <c r="O519" i="3"/>
  <c r="N519" i="3"/>
  <c r="P519" i="3"/>
  <c r="Q519" i="3"/>
  <c r="AI519" i="3"/>
  <c r="L519" i="4"/>
  <c r="V519" i="3"/>
  <c r="K518" i="4"/>
  <c r="M518" i="4"/>
  <c r="W519" i="3"/>
  <c r="X519" i="3"/>
  <c r="Y519" i="3"/>
  <c r="Z519" i="3"/>
  <c r="AA519" i="3"/>
  <c r="AB519" i="3"/>
  <c r="AC519" i="3"/>
  <c r="AD519" i="3"/>
  <c r="M520" i="3"/>
  <c r="C519" i="4"/>
  <c r="G519" i="4"/>
  <c r="I519" i="4"/>
  <c r="J519" i="4"/>
  <c r="H519" i="4"/>
  <c r="O520" i="3"/>
  <c r="AI520" i="3"/>
  <c r="N520" i="3"/>
  <c r="P520" i="3"/>
  <c r="Q520" i="3"/>
  <c r="L520" i="4"/>
  <c r="V520" i="3"/>
  <c r="M519" i="4"/>
  <c r="K519" i="4"/>
  <c r="W520" i="3"/>
  <c r="X520" i="3"/>
  <c r="Y520" i="3"/>
  <c r="Z520" i="3"/>
  <c r="AA520" i="3"/>
  <c r="AB520" i="3"/>
  <c r="AC520" i="3"/>
  <c r="AD520" i="3"/>
  <c r="M521" i="3"/>
  <c r="C520" i="4"/>
  <c r="O521" i="3"/>
  <c r="N521" i="3"/>
  <c r="P521" i="3"/>
  <c r="Q521" i="3"/>
  <c r="AI521" i="3"/>
  <c r="G520" i="4"/>
  <c r="I520" i="4"/>
  <c r="J520" i="4"/>
  <c r="H520" i="4"/>
  <c r="L521" i="4"/>
  <c r="V521" i="3"/>
  <c r="K520" i="4"/>
  <c r="M520" i="4"/>
  <c r="W521" i="3"/>
  <c r="X521" i="3"/>
  <c r="Y521" i="3"/>
  <c r="Z521" i="3"/>
  <c r="AA521" i="3"/>
  <c r="AB521" i="3"/>
  <c r="AC521" i="3"/>
  <c r="AD521" i="3"/>
  <c r="M522" i="3"/>
  <c r="C521" i="4"/>
  <c r="G521" i="4"/>
  <c r="I521" i="4"/>
  <c r="J521" i="4"/>
  <c r="H521" i="4"/>
  <c r="N522" i="3"/>
  <c r="O522" i="3"/>
  <c r="AI522" i="3"/>
  <c r="P522" i="3"/>
  <c r="Q522" i="3"/>
  <c r="K521" i="4"/>
  <c r="M521" i="4"/>
  <c r="L522" i="4"/>
  <c r="V522" i="3"/>
  <c r="W522" i="3"/>
  <c r="X522" i="3"/>
  <c r="Y522" i="3"/>
  <c r="Z522" i="3"/>
  <c r="AA522" i="3"/>
  <c r="AB522" i="3"/>
  <c r="C522" i="4"/>
  <c r="M523" i="3"/>
  <c r="AC522" i="3"/>
  <c r="AD522" i="3"/>
  <c r="N523" i="3"/>
  <c r="O523" i="3"/>
  <c r="AI523" i="3"/>
  <c r="G522" i="4"/>
  <c r="I522" i="4"/>
  <c r="J522" i="4"/>
  <c r="H522" i="4"/>
  <c r="M522" i="4"/>
  <c r="K522" i="4"/>
  <c r="P523" i="3"/>
  <c r="Q523" i="3"/>
  <c r="L523" i="4"/>
  <c r="V523" i="3"/>
  <c r="W523" i="3"/>
  <c r="X523" i="3"/>
  <c r="Y523" i="3"/>
  <c r="Z523" i="3"/>
  <c r="AA523" i="3"/>
  <c r="AB523" i="3"/>
  <c r="M524" i="3"/>
  <c r="C523" i="4"/>
  <c r="AC523" i="3"/>
  <c r="AD523" i="3"/>
  <c r="G523" i="4"/>
  <c r="I523" i="4"/>
  <c r="J523" i="4"/>
  <c r="H523" i="4"/>
  <c r="N524" i="3"/>
  <c r="O524" i="3"/>
  <c r="AI524" i="3"/>
  <c r="P524" i="3"/>
  <c r="Q524" i="3"/>
  <c r="K523" i="4"/>
  <c r="M523" i="4"/>
  <c r="L524" i="4"/>
  <c r="V524" i="3"/>
  <c r="W524" i="3"/>
  <c r="X524" i="3"/>
  <c r="Y524" i="3"/>
  <c r="Z524" i="3"/>
  <c r="AA524" i="3"/>
  <c r="AB524" i="3"/>
  <c r="M525" i="3"/>
  <c r="AC524" i="3"/>
  <c r="AD524" i="3"/>
  <c r="C524" i="4"/>
  <c r="G524" i="4"/>
  <c r="I524" i="4"/>
  <c r="J524" i="4"/>
  <c r="H524" i="4"/>
  <c r="O525" i="3"/>
  <c r="N525" i="3"/>
  <c r="P525" i="3"/>
  <c r="Q525" i="3"/>
  <c r="AI525" i="3"/>
  <c r="L525" i="4"/>
  <c r="V525" i="3"/>
  <c r="K524" i="4"/>
  <c r="M524" i="4"/>
  <c r="W525" i="3"/>
  <c r="X525" i="3"/>
  <c r="Y525" i="3"/>
  <c r="Z525" i="3"/>
  <c r="AA525" i="3"/>
  <c r="AB525" i="3"/>
  <c r="AC525" i="3"/>
  <c r="AD525" i="3"/>
  <c r="C525" i="4"/>
  <c r="M526" i="3"/>
  <c r="O526" i="3"/>
  <c r="N526" i="3"/>
  <c r="P526" i="3"/>
  <c r="Q526" i="3"/>
  <c r="AI526" i="3"/>
  <c r="G525" i="4"/>
  <c r="I525" i="4"/>
  <c r="J525" i="4"/>
  <c r="H525" i="4"/>
  <c r="L526" i="4"/>
  <c r="V526" i="3"/>
  <c r="K525" i="4"/>
  <c r="M525" i="4"/>
  <c r="W526" i="3"/>
  <c r="X526" i="3"/>
  <c r="Y526" i="3"/>
  <c r="Z526" i="3"/>
  <c r="AA526" i="3"/>
  <c r="AB526" i="3"/>
  <c r="M527" i="3"/>
  <c r="C526" i="4"/>
  <c r="AC526" i="3"/>
  <c r="AD526" i="3"/>
  <c r="G526" i="4"/>
  <c r="I526" i="4"/>
  <c r="J526" i="4"/>
  <c r="H526" i="4"/>
  <c r="O527" i="3"/>
  <c r="N527" i="3"/>
  <c r="P527" i="3"/>
  <c r="Q527" i="3"/>
  <c r="AI527" i="3"/>
  <c r="L527" i="4"/>
  <c r="V527" i="3"/>
  <c r="M526" i="4"/>
  <c r="K526" i="4"/>
  <c r="W527" i="3"/>
  <c r="X527" i="3"/>
  <c r="Y527" i="3"/>
  <c r="Z527" i="3"/>
  <c r="AA527" i="3"/>
  <c r="AB527" i="3"/>
  <c r="C527" i="4"/>
  <c r="M528" i="3"/>
  <c r="AC527" i="3"/>
  <c r="AD527" i="3"/>
  <c r="N528" i="3"/>
  <c r="AI528" i="3"/>
  <c r="O528" i="3"/>
  <c r="G527" i="4"/>
  <c r="I527" i="4"/>
  <c r="J527" i="4"/>
  <c r="H527" i="4"/>
  <c r="M527" i="4"/>
  <c r="K527" i="4"/>
  <c r="P528" i="3"/>
  <c r="Q528" i="3"/>
  <c r="L528" i="4"/>
  <c r="V528" i="3"/>
  <c r="W528" i="3"/>
  <c r="X528" i="3"/>
  <c r="Y528" i="3"/>
  <c r="Z528" i="3"/>
  <c r="AA528" i="3"/>
  <c r="AB528" i="3"/>
  <c r="M529" i="3"/>
  <c r="C528" i="4"/>
  <c r="AC528" i="3"/>
  <c r="AD528" i="3"/>
  <c r="G528" i="4"/>
  <c r="I528" i="4"/>
  <c r="J528" i="4"/>
  <c r="H528" i="4"/>
  <c r="AI529" i="3"/>
  <c r="O529" i="3"/>
  <c r="N529" i="3"/>
  <c r="P529" i="3"/>
  <c r="Q529" i="3"/>
  <c r="K528" i="4"/>
  <c r="M528" i="4"/>
  <c r="L529" i="4"/>
  <c r="V529" i="3"/>
  <c r="W529" i="3"/>
  <c r="X529" i="3"/>
  <c r="Y529" i="3"/>
  <c r="Z529" i="3"/>
  <c r="AA529" i="3"/>
  <c r="AB529" i="3"/>
  <c r="C529" i="4"/>
  <c r="M530" i="3"/>
  <c r="AC529" i="3"/>
  <c r="AD529" i="3"/>
  <c r="N530" i="3"/>
  <c r="O530" i="3"/>
  <c r="AI530" i="3"/>
  <c r="G529" i="4"/>
  <c r="I529" i="4"/>
  <c r="J529" i="4"/>
  <c r="H529" i="4"/>
  <c r="K529" i="4"/>
  <c r="M529" i="4"/>
  <c r="P530" i="3"/>
  <c r="Q530" i="3"/>
  <c r="L530" i="4"/>
  <c r="V530" i="3"/>
  <c r="W530" i="3"/>
  <c r="X530" i="3"/>
  <c r="Y530" i="3"/>
  <c r="Z530" i="3"/>
  <c r="AA530" i="3"/>
  <c r="AB530" i="3"/>
  <c r="AC530" i="3"/>
  <c r="AD530" i="3"/>
  <c r="C530" i="4"/>
  <c r="M531" i="3"/>
  <c r="O531" i="3"/>
  <c r="AI531" i="3"/>
  <c r="N531" i="3"/>
  <c r="P531" i="3"/>
  <c r="Q531" i="3"/>
  <c r="G530" i="4"/>
  <c r="I530" i="4"/>
  <c r="J530" i="4"/>
  <c r="H530" i="4"/>
  <c r="L531" i="4"/>
  <c r="V531" i="3"/>
  <c r="M530" i="4"/>
  <c r="K530" i="4"/>
  <c r="W531" i="3"/>
  <c r="X531" i="3"/>
  <c r="Y531" i="3"/>
  <c r="Z531" i="3"/>
  <c r="AA531" i="3"/>
  <c r="AB531" i="3"/>
  <c r="AC531" i="3"/>
  <c r="AD531" i="3"/>
  <c r="M532" i="3"/>
  <c r="C531" i="4"/>
  <c r="N532" i="3"/>
  <c r="P532" i="3"/>
  <c r="Q532" i="3"/>
  <c r="O532" i="3"/>
  <c r="AI532" i="3"/>
  <c r="G531" i="4"/>
  <c r="I531" i="4"/>
  <c r="J531" i="4"/>
  <c r="H531" i="4"/>
  <c r="K531" i="4"/>
  <c r="M531" i="4"/>
  <c r="L532" i="4"/>
  <c r="C37" i="5"/>
  <c r="N37" i="5"/>
  <c r="V532" i="3"/>
  <c r="W532" i="3"/>
  <c r="X532" i="3"/>
  <c r="Y532" i="3"/>
  <c r="Z532" i="3"/>
  <c r="AA532" i="3"/>
  <c r="AB532" i="3"/>
  <c r="AC532" i="3"/>
  <c r="AD532" i="3"/>
  <c r="M533" i="3"/>
  <c r="C532" i="4"/>
  <c r="O533" i="3"/>
  <c r="N533" i="3"/>
  <c r="P533" i="3"/>
  <c r="Q533" i="3"/>
  <c r="AI533" i="3"/>
  <c r="G532" i="4"/>
  <c r="I532" i="4"/>
  <c r="J532" i="4"/>
  <c r="H532" i="4"/>
  <c r="L533" i="4"/>
  <c r="V533" i="3"/>
  <c r="D37" i="5"/>
  <c r="M532" i="4"/>
  <c r="K532" i="4"/>
  <c r="E37" i="5"/>
  <c r="W533" i="3"/>
  <c r="X533" i="3"/>
  <c r="Y533" i="3"/>
  <c r="Z533" i="3"/>
  <c r="AA533" i="3"/>
  <c r="AB533" i="3"/>
  <c r="M534" i="3"/>
  <c r="C533" i="4"/>
  <c r="AC533" i="3"/>
  <c r="AD533" i="3"/>
  <c r="G533" i="4"/>
  <c r="I533" i="4"/>
  <c r="J533" i="4"/>
  <c r="H533" i="4"/>
  <c r="O534" i="3"/>
  <c r="N534" i="3"/>
  <c r="P534" i="3"/>
  <c r="Q534" i="3"/>
  <c r="AI534" i="3"/>
  <c r="L534" i="4"/>
  <c r="V534" i="3"/>
  <c r="K533" i="4"/>
  <c r="M533" i="4"/>
  <c r="W534" i="3"/>
  <c r="X534" i="3"/>
  <c r="Y534" i="3"/>
  <c r="Z534" i="3"/>
  <c r="AA534" i="3"/>
  <c r="AB534" i="3"/>
  <c r="M535" i="3"/>
  <c r="C534" i="4"/>
  <c r="AC534" i="3"/>
  <c r="AD534" i="3"/>
  <c r="G534" i="4"/>
  <c r="I534" i="4"/>
  <c r="J534" i="4"/>
  <c r="H534" i="4"/>
  <c r="AI535" i="3"/>
  <c r="N535" i="3"/>
  <c r="O535" i="3"/>
  <c r="P535" i="3"/>
  <c r="Q535" i="3"/>
  <c r="M534" i="4"/>
  <c r="K534" i="4"/>
  <c r="L535" i="4"/>
  <c r="V535" i="3"/>
  <c r="W535" i="3"/>
  <c r="X535" i="3"/>
  <c r="Y535" i="3"/>
  <c r="Z535" i="3"/>
  <c r="AA535" i="3"/>
  <c r="AB535" i="3"/>
  <c r="AC535" i="3"/>
  <c r="AD535" i="3"/>
  <c r="C535" i="4"/>
  <c r="M536" i="3"/>
  <c r="G535" i="4"/>
  <c r="I535" i="4"/>
  <c r="J535" i="4"/>
  <c r="H535" i="4"/>
  <c r="AI536" i="3"/>
  <c r="N536" i="3"/>
  <c r="O536" i="3"/>
  <c r="P536" i="3"/>
  <c r="Q536" i="3"/>
  <c r="M535" i="4"/>
  <c r="K535" i="4"/>
  <c r="L536" i="4"/>
  <c r="V536" i="3"/>
  <c r="W536" i="3"/>
  <c r="X536" i="3"/>
  <c r="Y536" i="3"/>
  <c r="Z536" i="3"/>
  <c r="AA536" i="3"/>
  <c r="AB536" i="3"/>
  <c r="AC536" i="3"/>
  <c r="AD536" i="3"/>
  <c r="M537" i="3"/>
  <c r="C536" i="4"/>
  <c r="G536" i="4"/>
  <c r="I536" i="4"/>
  <c r="J536" i="4"/>
  <c r="H536" i="4"/>
  <c r="AI537" i="3"/>
  <c r="O537" i="3"/>
  <c r="N537" i="3"/>
  <c r="P537" i="3"/>
  <c r="Q537" i="3"/>
  <c r="K536" i="4"/>
  <c r="M536" i="4"/>
  <c r="L537" i="4"/>
  <c r="V537" i="3"/>
  <c r="W537" i="3"/>
  <c r="X537" i="3"/>
  <c r="Y537" i="3"/>
  <c r="Z537" i="3"/>
  <c r="AA537" i="3"/>
  <c r="AB537" i="3"/>
  <c r="AC537" i="3"/>
  <c r="AD537" i="3"/>
  <c r="M538" i="3"/>
  <c r="C537" i="4"/>
  <c r="AI538" i="3"/>
  <c r="N538" i="3"/>
  <c r="O538" i="3"/>
  <c r="G537" i="4"/>
  <c r="I537" i="4"/>
  <c r="J537" i="4"/>
  <c r="H537" i="4"/>
  <c r="P538" i="3"/>
  <c r="Q538" i="3"/>
  <c r="K537" i="4"/>
  <c r="M537" i="4"/>
  <c r="L538" i="4"/>
  <c r="V538" i="3"/>
  <c r="W538" i="3"/>
  <c r="X538" i="3"/>
  <c r="Y538" i="3"/>
  <c r="Z538" i="3"/>
  <c r="AA538" i="3"/>
  <c r="AB538" i="3"/>
  <c r="C538" i="4"/>
  <c r="M539" i="3"/>
  <c r="AC538" i="3"/>
  <c r="AD538" i="3"/>
  <c r="AI539" i="3"/>
  <c r="O539" i="3"/>
  <c r="N539" i="3"/>
  <c r="P539" i="3"/>
  <c r="Q539" i="3"/>
  <c r="G538" i="4"/>
  <c r="I538" i="4"/>
  <c r="J538" i="4"/>
  <c r="H538" i="4"/>
  <c r="L539" i="4"/>
  <c r="V539" i="3"/>
  <c r="K538" i="4"/>
  <c r="M538" i="4"/>
  <c r="W539" i="3"/>
  <c r="X539" i="3"/>
  <c r="Y539" i="3"/>
  <c r="Z539" i="3"/>
  <c r="AA539" i="3"/>
  <c r="AB539" i="3"/>
  <c r="M540" i="3"/>
  <c r="C539" i="4"/>
  <c r="AC539" i="3"/>
  <c r="AD539" i="3"/>
  <c r="G539" i="4"/>
  <c r="I539" i="4"/>
  <c r="J539" i="4"/>
  <c r="H539" i="4"/>
  <c r="N540" i="3"/>
  <c r="P540" i="3"/>
  <c r="Q540" i="3"/>
  <c r="O540" i="3"/>
  <c r="AI540" i="3"/>
  <c r="K539" i="4"/>
  <c r="M539" i="4"/>
  <c r="L540" i="4"/>
  <c r="V540" i="3"/>
  <c r="W540" i="3"/>
  <c r="X540" i="3"/>
  <c r="Y540" i="3"/>
  <c r="Z540" i="3"/>
  <c r="AA540" i="3"/>
  <c r="AB540" i="3"/>
  <c r="M541" i="3"/>
  <c r="C540" i="4"/>
  <c r="AC540" i="3"/>
  <c r="AD540" i="3"/>
  <c r="G540" i="4"/>
  <c r="I540" i="4"/>
  <c r="J540" i="4"/>
  <c r="H540" i="4"/>
  <c r="AI541" i="3"/>
  <c r="N541" i="3"/>
  <c r="P541" i="3"/>
  <c r="Q541" i="3"/>
  <c r="O541" i="3"/>
  <c r="L541" i="4"/>
  <c r="V541" i="3"/>
  <c r="K540" i="4"/>
  <c r="M540" i="4"/>
  <c r="W541" i="3"/>
  <c r="X541" i="3"/>
  <c r="Y541" i="3"/>
  <c r="Z541" i="3"/>
  <c r="AA541" i="3"/>
  <c r="AB541" i="3"/>
  <c r="AC541" i="3"/>
  <c r="AD541" i="3"/>
  <c r="M542" i="3"/>
  <c r="C541" i="4"/>
  <c r="G541" i="4"/>
  <c r="I541" i="4"/>
  <c r="J541" i="4"/>
  <c r="H541" i="4"/>
  <c r="O542" i="3"/>
  <c r="AI542" i="3"/>
  <c r="N542" i="3"/>
  <c r="P542" i="3"/>
  <c r="Q542" i="3"/>
  <c r="L542" i="4"/>
  <c r="V542" i="3"/>
  <c r="K541" i="4"/>
  <c r="M541" i="4"/>
  <c r="W542" i="3"/>
  <c r="X542" i="3"/>
  <c r="Y542" i="3"/>
  <c r="Z542" i="3"/>
  <c r="AA542" i="3"/>
  <c r="AB542" i="3"/>
  <c r="C542" i="4"/>
  <c r="M543" i="3"/>
  <c r="AC542" i="3"/>
  <c r="AD542" i="3"/>
  <c r="AI543" i="3"/>
  <c r="N543" i="3"/>
  <c r="P543" i="3"/>
  <c r="Q543" i="3"/>
  <c r="O543" i="3"/>
  <c r="G542" i="4"/>
  <c r="I542" i="4"/>
  <c r="J542" i="4"/>
  <c r="H542" i="4"/>
  <c r="M542" i="4"/>
  <c r="K542" i="4"/>
  <c r="L543" i="4"/>
  <c r="V543" i="3"/>
  <c r="W543" i="3"/>
  <c r="X543" i="3"/>
  <c r="Y543" i="3"/>
  <c r="Z543" i="3"/>
  <c r="AA543" i="3"/>
  <c r="AB543" i="3"/>
  <c r="C543" i="4"/>
  <c r="M544" i="3"/>
  <c r="AC543" i="3"/>
  <c r="AD543" i="3"/>
  <c r="N544" i="3"/>
  <c r="O544" i="3"/>
  <c r="AI544" i="3"/>
  <c r="G543" i="4"/>
  <c r="I543" i="4"/>
  <c r="J543" i="4"/>
  <c r="H543" i="4"/>
  <c r="K543" i="4"/>
  <c r="M543" i="4"/>
  <c r="P544" i="3"/>
  <c r="Q544" i="3"/>
  <c r="L544" i="4"/>
  <c r="V544" i="3"/>
  <c r="W544" i="3"/>
  <c r="X544" i="3"/>
  <c r="Y544" i="3"/>
  <c r="Z544" i="3"/>
  <c r="AA544" i="3"/>
  <c r="AB544" i="3"/>
  <c r="C544" i="4"/>
  <c r="M545" i="3"/>
  <c r="AC544" i="3"/>
  <c r="AD544" i="3"/>
  <c r="O545" i="3"/>
  <c r="N545" i="3"/>
  <c r="AI545" i="3"/>
  <c r="G544" i="4"/>
  <c r="I544" i="4"/>
  <c r="J544" i="4"/>
  <c r="H544" i="4"/>
  <c r="K544" i="4"/>
  <c r="M544" i="4"/>
  <c r="P545" i="3"/>
  <c r="Q545" i="3"/>
  <c r="L545" i="4"/>
  <c r="V545" i="3"/>
  <c r="W545" i="3"/>
  <c r="X545" i="3"/>
  <c r="Y545" i="3"/>
  <c r="Z545" i="3"/>
  <c r="AA545" i="3"/>
  <c r="AB545" i="3"/>
  <c r="C545" i="4"/>
  <c r="M546" i="3"/>
  <c r="AC545" i="3"/>
  <c r="AD545" i="3"/>
  <c r="AI546" i="3"/>
  <c r="N546" i="3"/>
  <c r="O546" i="3"/>
  <c r="G545" i="4"/>
  <c r="I545" i="4"/>
  <c r="J545" i="4"/>
  <c r="H545" i="4"/>
  <c r="K545" i="4"/>
  <c r="M545" i="4"/>
  <c r="P546" i="3"/>
  <c r="Q546" i="3"/>
  <c r="L546" i="4"/>
  <c r="V546" i="3"/>
  <c r="W546" i="3"/>
  <c r="X546" i="3"/>
  <c r="Y546" i="3"/>
  <c r="Z546" i="3"/>
  <c r="AA546" i="3"/>
  <c r="AB546" i="3"/>
  <c r="M547" i="3"/>
  <c r="C546" i="4"/>
  <c r="AC546" i="3"/>
  <c r="AD546" i="3"/>
  <c r="G546" i="4"/>
  <c r="I546" i="4"/>
  <c r="J546" i="4"/>
  <c r="H546" i="4"/>
  <c r="N547" i="3"/>
  <c r="O547" i="3"/>
  <c r="AI547" i="3"/>
  <c r="P547" i="3"/>
  <c r="Q547" i="3"/>
  <c r="K546" i="4"/>
  <c r="M546" i="4"/>
  <c r="L547" i="4"/>
  <c r="V547" i="3"/>
  <c r="W547" i="3"/>
  <c r="X547" i="3"/>
  <c r="Y547" i="3"/>
  <c r="Z547" i="3"/>
  <c r="AA547" i="3"/>
  <c r="AB547" i="3"/>
  <c r="AC547" i="3"/>
  <c r="AD547" i="3"/>
  <c r="M548" i="3"/>
  <c r="C547" i="4"/>
  <c r="G547" i="4"/>
  <c r="I547" i="4"/>
  <c r="J547" i="4"/>
  <c r="H547" i="4"/>
  <c r="O548" i="3"/>
  <c r="N548" i="3"/>
  <c r="P548" i="3"/>
  <c r="Q548" i="3"/>
  <c r="AI548" i="3"/>
  <c r="L548" i="4"/>
  <c r="V548" i="3"/>
  <c r="M547" i="4"/>
  <c r="K547" i="4"/>
  <c r="W548" i="3"/>
  <c r="X548" i="3"/>
  <c r="Y548" i="3"/>
  <c r="Z548" i="3"/>
  <c r="AA548" i="3"/>
  <c r="AB548" i="3"/>
  <c r="M549" i="3"/>
  <c r="C548" i="4"/>
  <c r="AC548" i="3"/>
  <c r="AD548" i="3"/>
  <c r="G548" i="4"/>
  <c r="I548" i="4"/>
  <c r="J548" i="4"/>
  <c r="H548" i="4"/>
  <c r="AI549" i="3"/>
  <c r="N549" i="3"/>
  <c r="O549" i="3"/>
  <c r="P549" i="3"/>
  <c r="Q549" i="3"/>
  <c r="M548" i="4"/>
  <c r="K548" i="4"/>
  <c r="L549" i="4"/>
  <c r="V549" i="3"/>
  <c r="W549" i="3"/>
  <c r="X549" i="3"/>
  <c r="Y549" i="3"/>
  <c r="Z549" i="3"/>
  <c r="AA549" i="3"/>
  <c r="AB549" i="3"/>
  <c r="AC549" i="3"/>
  <c r="AD549" i="3"/>
  <c r="C549" i="4"/>
  <c r="M550" i="3"/>
  <c r="G549" i="4"/>
  <c r="I549" i="4"/>
  <c r="J549" i="4"/>
  <c r="H549" i="4"/>
  <c r="N550" i="3"/>
  <c r="O550" i="3"/>
  <c r="AI550" i="3"/>
  <c r="P550" i="3"/>
  <c r="Q550" i="3"/>
  <c r="K549" i="4"/>
  <c r="M549" i="4"/>
  <c r="L550" i="4"/>
  <c r="V550" i="3"/>
  <c r="X550" i="3"/>
  <c r="Y550" i="3"/>
  <c r="Z550" i="3"/>
  <c r="AA550" i="3"/>
  <c r="AB550" i="3"/>
  <c r="W550" i="3"/>
  <c r="AC550" i="3"/>
  <c r="AD550" i="3"/>
  <c r="M551" i="3"/>
  <c r="C550" i="4"/>
  <c r="G550" i="4"/>
  <c r="I550" i="4"/>
  <c r="J550" i="4"/>
  <c r="H550" i="4"/>
  <c r="O551" i="3"/>
  <c r="N551" i="3"/>
  <c r="P551" i="3"/>
  <c r="Q551" i="3"/>
  <c r="AI551" i="3"/>
  <c r="L551" i="4"/>
  <c r="V551" i="3"/>
  <c r="K550" i="4"/>
  <c r="M550" i="4"/>
  <c r="W551" i="3"/>
  <c r="X551" i="3"/>
  <c r="Y551" i="3"/>
  <c r="Z551" i="3"/>
  <c r="AA551" i="3"/>
  <c r="AB551" i="3"/>
  <c r="C551" i="4"/>
  <c r="M552" i="3"/>
  <c r="AC551" i="3"/>
  <c r="AD551" i="3"/>
  <c r="N552" i="3"/>
  <c r="AI552" i="3"/>
  <c r="O552" i="3"/>
  <c r="G551" i="4"/>
  <c r="I551" i="4"/>
  <c r="J551" i="4"/>
  <c r="H551" i="4"/>
  <c r="K551" i="4"/>
  <c r="M551" i="4"/>
  <c r="P552" i="3"/>
  <c r="Q552" i="3"/>
  <c r="L552" i="4"/>
  <c r="V552" i="3"/>
  <c r="W552" i="3"/>
  <c r="X552" i="3"/>
  <c r="Y552" i="3"/>
  <c r="Z552" i="3"/>
  <c r="AA552" i="3"/>
  <c r="AB552" i="3"/>
  <c r="C552" i="4"/>
  <c r="M553" i="3"/>
  <c r="AC552" i="3"/>
  <c r="AD552" i="3"/>
  <c r="N553" i="3"/>
  <c r="O553" i="3"/>
  <c r="AI553" i="3"/>
  <c r="G552" i="4"/>
  <c r="I552" i="4"/>
  <c r="J552" i="4"/>
  <c r="H552" i="4"/>
  <c r="K552" i="4"/>
  <c r="M552" i="4"/>
  <c r="P553" i="3"/>
  <c r="Q553" i="3"/>
  <c r="L553" i="4"/>
  <c r="V553" i="3"/>
  <c r="W553" i="3"/>
  <c r="X553" i="3"/>
  <c r="Y553" i="3"/>
  <c r="Z553" i="3"/>
  <c r="AA553" i="3"/>
  <c r="AB553" i="3"/>
  <c r="M554" i="3"/>
  <c r="C553" i="4"/>
  <c r="AC553" i="3"/>
  <c r="AD553" i="3"/>
  <c r="G553" i="4"/>
  <c r="I553" i="4"/>
  <c r="J553" i="4"/>
  <c r="H553" i="4"/>
  <c r="AI554" i="3"/>
  <c r="N554" i="3"/>
  <c r="O554" i="3"/>
  <c r="P554" i="3"/>
  <c r="Q554" i="3"/>
  <c r="K553" i="4"/>
  <c r="M553" i="4"/>
  <c r="L554" i="4"/>
  <c r="V554" i="3"/>
  <c r="W554" i="3"/>
  <c r="X554" i="3"/>
  <c r="Y554" i="3"/>
  <c r="Z554" i="3"/>
  <c r="AA554" i="3"/>
  <c r="AB554" i="3"/>
  <c r="M555" i="3"/>
  <c r="AC554" i="3"/>
  <c r="AD554" i="3"/>
  <c r="C554" i="4"/>
  <c r="G554" i="4"/>
  <c r="I554" i="4"/>
  <c r="J554" i="4"/>
  <c r="H554" i="4"/>
  <c r="N555" i="3"/>
  <c r="AI555" i="3"/>
  <c r="O555" i="3"/>
  <c r="P555" i="3"/>
  <c r="Q555" i="3"/>
  <c r="M554" i="4"/>
  <c r="K554" i="4"/>
  <c r="L555" i="4"/>
  <c r="V555" i="3"/>
  <c r="W555" i="3"/>
  <c r="X555" i="3"/>
  <c r="Y555" i="3"/>
  <c r="Z555" i="3"/>
  <c r="AA555" i="3"/>
  <c r="AB555" i="3"/>
  <c r="C555" i="4"/>
  <c r="M556" i="3"/>
  <c r="AC555" i="3"/>
  <c r="AD555" i="3"/>
  <c r="AI556" i="3"/>
  <c r="N556" i="3"/>
  <c r="P556" i="3"/>
  <c r="Q556" i="3"/>
  <c r="O556" i="3"/>
  <c r="G555" i="4"/>
  <c r="I555" i="4"/>
  <c r="J555" i="4"/>
  <c r="H555" i="4"/>
  <c r="L556" i="4"/>
  <c r="V556" i="3"/>
  <c r="M555" i="4"/>
  <c r="K555" i="4"/>
  <c r="W556" i="3"/>
  <c r="X556" i="3"/>
  <c r="Y556" i="3"/>
  <c r="Z556" i="3"/>
  <c r="AA556" i="3"/>
  <c r="AB556" i="3"/>
  <c r="M557" i="3"/>
  <c r="AC556" i="3"/>
  <c r="AD556" i="3"/>
  <c r="C556" i="4"/>
  <c r="G556" i="4"/>
  <c r="I556" i="4"/>
  <c r="J556" i="4"/>
  <c r="H556" i="4"/>
  <c r="O557" i="3"/>
  <c r="AI557" i="3"/>
  <c r="N557" i="3"/>
  <c r="P557" i="3"/>
  <c r="Q557" i="3"/>
  <c r="L557" i="4"/>
  <c r="V557" i="3"/>
  <c r="M556" i="4"/>
  <c r="K556" i="4"/>
  <c r="W557" i="3"/>
  <c r="X557" i="3"/>
  <c r="Y557" i="3"/>
  <c r="Z557" i="3"/>
  <c r="AA557" i="3"/>
  <c r="AB557" i="3"/>
  <c r="C557" i="4"/>
  <c r="M558" i="3"/>
  <c r="AC557" i="3"/>
  <c r="AD557" i="3"/>
  <c r="O558" i="3"/>
  <c r="N558" i="3"/>
  <c r="AI558" i="3"/>
  <c r="G557" i="4"/>
  <c r="I557" i="4"/>
  <c r="J557" i="4"/>
  <c r="H557" i="4"/>
  <c r="K557" i="4"/>
  <c r="M557" i="4"/>
  <c r="P558" i="3"/>
  <c r="Q558" i="3"/>
  <c r="L558" i="4"/>
  <c r="V558" i="3"/>
  <c r="W558" i="3"/>
  <c r="X558" i="3"/>
  <c r="Y558" i="3"/>
  <c r="Z558" i="3"/>
  <c r="AA558" i="3"/>
  <c r="AB558" i="3"/>
  <c r="M559" i="3"/>
  <c r="C558" i="4"/>
  <c r="AC558" i="3"/>
  <c r="AD558" i="3"/>
  <c r="G558" i="4"/>
  <c r="I558" i="4"/>
  <c r="J558" i="4"/>
  <c r="H558" i="4"/>
  <c r="AI559" i="3"/>
  <c r="N559" i="3"/>
  <c r="P559" i="3"/>
  <c r="Q559" i="3"/>
  <c r="O559" i="3"/>
  <c r="L559" i="4"/>
  <c r="V559" i="3"/>
  <c r="M558" i="4"/>
  <c r="K558" i="4"/>
  <c r="W559" i="3"/>
  <c r="X559" i="3"/>
  <c r="Y559" i="3"/>
  <c r="Z559" i="3"/>
  <c r="AA559" i="3"/>
  <c r="AB559" i="3"/>
  <c r="M560" i="3"/>
  <c r="C559" i="4"/>
  <c r="AC559" i="3"/>
  <c r="AD559" i="3"/>
  <c r="G559" i="4"/>
  <c r="I559" i="4"/>
  <c r="J559" i="4"/>
  <c r="H559" i="4"/>
  <c r="AI560" i="3"/>
  <c r="O560" i="3"/>
  <c r="N560" i="3"/>
  <c r="P560" i="3"/>
  <c r="Q560" i="3"/>
  <c r="K559" i="4"/>
  <c r="M559" i="4"/>
  <c r="L560" i="4"/>
  <c r="V560" i="3"/>
  <c r="W560" i="3"/>
  <c r="X560" i="3"/>
  <c r="Y560" i="3"/>
  <c r="Z560" i="3"/>
  <c r="AA560" i="3"/>
  <c r="AB560" i="3"/>
  <c r="C560" i="4"/>
  <c r="M561" i="3"/>
  <c r="AC560" i="3"/>
  <c r="AD560" i="3"/>
  <c r="N561" i="3"/>
  <c r="P561" i="3"/>
  <c r="Q561" i="3"/>
  <c r="O561" i="3"/>
  <c r="AI561" i="3"/>
  <c r="G560" i="4"/>
  <c r="I560" i="4"/>
  <c r="J560" i="4"/>
  <c r="H560" i="4"/>
  <c r="M560" i="4"/>
  <c r="K560" i="4"/>
  <c r="L561" i="4"/>
  <c r="V561" i="3"/>
  <c r="W561" i="3"/>
  <c r="X561" i="3"/>
  <c r="Y561" i="3"/>
  <c r="Z561" i="3"/>
  <c r="AA561" i="3"/>
  <c r="AB561" i="3"/>
  <c r="AC561" i="3"/>
  <c r="AD561" i="3"/>
  <c r="C561" i="4"/>
  <c r="M562" i="3"/>
  <c r="G561" i="4"/>
  <c r="I561" i="4"/>
  <c r="J561" i="4"/>
  <c r="H561" i="4"/>
  <c r="AI562" i="3"/>
  <c r="N562" i="3"/>
  <c r="P562" i="3"/>
  <c r="Q562" i="3"/>
  <c r="O562" i="3"/>
  <c r="L562" i="4"/>
  <c r="V562" i="3"/>
  <c r="K561" i="4"/>
  <c r="M561" i="4"/>
  <c r="W562" i="3"/>
  <c r="X562" i="3"/>
  <c r="Y562" i="3"/>
  <c r="Z562" i="3"/>
  <c r="AA562" i="3"/>
  <c r="AB562" i="3"/>
  <c r="AC562" i="3"/>
  <c r="AD562" i="3"/>
  <c r="M563" i="3"/>
  <c r="C562" i="4"/>
  <c r="G562" i="4"/>
  <c r="I562" i="4"/>
  <c r="J562" i="4"/>
  <c r="H562" i="4"/>
  <c r="N563" i="3"/>
  <c r="O563" i="3"/>
  <c r="AI563" i="3"/>
  <c r="P563" i="3"/>
  <c r="Q563" i="3"/>
  <c r="K562" i="4"/>
  <c r="M562" i="4"/>
  <c r="L563" i="4"/>
  <c r="V563" i="3"/>
  <c r="W563" i="3"/>
  <c r="X563" i="3"/>
  <c r="Y563" i="3"/>
  <c r="Z563" i="3"/>
  <c r="AA563" i="3"/>
  <c r="AB563" i="3"/>
  <c r="C563" i="4"/>
  <c r="M564" i="3"/>
  <c r="AC563" i="3"/>
  <c r="AD563" i="3"/>
  <c r="AI564" i="3"/>
  <c r="N564" i="3"/>
  <c r="O564" i="3"/>
  <c r="G563" i="4"/>
  <c r="I563" i="4"/>
  <c r="J563" i="4"/>
  <c r="H563" i="4"/>
  <c r="M563" i="4"/>
  <c r="K563" i="4"/>
  <c r="P564" i="3"/>
  <c r="Q564" i="3"/>
  <c r="L564" i="4"/>
  <c r="V564" i="3"/>
  <c r="W564" i="3"/>
  <c r="X564" i="3"/>
  <c r="Y564" i="3"/>
  <c r="Z564" i="3"/>
  <c r="AA564" i="3"/>
  <c r="AB564" i="3"/>
  <c r="C564" i="4"/>
  <c r="AC564" i="3"/>
  <c r="AD564" i="3"/>
  <c r="M565" i="3"/>
  <c r="N565" i="3"/>
  <c r="O565" i="3"/>
  <c r="AI565" i="3"/>
  <c r="G564" i="4"/>
  <c r="I564" i="4"/>
  <c r="J564" i="4"/>
  <c r="H564" i="4"/>
  <c r="K564" i="4"/>
  <c r="M564" i="4"/>
  <c r="P565" i="3"/>
  <c r="Q565" i="3"/>
  <c r="L565" i="4"/>
  <c r="V565" i="3"/>
  <c r="W565" i="3"/>
  <c r="X565" i="3"/>
  <c r="Y565" i="3"/>
  <c r="Z565" i="3"/>
  <c r="AA565" i="3"/>
  <c r="AB565" i="3"/>
  <c r="C565" i="4"/>
  <c r="M566" i="3"/>
  <c r="AC565" i="3"/>
  <c r="AD565" i="3"/>
  <c r="AI566" i="3"/>
  <c r="O566" i="3"/>
  <c r="N566" i="3"/>
  <c r="G565" i="4"/>
  <c r="I565" i="4"/>
  <c r="J565" i="4"/>
  <c r="H565" i="4"/>
  <c r="P566" i="3"/>
  <c r="Q566" i="3"/>
  <c r="K565" i="4"/>
  <c r="M565" i="4"/>
  <c r="L566" i="4"/>
  <c r="V566" i="3"/>
  <c r="W566" i="3"/>
  <c r="X566" i="3"/>
  <c r="Y566" i="3"/>
  <c r="Z566" i="3"/>
  <c r="AA566" i="3"/>
  <c r="AB566" i="3"/>
  <c r="M567" i="3"/>
  <c r="AC566" i="3"/>
  <c r="AD566" i="3"/>
  <c r="C566" i="4"/>
  <c r="G566" i="4"/>
  <c r="I566" i="4"/>
  <c r="J566" i="4"/>
  <c r="H566" i="4"/>
  <c r="N567" i="3"/>
  <c r="O567" i="3"/>
  <c r="AI567" i="3"/>
  <c r="P567" i="3"/>
  <c r="Q567" i="3"/>
  <c r="M566" i="4"/>
  <c r="K566" i="4"/>
  <c r="L567" i="4"/>
  <c r="V567" i="3"/>
  <c r="W567" i="3"/>
  <c r="X567" i="3"/>
  <c r="Y567" i="3"/>
  <c r="Z567" i="3"/>
  <c r="AA567" i="3"/>
  <c r="AB567" i="3"/>
  <c r="AC567" i="3"/>
  <c r="AD567" i="3"/>
  <c r="M568" i="3"/>
  <c r="C567" i="4"/>
  <c r="G567" i="4"/>
  <c r="I567" i="4"/>
  <c r="J567" i="4"/>
  <c r="H567" i="4"/>
  <c r="O568" i="3"/>
  <c r="AI568" i="3"/>
  <c r="N568" i="3"/>
  <c r="P568" i="3"/>
  <c r="Q568" i="3"/>
  <c r="L568" i="4"/>
  <c r="V568" i="3"/>
  <c r="M567" i="4"/>
  <c r="K567" i="4"/>
  <c r="W568" i="3"/>
  <c r="X568" i="3"/>
  <c r="Y568" i="3"/>
  <c r="Z568" i="3"/>
  <c r="AA568" i="3"/>
  <c r="AB568" i="3"/>
  <c r="C568" i="4"/>
  <c r="M569" i="3"/>
  <c r="AC568" i="3"/>
  <c r="AD568" i="3"/>
  <c r="O569" i="3"/>
  <c r="AI569" i="3"/>
  <c r="N569" i="3"/>
  <c r="P569" i="3"/>
  <c r="Q569" i="3"/>
  <c r="G568" i="4"/>
  <c r="I568" i="4"/>
  <c r="J568" i="4"/>
  <c r="H568" i="4"/>
  <c r="M568" i="4"/>
  <c r="K568" i="4"/>
  <c r="L569" i="4"/>
  <c r="V569" i="3"/>
  <c r="W569" i="3"/>
  <c r="X569" i="3"/>
  <c r="Y569" i="3"/>
  <c r="Z569" i="3"/>
  <c r="AA569" i="3"/>
  <c r="AB569" i="3"/>
  <c r="AC569" i="3"/>
  <c r="AD569" i="3"/>
  <c r="M570" i="3"/>
  <c r="C569" i="4"/>
  <c r="O570" i="3"/>
  <c r="N570" i="3"/>
  <c r="P570" i="3"/>
  <c r="Q570" i="3"/>
  <c r="AI570" i="3"/>
  <c r="G569" i="4"/>
  <c r="I569" i="4"/>
  <c r="J569" i="4"/>
  <c r="H569" i="4"/>
  <c r="L570" i="4"/>
  <c r="V570" i="3"/>
  <c r="K569" i="4"/>
  <c r="M569" i="4"/>
  <c r="W570" i="3"/>
  <c r="X570" i="3"/>
  <c r="Y570" i="3"/>
  <c r="Z570" i="3"/>
  <c r="AA570" i="3"/>
  <c r="AB570" i="3"/>
  <c r="C570" i="4"/>
  <c r="M571" i="3"/>
  <c r="AC570" i="3"/>
  <c r="AD570" i="3"/>
  <c r="N571" i="3"/>
  <c r="AI571" i="3"/>
  <c r="O571" i="3"/>
  <c r="G570" i="4"/>
  <c r="I570" i="4"/>
  <c r="J570" i="4"/>
  <c r="H570" i="4"/>
  <c r="M570" i="4"/>
  <c r="K570" i="4"/>
  <c r="P571" i="3"/>
  <c r="Q571" i="3"/>
  <c r="L571" i="4"/>
  <c r="V571" i="3"/>
  <c r="W571" i="3"/>
  <c r="X571" i="3"/>
  <c r="Y571" i="3"/>
  <c r="Z571" i="3"/>
  <c r="AA571" i="3"/>
  <c r="AB571" i="3"/>
  <c r="C571" i="4"/>
  <c r="AC571" i="3"/>
  <c r="AD571" i="3"/>
  <c r="M572" i="3"/>
  <c r="N572" i="3"/>
  <c r="AI572" i="3"/>
  <c r="O572" i="3"/>
  <c r="G571" i="4"/>
  <c r="I571" i="4"/>
  <c r="J571" i="4"/>
  <c r="H571" i="4"/>
  <c r="K571" i="4"/>
  <c r="M571" i="4"/>
  <c r="P572" i="3"/>
  <c r="Q572" i="3"/>
  <c r="L572" i="4"/>
  <c r="V572" i="3"/>
  <c r="W572" i="3"/>
  <c r="X572" i="3"/>
  <c r="Y572" i="3"/>
  <c r="Z572" i="3"/>
  <c r="AA572" i="3"/>
  <c r="AB572" i="3"/>
  <c r="AC572" i="3"/>
  <c r="AD572" i="3"/>
  <c r="M573" i="3"/>
  <c r="C572" i="4"/>
  <c r="G572" i="4"/>
  <c r="I572" i="4"/>
  <c r="J572" i="4"/>
  <c r="H572" i="4"/>
  <c r="N573" i="3"/>
  <c r="O573" i="3"/>
  <c r="AI573" i="3"/>
  <c r="P573" i="3"/>
  <c r="Q573" i="3"/>
  <c r="M572" i="4"/>
  <c r="K572" i="4"/>
  <c r="L573" i="4"/>
  <c r="V573" i="3"/>
  <c r="W573" i="3"/>
  <c r="X573" i="3"/>
  <c r="Y573" i="3"/>
  <c r="Z573" i="3"/>
  <c r="AA573" i="3"/>
  <c r="AB573" i="3"/>
  <c r="AC573" i="3"/>
  <c r="AD573" i="3"/>
  <c r="M574" i="3"/>
  <c r="C573" i="4"/>
  <c r="O574" i="3"/>
  <c r="AI574" i="3"/>
  <c r="N574" i="3"/>
  <c r="P574" i="3"/>
  <c r="Q574" i="3"/>
  <c r="G573" i="4"/>
  <c r="I573" i="4"/>
  <c r="J573" i="4"/>
  <c r="H573" i="4"/>
  <c r="L574" i="4"/>
  <c r="C38" i="5"/>
  <c r="N38" i="5"/>
  <c r="V574" i="3"/>
  <c r="M573" i="4"/>
  <c r="K573" i="4"/>
  <c r="W574" i="3"/>
  <c r="X574" i="3"/>
  <c r="Y574" i="3"/>
  <c r="Z574" i="3"/>
  <c r="AA574" i="3"/>
  <c r="AB574" i="3"/>
  <c r="C574" i="4"/>
  <c r="M575" i="3"/>
  <c r="AC574" i="3"/>
  <c r="AD574" i="3"/>
  <c r="N575" i="3"/>
  <c r="P575" i="3"/>
  <c r="Q575" i="3"/>
  <c r="AI575" i="3"/>
  <c r="O575" i="3"/>
  <c r="G574" i="4"/>
  <c r="I574" i="4"/>
  <c r="J574" i="4"/>
  <c r="H574" i="4"/>
  <c r="K574" i="4"/>
  <c r="E38" i="5"/>
  <c r="D38" i="5"/>
  <c r="M574" i="4"/>
  <c r="L575" i="4"/>
  <c r="V575" i="3"/>
  <c r="W575" i="3"/>
  <c r="X575" i="3"/>
  <c r="Y575" i="3"/>
  <c r="Z575" i="3"/>
  <c r="AA575" i="3"/>
  <c r="AB575" i="3"/>
  <c r="M576" i="3"/>
  <c r="C575" i="4"/>
  <c r="AC575" i="3"/>
  <c r="AD575" i="3"/>
  <c r="G575" i="4"/>
  <c r="I575" i="4"/>
  <c r="J575" i="4"/>
  <c r="H575" i="4"/>
  <c r="N576" i="3"/>
  <c r="O576" i="3"/>
  <c r="AI576" i="3"/>
  <c r="P576" i="3"/>
  <c r="Q576" i="3"/>
  <c r="K575" i="4"/>
  <c r="M575" i="4"/>
  <c r="L576" i="4"/>
  <c r="V576" i="3"/>
  <c r="W576" i="3"/>
  <c r="X576" i="3"/>
  <c r="Y576" i="3"/>
  <c r="Z576" i="3"/>
  <c r="AA576" i="3"/>
  <c r="AB576" i="3"/>
  <c r="C576" i="4"/>
  <c r="M577" i="3"/>
  <c r="AC576" i="3"/>
  <c r="AD576" i="3"/>
  <c r="N577" i="3"/>
  <c r="AI577" i="3"/>
  <c r="O577" i="3"/>
  <c r="G576" i="4"/>
  <c r="I576" i="4"/>
  <c r="J576" i="4"/>
  <c r="H576" i="4"/>
  <c r="M576" i="4"/>
  <c r="K576" i="4"/>
  <c r="P577" i="3"/>
  <c r="Q577" i="3"/>
  <c r="L577" i="4"/>
  <c r="V577" i="3"/>
  <c r="W577" i="3"/>
  <c r="X577" i="3"/>
  <c r="Y577" i="3"/>
  <c r="Z577" i="3"/>
  <c r="AA577" i="3"/>
  <c r="AB577" i="3"/>
  <c r="C577" i="4"/>
  <c r="M578" i="3"/>
  <c r="AC577" i="3"/>
  <c r="AD577" i="3"/>
  <c r="O578" i="3"/>
  <c r="N578" i="3"/>
  <c r="P578" i="3"/>
  <c r="Q578" i="3"/>
  <c r="AI578" i="3"/>
  <c r="G577" i="4"/>
  <c r="I577" i="4"/>
  <c r="J577" i="4"/>
  <c r="H577" i="4"/>
  <c r="K577" i="4"/>
  <c r="M577" i="4"/>
  <c r="L578" i="4"/>
  <c r="V578" i="3"/>
  <c r="W578" i="3"/>
  <c r="X578" i="3"/>
  <c r="Y578" i="3"/>
  <c r="Z578" i="3"/>
  <c r="AA578" i="3"/>
  <c r="AB578" i="3"/>
  <c r="AC578" i="3"/>
  <c r="AD578" i="3"/>
  <c r="C578" i="4"/>
  <c r="M579" i="3"/>
  <c r="G578" i="4"/>
  <c r="I578" i="4"/>
  <c r="J578" i="4"/>
  <c r="H578" i="4"/>
  <c r="AI579" i="3"/>
  <c r="O579" i="3"/>
  <c r="N579" i="3"/>
  <c r="P579" i="3"/>
  <c r="Q579" i="3"/>
  <c r="K578" i="4"/>
  <c r="M578" i="4"/>
  <c r="L579" i="4"/>
  <c r="V579" i="3"/>
  <c r="W579" i="3"/>
  <c r="X579" i="3"/>
  <c r="Y579" i="3"/>
  <c r="Z579" i="3"/>
  <c r="AA579" i="3"/>
  <c r="AB579" i="3"/>
  <c r="C579" i="4"/>
  <c r="M580" i="3"/>
  <c r="AC579" i="3"/>
  <c r="AD579" i="3"/>
  <c r="AI580" i="3"/>
  <c r="N580" i="3"/>
  <c r="O580" i="3"/>
  <c r="G579" i="4"/>
  <c r="I579" i="4"/>
  <c r="J579" i="4"/>
  <c r="H579" i="4"/>
  <c r="K579" i="4"/>
  <c r="M579" i="4"/>
  <c r="P580" i="3"/>
  <c r="Q580" i="3"/>
  <c r="L580" i="4"/>
  <c r="V580" i="3"/>
  <c r="W580" i="3"/>
  <c r="X580" i="3"/>
  <c r="Y580" i="3"/>
  <c r="Z580" i="3"/>
  <c r="AA580" i="3"/>
  <c r="AB580" i="3"/>
  <c r="M581" i="3"/>
  <c r="C580" i="4"/>
  <c r="AC580" i="3"/>
  <c r="AD580" i="3"/>
  <c r="G580" i="4"/>
  <c r="I580" i="4"/>
  <c r="J580" i="4"/>
  <c r="H580" i="4"/>
  <c r="AI581" i="3"/>
  <c r="O581" i="3"/>
  <c r="N581" i="3"/>
  <c r="P581" i="3"/>
  <c r="Q581" i="3"/>
  <c r="L581" i="4"/>
  <c r="V581" i="3"/>
  <c r="K580" i="4"/>
  <c r="M580" i="4"/>
  <c r="W581" i="3"/>
  <c r="X581" i="3"/>
  <c r="Y581" i="3"/>
  <c r="Z581" i="3"/>
  <c r="AA581" i="3"/>
  <c r="AB581" i="3"/>
  <c r="C581" i="4"/>
  <c r="AC581" i="3"/>
  <c r="AD581" i="3"/>
  <c r="M582" i="3"/>
  <c r="AI582" i="3"/>
  <c r="O582" i="3"/>
  <c r="N582" i="3"/>
  <c r="P582" i="3"/>
  <c r="Q582" i="3"/>
  <c r="G581" i="4"/>
  <c r="I581" i="4"/>
  <c r="J581" i="4"/>
  <c r="H581" i="4"/>
  <c r="L582" i="4"/>
  <c r="V582" i="3"/>
  <c r="K581" i="4"/>
  <c r="M581" i="4"/>
  <c r="W582" i="3"/>
  <c r="X582" i="3"/>
  <c r="Y582" i="3"/>
  <c r="Z582" i="3"/>
  <c r="AA582" i="3"/>
  <c r="AB582" i="3"/>
  <c r="C582" i="4"/>
  <c r="AC582" i="3"/>
  <c r="AD582" i="3"/>
  <c r="M583" i="3"/>
  <c r="O583" i="3"/>
  <c r="N583" i="3"/>
  <c r="P583" i="3"/>
  <c r="Q583" i="3"/>
  <c r="AI583" i="3"/>
  <c r="G582" i="4"/>
  <c r="I582" i="4"/>
  <c r="J582" i="4"/>
  <c r="H582" i="4"/>
  <c r="L583" i="4"/>
  <c r="V583" i="3"/>
  <c r="M582" i="4"/>
  <c r="K582" i="4"/>
  <c r="W583" i="3"/>
  <c r="X583" i="3"/>
  <c r="Y583" i="3"/>
  <c r="Z583" i="3"/>
  <c r="AA583" i="3"/>
  <c r="AB583" i="3"/>
  <c r="C583" i="4"/>
  <c r="M584" i="3"/>
  <c r="AC583" i="3"/>
  <c r="AD583" i="3"/>
  <c r="N584" i="3"/>
  <c r="P584" i="3"/>
  <c r="Q584" i="3"/>
  <c r="O584" i="3"/>
  <c r="AI584" i="3"/>
  <c r="G583" i="4"/>
  <c r="I583" i="4"/>
  <c r="J583" i="4"/>
  <c r="H583" i="4"/>
  <c r="K583" i="4"/>
  <c r="M583" i="4"/>
  <c r="L584" i="4"/>
  <c r="V584" i="3"/>
  <c r="W584" i="3"/>
  <c r="X584" i="3"/>
  <c r="Y584" i="3"/>
  <c r="Z584" i="3"/>
  <c r="AA584" i="3"/>
  <c r="AB584" i="3"/>
  <c r="M585" i="3"/>
  <c r="C584" i="4"/>
  <c r="AC584" i="3"/>
  <c r="AD584" i="3"/>
  <c r="G584" i="4"/>
  <c r="I584" i="4"/>
  <c r="J584" i="4"/>
  <c r="H584" i="4"/>
  <c r="N585" i="3"/>
  <c r="O585" i="3"/>
  <c r="AI585" i="3"/>
  <c r="P585" i="3"/>
  <c r="Q585" i="3"/>
  <c r="M584" i="4"/>
  <c r="K584" i="4"/>
  <c r="L585" i="4"/>
  <c r="V585" i="3"/>
  <c r="W585" i="3"/>
  <c r="X585" i="3"/>
  <c r="Y585" i="3"/>
  <c r="Z585" i="3"/>
  <c r="AA585" i="3"/>
  <c r="AB585" i="3"/>
  <c r="AC585" i="3"/>
  <c r="AD585" i="3"/>
  <c r="C585" i="4"/>
  <c r="M586" i="3"/>
  <c r="O586" i="3"/>
  <c r="N586" i="3"/>
  <c r="P586" i="3"/>
  <c r="Q586" i="3"/>
  <c r="AI586" i="3"/>
  <c r="G585" i="4"/>
  <c r="I585" i="4"/>
  <c r="J585" i="4"/>
  <c r="H585" i="4"/>
  <c r="M585" i="4"/>
  <c r="K585" i="4"/>
  <c r="L586" i="4"/>
  <c r="V586" i="3"/>
  <c r="W586" i="3"/>
  <c r="X586" i="3"/>
  <c r="Y586" i="3"/>
  <c r="Z586" i="3"/>
  <c r="AA586" i="3"/>
  <c r="AB586" i="3"/>
  <c r="C586" i="4"/>
  <c r="M587" i="3"/>
  <c r="AC586" i="3"/>
  <c r="AD586" i="3"/>
  <c r="N587" i="3"/>
  <c r="AI587" i="3"/>
  <c r="O587" i="3"/>
  <c r="G586" i="4"/>
  <c r="I586" i="4"/>
  <c r="J586" i="4"/>
  <c r="H586" i="4"/>
  <c r="M586" i="4"/>
  <c r="K586" i="4"/>
  <c r="P587" i="3"/>
  <c r="Q587" i="3"/>
  <c r="L587" i="4"/>
  <c r="V587" i="3"/>
  <c r="W587" i="3"/>
  <c r="X587" i="3"/>
  <c r="Y587" i="3"/>
  <c r="Z587" i="3"/>
  <c r="AA587" i="3"/>
  <c r="AB587" i="3"/>
  <c r="AC587" i="3"/>
  <c r="AD587" i="3"/>
  <c r="M588" i="3"/>
  <c r="C587" i="4"/>
  <c r="G587" i="4"/>
  <c r="I587" i="4"/>
  <c r="J587" i="4"/>
  <c r="H587" i="4"/>
  <c r="N588" i="3"/>
  <c r="O588" i="3"/>
  <c r="AI588" i="3"/>
  <c r="P588" i="3"/>
  <c r="Q588" i="3"/>
  <c r="M587" i="4"/>
  <c r="K587" i="4"/>
  <c r="L588" i="4"/>
  <c r="V588" i="3"/>
  <c r="W588" i="3"/>
  <c r="X588" i="3"/>
  <c r="Y588" i="3"/>
  <c r="Z588" i="3"/>
  <c r="AA588" i="3"/>
  <c r="AB588" i="3"/>
  <c r="M589" i="3"/>
  <c r="AC588" i="3"/>
  <c r="AD588" i="3"/>
  <c r="C588" i="4"/>
  <c r="G588" i="4"/>
  <c r="I588" i="4"/>
  <c r="J588" i="4"/>
  <c r="H588" i="4"/>
  <c r="O589" i="3"/>
  <c r="N589" i="3"/>
  <c r="P589" i="3"/>
  <c r="Q589" i="3"/>
  <c r="AI589" i="3"/>
  <c r="L589" i="4"/>
  <c r="V589" i="3"/>
  <c r="M588" i="4"/>
  <c r="K588" i="4"/>
  <c r="W589" i="3"/>
  <c r="X589" i="3"/>
  <c r="Y589" i="3"/>
  <c r="Z589" i="3"/>
  <c r="AA589" i="3"/>
  <c r="AB589" i="3"/>
  <c r="M590" i="3"/>
  <c r="AC589" i="3"/>
  <c r="AD589" i="3"/>
  <c r="C589" i="4"/>
  <c r="G589" i="4"/>
  <c r="I589" i="4"/>
  <c r="J589" i="4"/>
  <c r="H589" i="4"/>
  <c r="N590" i="3"/>
  <c r="O590" i="3"/>
  <c r="AI590" i="3"/>
  <c r="P590" i="3"/>
  <c r="Q590" i="3"/>
  <c r="K589" i="4"/>
  <c r="M589" i="4"/>
  <c r="L590" i="4"/>
  <c r="V590" i="3"/>
  <c r="W590" i="3"/>
  <c r="X590" i="3"/>
  <c r="Y590" i="3"/>
  <c r="Z590" i="3"/>
  <c r="AA590" i="3"/>
  <c r="AB590" i="3"/>
  <c r="AC590" i="3"/>
  <c r="AD590" i="3"/>
  <c r="M591" i="3"/>
  <c r="C590" i="4"/>
  <c r="G590" i="4"/>
  <c r="I590" i="4"/>
  <c r="J590" i="4"/>
  <c r="H590" i="4"/>
  <c r="N591" i="3"/>
  <c r="O591" i="3"/>
  <c r="AI591" i="3"/>
  <c r="P591" i="3"/>
  <c r="Q591" i="3"/>
  <c r="K590" i="4"/>
  <c r="M590" i="4"/>
  <c r="L591" i="4"/>
  <c r="V591" i="3"/>
  <c r="W591" i="3"/>
  <c r="X591" i="3"/>
  <c r="Y591" i="3"/>
  <c r="Z591" i="3"/>
  <c r="AA591" i="3"/>
  <c r="AB591" i="3"/>
  <c r="C591" i="4"/>
  <c r="M592" i="3"/>
  <c r="AC591" i="3"/>
  <c r="AD591" i="3"/>
  <c r="AI592" i="3"/>
  <c r="N592" i="3"/>
  <c r="O592" i="3"/>
  <c r="G591" i="4"/>
  <c r="I591" i="4"/>
  <c r="J591" i="4"/>
  <c r="H591" i="4"/>
  <c r="P592" i="3"/>
  <c r="Q592" i="3"/>
  <c r="M591" i="4"/>
  <c r="K591" i="4"/>
  <c r="L592" i="4"/>
  <c r="V592" i="3"/>
  <c r="W592" i="3"/>
  <c r="X592" i="3"/>
  <c r="Y592" i="3"/>
  <c r="Z592" i="3"/>
  <c r="AA592" i="3"/>
  <c r="AB592" i="3"/>
  <c r="C592" i="4"/>
  <c r="M593" i="3"/>
  <c r="AC592" i="3"/>
  <c r="AD592" i="3"/>
  <c r="O593" i="3"/>
  <c r="N593" i="3"/>
  <c r="P593" i="3"/>
  <c r="Q593" i="3"/>
  <c r="AI593" i="3"/>
  <c r="G592" i="4"/>
  <c r="I592" i="4"/>
  <c r="J592" i="4"/>
  <c r="H592" i="4"/>
  <c r="L593" i="4"/>
  <c r="V593" i="3"/>
  <c r="M592" i="4"/>
  <c r="K592" i="4"/>
  <c r="W593" i="3"/>
  <c r="X593" i="3"/>
  <c r="Y593" i="3"/>
  <c r="Z593" i="3"/>
  <c r="AA593" i="3"/>
  <c r="AB593" i="3"/>
  <c r="C593" i="4"/>
  <c r="M594" i="3"/>
  <c r="AC593" i="3"/>
  <c r="AD593" i="3"/>
  <c r="N594" i="3"/>
  <c r="O594" i="3"/>
  <c r="AI594" i="3"/>
  <c r="G593" i="4"/>
  <c r="I593" i="4"/>
  <c r="J593" i="4"/>
  <c r="H593" i="4"/>
  <c r="K593" i="4"/>
  <c r="M593" i="4"/>
  <c r="P594" i="3"/>
  <c r="Q594" i="3"/>
  <c r="L594" i="4"/>
  <c r="V594" i="3"/>
  <c r="W594" i="3"/>
  <c r="X594" i="3"/>
  <c r="Y594" i="3"/>
  <c r="Z594" i="3"/>
  <c r="AA594" i="3"/>
  <c r="AB594" i="3"/>
  <c r="M595" i="3"/>
  <c r="C594" i="4"/>
  <c r="AC594" i="3"/>
  <c r="AD594" i="3"/>
  <c r="G594" i="4"/>
  <c r="I594" i="4"/>
  <c r="J594" i="4"/>
  <c r="H594" i="4"/>
  <c r="O595" i="3"/>
  <c r="N595" i="3"/>
  <c r="P595" i="3"/>
  <c r="Q595" i="3"/>
  <c r="AI595" i="3"/>
  <c r="L595" i="4"/>
  <c r="V595" i="3"/>
  <c r="M594" i="4"/>
  <c r="K594" i="4"/>
  <c r="W595" i="3"/>
  <c r="X595" i="3"/>
  <c r="Y595" i="3"/>
  <c r="Z595" i="3"/>
  <c r="AA595" i="3"/>
  <c r="AB595" i="3"/>
  <c r="M596" i="3"/>
  <c r="C595" i="4"/>
  <c r="AC595" i="3"/>
  <c r="AD595" i="3"/>
  <c r="G595" i="4"/>
  <c r="I595" i="4"/>
  <c r="J595" i="4"/>
  <c r="H595" i="4"/>
  <c r="O596" i="3"/>
  <c r="N596" i="3"/>
  <c r="P596" i="3"/>
  <c r="Q596" i="3"/>
  <c r="AI596" i="3"/>
  <c r="L596" i="4"/>
  <c r="V596" i="3"/>
  <c r="M595" i="4"/>
  <c r="K595" i="4"/>
  <c r="W596" i="3"/>
  <c r="X596" i="3"/>
  <c r="Y596" i="3"/>
  <c r="Z596" i="3"/>
  <c r="AA596" i="3"/>
  <c r="AB596" i="3"/>
  <c r="AC596" i="3"/>
  <c r="AD596" i="3"/>
  <c r="M597" i="3"/>
  <c r="C596" i="4"/>
  <c r="G596" i="4"/>
  <c r="I596" i="4"/>
  <c r="J596" i="4"/>
  <c r="H596" i="4"/>
  <c r="N597" i="3"/>
  <c r="AI597" i="3"/>
  <c r="O597" i="3"/>
  <c r="P597" i="3"/>
  <c r="Q597" i="3"/>
  <c r="K596" i="4"/>
  <c r="M596" i="4"/>
  <c r="L597" i="4"/>
  <c r="V597" i="3"/>
  <c r="W597" i="3"/>
  <c r="X597" i="3"/>
  <c r="Y597" i="3"/>
  <c r="Z597" i="3"/>
  <c r="AA597" i="3"/>
  <c r="AB597" i="3"/>
  <c r="AC597" i="3"/>
  <c r="AD597" i="3"/>
  <c r="M598" i="3"/>
  <c r="C597" i="4"/>
  <c r="G597" i="4"/>
  <c r="I597" i="4"/>
  <c r="J597" i="4"/>
  <c r="H597" i="4"/>
  <c r="AI598" i="3"/>
  <c r="O598" i="3"/>
  <c r="N598" i="3"/>
  <c r="P598" i="3"/>
  <c r="Q598" i="3"/>
  <c r="L598" i="4"/>
  <c r="V598" i="3"/>
  <c r="M597" i="4"/>
  <c r="K597" i="4"/>
  <c r="W598" i="3"/>
  <c r="X598" i="3"/>
  <c r="Y598" i="3"/>
  <c r="Z598" i="3"/>
  <c r="AA598" i="3"/>
  <c r="AB598" i="3"/>
  <c r="C598" i="4"/>
  <c r="AC598" i="3"/>
  <c r="AD598" i="3"/>
  <c r="M599" i="3"/>
  <c r="O599" i="3"/>
  <c r="AI599" i="3"/>
  <c r="N599" i="3"/>
  <c r="G598" i="4"/>
  <c r="I598" i="4"/>
  <c r="J598" i="4"/>
  <c r="H598" i="4"/>
  <c r="P599" i="3"/>
  <c r="Q599" i="3"/>
  <c r="K598" i="4"/>
  <c r="M598" i="4"/>
  <c r="L599" i="4"/>
  <c r="V599" i="3"/>
  <c r="W599" i="3"/>
  <c r="X599" i="3"/>
  <c r="Y599" i="3"/>
  <c r="Z599" i="3"/>
  <c r="AA599" i="3"/>
  <c r="AB599" i="3"/>
  <c r="AC599" i="3"/>
  <c r="AD599" i="3"/>
  <c r="C599" i="4"/>
  <c r="M600" i="3"/>
  <c r="AI600" i="3"/>
  <c r="O600" i="3"/>
  <c r="N600" i="3"/>
  <c r="P600" i="3"/>
  <c r="Q600" i="3"/>
  <c r="G599" i="4"/>
  <c r="I599" i="4"/>
  <c r="J599" i="4"/>
  <c r="H599" i="4"/>
  <c r="M599" i="4"/>
  <c r="K599" i="4"/>
  <c r="L600" i="4"/>
  <c r="V600" i="3"/>
  <c r="W600" i="3"/>
  <c r="X600" i="3"/>
  <c r="Y600" i="3"/>
  <c r="Z600" i="3"/>
  <c r="AA600" i="3"/>
  <c r="AB600" i="3"/>
  <c r="C600" i="4"/>
  <c r="AC600" i="3"/>
  <c r="AD600" i="3"/>
  <c r="M601" i="3"/>
  <c r="O601" i="3"/>
  <c r="N601" i="3"/>
  <c r="P601" i="3"/>
  <c r="Q601" i="3"/>
  <c r="AI601" i="3"/>
  <c r="G600" i="4"/>
  <c r="I600" i="4"/>
  <c r="J600" i="4"/>
  <c r="H600" i="4"/>
  <c r="K600" i="4"/>
  <c r="M600" i="4"/>
  <c r="L601" i="4"/>
  <c r="V601" i="3"/>
  <c r="W601" i="3"/>
  <c r="X601" i="3"/>
  <c r="Y601" i="3"/>
  <c r="Z601" i="3"/>
  <c r="AA601" i="3"/>
  <c r="AB601" i="3"/>
  <c r="M602" i="3"/>
  <c r="C601" i="4"/>
  <c r="AC601" i="3"/>
  <c r="AD601" i="3"/>
  <c r="G601" i="4"/>
  <c r="I601" i="4"/>
  <c r="J601" i="4"/>
  <c r="H601" i="4"/>
  <c r="N602" i="3"/>
  <c r="O602" i="3"/>
  <c r="AI602" i="3"/>
  <c r="P602" i="3"/>
  <c r="Q602" i="3"/>
  <c r="K601" i="4"/>
  <c r="M601" i="4"/>
  <c r="L602" i="4"/>
  <c r="V602" i="3"/>
  <c r="W602" i="3"/>
  <c r="X602" i="3"/>
  <c r="Y602" i="3"/>
  <c r="Z602" i="3"/>
  <c r="AA602" i="3"/>
  <c r="AB602" i="3"/>
  <c r="AC602" i="3"/>
  <c r="AD602" i="3"/>
  <c r="C602" i="4"/>
  <c r="M603" i="3"/>
  <c r="O603" i="3"/>
  <c r="N603" i="3"/>
  <c r="AI603" i="3"/>
  <c r="G602" i="4"/>
  <c r="I602" i="4"/>
  <c r="J602" i="4"/>
  <c r="H602" i="4"/>
  <c r="M602" i="4"/>
  <c r="K602" i="4"/>
  <c r="P603" i="3"/>
  <c r="Q603" i="3"/>
  <c r="L603" i="4"/>
  <c r="V603" i="3"/>
  <c r="W603" i="3"/>
  <c r="X603" i="3"/>
  <c r="Y603" i="3"/>
  <c r="Z603" i="3"/>
  <c r="AA603" i="3"/>
  <c r="AB603" i="3"/>
  <c r="M604" i="3"/>
  <c r="C603" i="4"/>
  <c r="AC603" i="3"/>
  <c r="AD603" i="3"/>
  <c r="G603" i="4"/>
  <c r="I603" i="4"/>
  <c r="J603" i="4"/>
  <c r="H603" i="4"/>
  <c r="AI604" i="3"/>
  <c r="N604" i="3"/>
  <c r="O604" i="3"/>
  <c r="P604" i="3"/>
  <c r="Q604" i="3"/>
  <c r="M603" i="4"/>
  <c r="K603" i="4"/>
  <c r="L604" i="4"/>
  <c r="V604" i="3"/>
  <c r="W604" i="3"/>
  <c r="X604" i="3"/>
  <c r="Y604" i="3"/>
  <c r="Z604" i="3"/>
  <c r="AA604" i="3"/>
  <c r="AB604" i="3"/>
  <c r="M605" i="3"/>
  <c r="C604" i="4"/>
  <c r="AC604" i="3"/>
  <c r="AD604" i="3"/>
  <c r="G604" i="4"/>
  <c r="I604" i="4"/>
  <c r="J604" i="4"/>
  <c r="H604" i="4"/>
  <c r="N605" i="3"/>
  <c r="O605" i="3"/>
  <c r="AI605" i="3"/>
  <c r="P605" i="3"/>
  <c r="Q605" i="3"/>
  <c r="K604" i="4"/>
  <c r="M604" i="4"/>
  <c r="L605" i="4"/>
  <c r="V605" i="3"/>
  <c r="W605" i="3"/>
  <c r="X605" i="3"/>
  <c r="Y605" i="3"/>
  <c r="Z605" i="3"/>
  <c r="AA605" i="3"/>
  <c r="AB605" i="3"/>
  <c r="C605" i="4"/>
  <c r="AC605" i="3"/>
  <c r="AD605" i="3"/>
  <c r="M606" i="3"/>
  <c r="AI606" i="3"/>
  <c r="O606" i="3"/>
  <c r="N606" i="3"/>
  <c r="P606" i="3"/>
  <c r="Q606" i="3"/>
  <c r="G605" i="4"/>
  <c r="I605" i="4"/>
  <c r="J605" i="4"/>
  <c r="H605" i="4"/>
  <c r="L606" i="4"/>
  <c r="V606" i="3"/>
  <c r="K605" i="4"/>
  <c r="M605" i="4"/>
  <c r="W606" i="3"/>
  <c r="X606" i="3"/>
  <c r="Y606" i="3"/>
  <c r="Z606" i="3"/>
  <c r="AA606" i="3"/>
  <c r="AB606" i="3"/>
  <c r="C606" i="4"/>
  <c r="AC606" i="3"/>
  <c r="AD606" i="3"/>
  <c r="M607" i="3"/>
  <c r="G606" i="4"/>
  <c r="I606" i="4"/>
  <c r="J606" i="4"/>
  <c r="H606" i="4"/>
  <c r="N607" i="3"/>
  <c r="P607" i="3"/>
  <c r="Q607" i="3"/>
  <c r="O607" i="3"/>
  <c r="AI607" i="3"/>
  <c r="L607" i="4"/>
  <c r="V607" i="3"/>
  <c r="K606" i="4"/>
  <c r="M606" i="4"/>
  <c r="W607" i="3"/>
  <c r="X607" i="3"/>
  <c r="Y607" i="3"/>
  <c r="Z607" i="3"/>
  <c r="AA607" i="3"/>
  <c r="AB607" i="3"/>
  <c r="C607" i="4"/>
  <c r="AC607" i="3"/>
  <c r="AD607" i="3"/>
  <c r="M608" i="3"/>
  <c r="O608" i="3"/>
  <c r="AI608" i="3"/>
  <c r="N608" i="3"/>
  <c r="P608" i="3"/>
  <c r="Q608" i="3"/>
  <c r="G607" i="4"/>
  <c r="I607" i="4"/>
  <c r="J607" i="4"/>
  <c r="H607" i="4"/>
  <c r="M607" i="4"/>
  <c r="K607" i="4"/>
  <c r="L608" i="4"/>
  <c r="V608" i="3"/>
  <c r="W608" i="3"/>
  <c r="X608" i="3"/>
  <c r="Y608" i="3"/>
  <c r="Z608" i="3"/>
  <c r="AA608" i="3"/>
  <c r="AB608" i="3"/>
  <c r="C608" i="4"/>
  <c r="M609" i="3"/>
  <c r="AC608" i="3"/>
  <c r="AD608" i="3"/>
  <c r="N609" i="3"/>
  <c r="O609" i="3"/>
  <c r="AI609" i="3"/>
  <c r="G608" i="4"/>
  <c r="I608" i="4"/>
  <c r="J608" i="4"/>
  <c r="H608" i="4"/>
  <c r="M608" i="4"/>
  <c r="K608" i="4"/>
  <c r="P609" i="3"/>
  <c r="Q609" i="3"/>
  <c r="L609" i="4"/>
  <c r="V609" i="3"/>
  <c r="W609" i="3"/>
  <c r="X609" i="3"/>
  <c r="Y609" i="3"/>
  <c r="Z609" i="3"/>
  <c r="AA609" i="3"/>
  <c r="AB609" i="3"/>
  <c r="M610" i="3"/>
  <c r="AC609" i="3"/>
  <c r="AD609" i="3"/>
  <c r="C609" i="4"/>
  <c r="G609" i="4"/>
  <c r="I609" i="4"/>
  <c r="J609" i="4"/>
  <c r="H609" i="4"/>
  <c r="AI610" i="3"/>
  <c r="O610" i="3"/>
  <c r="N610" i="3"/>
  <c r="P610" i="3"/>
  <c r="Q610" i="3"/>
  <c r="L610" i="4"/>
  <c r="V610" i="3"/>
  <c r="M609" i="4"/>
  <c r="K609" i="4"/>
  <c r="W610" i="3"/>
  <c r="X610" i="3"/>
  <c r="Y610" i="3"/>
  <c r="Z610" i="3"/>
  <c r="AA610" i="3"/>
  <c r="AB610" i="3"/>
  <c r="AC610" i="3"/>
  <c r="AD610" i="3"/>
  <c r="M611" i="3"/>
  <c r="C610" i="4"/>
  <c r="G610" i="4"/>
  <c r="I610" i="4"/>
  <c r="J610" i="4"/>
  <c r="H610" i="4"/>
  <c r="N611" i="3"/>
  <c r="P611" i="3"/>
  <c r="Q611" i="3"/>
  <c r="O611" i="3"/>
  <c r="AI611" i="3"/>
  <c r="L611" i="4"/>
  <c r="V611" i="3"/>
  <c r="K610" i="4"/>
  <c r="M610" i="4"/>
  <c r="W611" i="3"/>
  <c r="X611" i="3"/>
  <c r="Y611" i="3"/>
  <c r="Z611" i="3"/>
  <c r="AA611" i="3"/>
  <c r="AB611" i="3"/>
  <c r="M612" i="3"/>
  <c r="AC611" i="3"/>
  <c r="AD611" i="3"/>
  <c r="C611" i="4"/>
  <c r="G611" i="4"/>
  <c r="I611" i="4"/>
  <c r="J611" i="4"/>
  <c r="H611" i="4"/>
  <c r="AI612" i="3"/>
  <c r="O612" i="3"/>
  <c r="N612" i="3"/>
  <c r="P612" i="3"/>
  <c r="Q612" i="3"/>
  <c r="L612" i="4"/>
  <c r="V612" i="3"/>
  <c r="K611" i="4"/>
  <c r="M611" i="4"/>
  <c r="W612" i="3"/>
  <c r="X612" i="3"/>
  <c r="Y612" i="3"/>
  <c r="Z612" i="3"/>
  <c r="AA612" i="3"/>
  <c r="AB612" i="3"/>
  <c r="AC612" i="3"/>
  <c r="AD612" i="3"/>
  <c r="M613" i="3"/>
  <c r="C612" i="4"/>
  <c r="G612" i="4"/>
  <c r="I612" i="4"/>
  <c r="J612" i="4"/>
  <c r="H612" i="4"/>
  <c r="AI613" i="3"/>
  <c r="O613" i="3"/>
  <c r="N613" i="3"/>
  <c r="P613" i="3"/>
  <c r="Q613" i="3"/>
  <c r="L613" i="4"/>
  <c r="V613" i="3"/>
  <c r="M612" i="4"/>
  <c r="K612" i="4"/>
  <c r="W613" i="3"/>
  <c r="X613" i="3"/>
  <c r="Y613" i="3"/>
  <c r="Z613" i="3"/>
  <c r="AA613" i="3"/>
  <c r="AB613" i="3"/>
  <c r="AC613" i="3"/>
  <c r="AD613" i="3"/>
  <c r="M614" i="3"/>
  <c r="C613" i="4"/>
  <c r="G613" i="4"/>
  <c r="I613" i="4"/>
  <c r="J613" i="4"/>
  <c r="H613" i="4"/>
  <c r="N614" i="3"/>
  <c r="P614" i="3"/>
  <c r="Q614" i="3"/>
  <c r="O614" i="3"/>
  <c r="AI614" i="3"/>
  <c r="L614" i="4"/>
  <c r="V614" i="3"/>
  <c r="K613" i="4"/>
  <c r="M613" i="4"/>
  <c r="W614" i="3"/>
  <c r="X614" i="3"/>
  <c r="Y614" i="3"/>
  <c r="Z614" i="3"/>
  <c r="AA614" i="3"/>
  <c r="AB614" i="3"/>
  <c r="AC614" i="3"/>
  <c r="AD614" i="3"/>
  <c r="C614" i="4"/>
  <c r="M615" i="3"/>
  <c r="AI615" i="3"/>
  <c r="N615" i="3"/>
  <c r="P615" i="3"/>
  <c r="Q615" i="3"/>
  <c r="O615" i="3"/>
  <c r="G614" i="4"/>
  <c r="I614" i="4"/>
  <c r="J614" i="4"/>
  <c r="H614" i="4"/>
  <c r="L615" i="4"/>
  <c r="V615" i="3"/>
  <c r="M614" i="4"/>
  <c r="K614" i="4"/>
  <c r="W615" i="3"/>
  <c r="X615" i="3"/>
  <c r="Y615" i="3"/>
  <c r="Z615" i="3"/>
  <c r="AA615" i="3"/>
  <c r="AB615" i="3"/>
  <c r="M616" i="3"/>
  <c r="C615" i="4"/>
  <c r="AC615" i="3"/>
  <c r="AD615" i="3"/>
  <c r="G615" i="4"/>
  <c r="I615" i="4"/>
  <c r="J615" i="4"/>
  <c r="H615" i="4"/>
  <c r="O616" i="3"/>
  <c r="N616" i="3"/>
  <c r="AI616" i="3"/>
  <c r="P616" i="3"/>
  <c r="Q616" i="3"/>
  <c r="K615" i="4"/>
  <c r="M615" i="4"/>
  <c r="L616" i="4"/>
  <c r="C39" i="5"/>
  <c r="N39" i="5"/>
  <c r="V616" i="3"/>
  <c r="W616" i="3"/>
  <c r="X616" i="3"/>
  <c r="Y616" i="3"/>
  <c r="Z616" i="3"/>
  <c r="AA616" i="3"/>
  <c r="AB616" i="3"/>
  <c r="C616" i="4"/>
  <c r="M617" i="3"/>
  <c r="AC616" i="3"/>
  <c r="AD616" i="3"/>
  <c r="N617" i="3"/>
  <c r="O617" i="3"/>
  <c r="AI617" i="3"/>
  <c r="G616" i="4"/>
  <c r="I616" i="4"/>
  <c r="J616" i="4"/>
  <c r="H616" i="4"/>
  <c r="D39" i="5"/>
  <c r="K616" i="4"/>
  <c r="E39" i="5"/>
  <c r="M616" i="4"/>
  <c r="P617" i="3"/>
  <c r="Q617" i="3"/>
  <c r="L617" i="4"/>
  <c r="V617" i="3"/>
  <c r="W617" i="3"/>
  <c r="X617" i="3"/>
  <c r="Y617" i="3"/>
  <c r="Z617" i="3"/>
  <c r="AA617" i="3"/>
  <c r="AB617" i="3"/>
  <c r="C617" i="4"/>
  <c r="M618" i="3"/>
  <c r="AC617" i="3"/>
  <c r="AD617" i="3"/>
  <c r="AI618" i="3"/>
  <c r="O618" i="3"/>
  <c r="N618" i="3"/>
  <c r="G617" i="4"/>
  <c r="I617" i="4"/>
  <c r="J617" i="4"/>
  <c r="H617" i="4"/>
  <c r="K617" i="4"/>
  <c r="M617" i="4"/>
  <c r="P618" i="3"/>
  <c r="Q618" i="3"/>
  <c r="L618" i="4"/>
  <c r="V618" i="3"/>
  <c r="W618" i="3"/>
  <c r="X618" i="3"/>
  <c r="Y618" i="3"/>
  <c r="Z618" i="3"/>
  <c r="AA618" i="3"/>
  <c r="AB618" i="3"/>
  <c r="M619" i="3"/>
  <c r="AC618" i="3"/>
  <c r="AD618" i="3"/>
  <c r="C618" i="4"/>
  <c r="G618" i="4"/>
  <c r="I618" i="4"/>
  <c r="J618" i="4"/>
  <c r="H618" i="4"/>
  <c r="AI619" i="3"/>
  <c r="O619" i="3"/>
  <c r="N619" i="3"/>
  <c r="P619" i="3"/>
  <c r="Q619" i="3"/>
  <c r="L619" i="4"/>
  <c r="V619" i="3"/>
  <c r="K618" i="4"/>
  <c r="M618" i="4"/>
  <c r="W619" i="3"/>
  <c r="X619" i="3"/>
  <c r="Y619" i="3"/>
  <c r="Z619" i="3"/>
  <c r="AA619" i="3"/>
  <c r="AB619" i="3"/>
  <c r="M620" i="3"/>
  <c r="AC619" i="3"/>
  <c r="AD619" i="3"/>
  <c r="C619" i="4"/>
  <c r="G619" i="4"/>
  <c r="I619" i="4"/>
  <c r="J619" i="4"/>
  <c r="H619" i="4"/>
  <c r="AI620" i="3"/>
  <c r="N620" i="3"/>
  <c r="P620" i="3"/>
  <c r="Q620" i="3"/>
  <c r="O620" i="3"/>
  <c r="L620" i="4"/>
  <c r="V620" i="3"/>
  <c r="K619" i="4"/>
  <c r="M619" i="4"/>
  <c r="W620" i="3"/>
  <c r="X620" i="3"/>
  <c r="Y620" i="3"/>
  <c r="Z620" i="3"/>
  <c r="AA620" i="3"/>
  <c r="AB620" i="3"/>
  <c r="AC620" i="3"/>
  <c r="AD620" i="3"/>
  <c r="M621" i="3"/>
  <c r="C620" i="4"/>
  <c r="G620" i="4"/>
  <c r="I620" i="4"/>
  <c r="J620" i="4"/>
  <c r="H620" i="4"/>
  <c r="N621" i="3"/>
  <c r="P621" i="3"/>
  <c r="Q621" i="3"/>
  <c r="AI621" i="3"/>
  <c r="O621" i="3"/>
  <c r="L621" i="4"/>
  <c r="V621" i="3"/>
  <c r="M620" i="4"/>
  <c r="K620" i="4"/>
  <c r="W621" i="3"/>
  <c r="X621" i="3"/>
  <c r="Y621" i="3"/>
  <c r="Z621" i="3"/>
  <c r="AA621" i="3"/>
  <c r="AB621" i="3"/>
  <c r="C621" i="4"/>
  <c r="AC621" i="3"/>
  <c r="AD621" i="3"/>
  <c r="M622" i="3"/>
  <c r="N622" i="3"/>
  <c r="O622" i="3"/>
  <c r="AI622" i="3"/>
  <c r="G621" i="4"/>
  <c r="I621" i="4"/>
  <c r="J621" i="4"/>
  <c r="H621" i="4"/>
  <c r="M621" i="4"/>
  <c r="K621" i="4"/>
  <c r="P622" i="3"/>
  <c r="Q622" i="3"/>
  <c r="L622" i="4"/>
  <c r="V622" i="3"/>
  <c r="W622" i="3"/>
  <c r="X622" i="3"/>
  <c r="Y622" i="3"/>
  <c r="Z622" i="3"/>
  <c r="AA622" i="3"/>
  <c r="AB622" i="3"/>
  <c r="M623" i="3"/>
  <c r="C622" i="4"/>
  <c r="AC622" i="3"/>
  <c r="AD622" i="3"/>
  <c r="G622" i="4"/>
  <c r="I622" i="4"/>
  <c r="J622" i="4"/>
  <c r="H622" i="4"/>
  <c r="N623" i="3"/>
  <c r="O623" i="3"/>
  <c r="AI623" i="3"/>
  <c r="P623" i="3"/>
  <c r="Q623" i="3"/>
  <c r="M622" i="4"/>
  <c r="K622" i="4"/>
  <c r="L623" i="4"/>
  <c r="V623" i="3"/>
  <c r="W623" i="3"/>
  <c r="X623" i="3"/>
  <c r="Y623" i="3"/>
  <c r="Z623" i="3"/>
  <c r="AA623" i="3"/>
  <c r="AB623" i="3"/>
  <c r="C623" i="4"/>
  <c r="M624" i="3"/>
  <c r="AC623" i="3"/>
  <c r="AD623" i="3"/>
  <c r="AI624" i="3"/>
  <c r="O624" i="3"/>
  <c r="N624" i="3"/>
  <c r="P624" i="3"/>
  <c r="Q624" i="3"/>
  <c r="G623" i="4"/>
  <c r="I623" i="4"/>
  <c r="J623" i="4"/>
  <c r="H623" i="4"/>
  <c r="L624" i="4"/>
  <c r="V624" i="3"/>
  <c r="M623" i="4"/>
  <c r="K623" i="4"/>
  <c r="W624" i="3"/>
  <c r="X624" i="3"/>
  <c r="Y624" i="3"/>
  <c r="Z624" i="3"/>
  <c r="AA624" i="3"/>
  <c r="AB624" i="3"/>
  <c r="M625" i="3"/>
  <c r="AC624" i="3"/>
  <c r="AD624" i="3"/>
  <c r="C624" i="4"/>
  <c r="G624" i="4"/>
  <c r="I624" i="4"/>
  <c r="J624" i="4"/>
  <c r="H624" i="4"/>
  <c r="N625" i="3"/>
  <c r="O625" i="3"/>
  <c r="AI625" i="3"/>
  <c r="P625" i="3"/>
  <c r="Q625" i="3"/>
  <c r="K624" i="4"/>
  <c r="M624" i="4"/>
  <c r="L625" i="4"/>
  <c r="V625" i="3"/>
  <c r="W625" i="3"/>
  <c r="X625" i="3"/>
  <c r="Y625" i="3"/>
  <c r="Z625" i="3"/>
  <c r="AA625" i="3"/>
  <c r="AB625" i="3"/>
  <c r="M626" i="3"/>
  <c r="C625" i="4"/>
  <c r="AC625" i="3"/>
  <c r="AD625" i="3"/>
  <c r="G625" i="4"/>
  <c r="I625" i="4"/>
  <c r="J625" i="4"/>
  <c r="H625" i="4"/>
  <c r="O626" i="3"/>
  <c r="N626" i="3"/>
  <c r="P626" i="3"/>
  <c r="Q626" i="3"/>
  <c r="AI626" i="3"/>
  <c r="L626" i="4"/>
  <c r="V626" i="3"/>
  <c r="M625" i="4"/>
  <c r="K625" i="4"/>
  <c r="W626" i="3"/>
  <c r="X626" i="3"/>
  <c r="Y626" i="3"/>
  <c r="Z626" i="3"/>
  <c r="AA626" i="3"/>
  <c r="AB626" i="3"/>
  <c r="C626" i="4"/>
  <c r="M627" i="3"/>
  <c r="AC626" i="3"/>
  <c r="AD626" i="3"/>
  <c r="N627" i="3"/>
  <c r="O627" i="3"/>
  <c r="AI627" i="3"/>
  <c r="G626" i="4"/>
  <c r="I626" i="4"/>
  <c r="J626" i="4"/>
  <c r="H626" i="4"/>
  <c r="M626" i="4"/>
  <c r="K626" i="4"/>
  <c r="P627" i="3"/>
  <c r="Q627" i="3"/>
  <c r="L627" i="4"/>
  <c r="V627" i="3"/>
  <c r="W627" i="3"/>
  <c r="X627" i="3"/>
  <c r="Y627" i="3"/>
  <c r="Z627" i="3"/>
  <c r="AA627" i="3"/>
  <c r="AB627" i="3"/>
  <c r="C627" i="4"/>
  <c r="M628" i="3"/>
  <c r="AC627" i="3"/>
  <c r="AD627" i="3"/>
  <c r="O628" i="3"/>
  <c r="N628" i="3"/>
  <c r="AI628" i="3"/>
  <c r="G627" i="4"/>
  <c r="I627" i="4"/>
  <c r="J627" i="4"/>
  <c r="H627" i="4"/>
  <c r="K627" i="4"/>
  <c r="M627" i="4"/>
  <c r="P628" i="3"/>
  <c r="Q628" i="3"/>
  <c r="L628" i="4"/>
  <c r="V628" i="3"/>
  <c r="W628" i="3"/>
  <c r="X628" i="3"/>
  <c r="Y628" i="3"/>
  <c r="Z628" i="3"/>
  <c r="AA628" i="3"/>
  <c r="AB628" i="3"/>
  <c r="M629" i="3"/>
  <c r="C628" i="4"/>
  <c r="AC628" i="3"/>
  <c r="AD628" i="3"/>
  <c r="G628" i="4"/>
  <c r="I628" i="4"/>
  <c r="J628" i="4"/>
  <c r="H628" i="4"/>
  <c r="O629" i="3"/>
  <c r="N629" i="3"/>
  <c r="P629" i="3"/>
  <c r="Q629" i="3"/>
  <c r="AI629" i="3"/>
  <c r="L629" i="4"/>
  <c r="V629" i="3"/>
  <c r="K628" i="4"/>
  <c r="M628" i="4"/>
  <c r="W629" i="3"/>
  <c r="X629" i="3"/>
  <c r="Y629" i="3"/>
  <c r="Z629" i="3"/>
  <c r="AA629" i="3"/>
  <c r="AB629" i="3"/>
  <c r="C629" i="4"/>
  <c r="AC629" i="3"/>
  <c r="AD629" i="3"/>
  <c r="M630" i="3"/>
  <c r="O630" i="3"/>
  <c r="N630" i="3"/>
  <c r="P630" i="3"/>
  <c r="Q630" i="3"/>
  <c r="AI630" i="3"/>
  <c r="G629" i="4"/>
  <c r="I629" i="4"/>
  <c r="J629" i="4"/>
  <c r="H629" i="4"/>
  <c r="M629" i="4"/>
  <c r="K629" i="4"/>
  <c r="L630" i="4"/>
  <c r="V630" i="3"/>
  <c r="W630" i="3"/>
  <c r="X630" i="3"/>
  <c r="Y630" i="3"/>
  <c r="Z630" i="3"/>
  <c r="AA630" i="3"/>
  <c r="AB630" i="3"/>
  <c r="M631" i="3"/>
  <c r="C630" i="4"/>
  <c r="AC630" i="3"/>
  <c r="AD630" i="3"/>
  <c r="G630" i="4"/>
  <c r="I630" i="4"/>
  <c r="J630" i="4"/>
  <c r="H630" i="4"/>
  <c r="AI631" i="3"/>
  <c r="O631" i="3"/>
  <c r="N631" i="3"/>
  <c r="P631" i="3"/>
  <c r="Q631" i="3"/>
  <c r="L631" i="4"/>
  <c r="V631" i="3"/>
  <c r="K630" i="4"/>
  <c r="M630" i="4"/>
  <c r="W631" i="3"/>
  <c r="X631" i="3"/>
  <c r="Y631" i="3"/>
  <c r="Z631" i="3"/>
  <c r="AA631" i="3"/>
  <c r="AB631" i="3"/>
  <c r="M632" i="3"/>
  <c r="AC631" i="3"/>
  <c r="AD631" i="3"/>
  <c r="C631" i="4"/>
  <c r="G631" i="4"/>
  <c r="I631" i="4"/>
  <c r="J631" i="4"/>
  <c r="H631" i="4"/>
  <c r="AI632" i="3"/>
  <c r="N632" i="3"/>
  <c r="O632" i="3"/>
  <c r="P632" i="3"/>
  <c r="Q632" i="3"/>
  <c r="M631" i="4"/>
  <c r="K631" i="4"/>
  <c r="L632" i="4"/>
  <c r="V632" i="3"/>
  <c r="W632" i="3"/>
  <c r="X632" i="3"/>
  <c r="Y632" i="3"/>
  <c r="Z632" i="3"/>
  <c r="AA632" i="3"/>
  <c r="AB632" i="3"/>
  <c r="C632" i="4"/>
  <c r="M633" i="3"/>
  <c r="AC632" i="3"/>
  <c r="AD632" i="3"/>
  <c r="N633" i="3"/>
  <c r="O633" i="3"/>
  <c r="AI633" i="3"/>
  <c r="G632" i="4"/>
  <c r="I632" i="4"/>
  <c r="J632" i="4"/>
  <c r="H632" i="4"/>
  <c r="K632" i="4"/>
  <c r="M632" i="4"/>
  <c r="P633" i="3"/>
  <c r="Q633" i="3"/>
  <c r="L633" i="4"/>
  <c r="V633" i="3"/>
  <c r="W633" i="3"/>
  <c r="X633" i="3"/>
  <c r="Y633" i="3"/>
  <c r="Z633" i="3"/>
  <c r="AA633" i="3"/>
  <c r="AB633" i="3"/>
  <c r="C633" i="4"/>
  <c r="M634" i="3"/>
  <c r="AC633" i="3"/>
  <c r="AD633" i="3"/>
  <c r="AI634" i="3"/>
  <c r="O634" i="3"/>
  <c r="N634" i="3"/>
  <c r="P634" i="3"/>
  <c r="Q634" i="3"/>
  <c r="G633" i="4"/>
  <c r="I633" i="4"/>
  <c r="J633" i="4"/>
  <c r="H633" i="4"/>
  <c r="M633" i="4"/>
  <c r="K633" i="4"/>
  <c r="L634" i="4"/>
  <c r="V634" i="3"/>
  <c r="W634" i="3"/>
  <c r="X634" i="3"/>
  <c r="Y634" i="3"/>
  <c r="Z634" i="3"/>
  <c r="AA634" i="3"/>
  <c r="AB634" i="3"/>
  <c r="C634" i="4"/>
  <c r="AC634" i="3"/>
  <c r="AD634" i="3"/>
  <c r="M635" i="3"/>
  <c r="N635" i="3"/>
  <c r="O635" i="3"/>
  <c r="AI635" i="3"/>
  <c r="G634" i="4"/>
  <c r="I634" i="4"/>
  <c r="J634" i="4"/>
  <c r="H634" i="4"/>
  <c r="K634" i="4"/>
  <c r="M634" i="4"/>
  <c r="P635" i="3"/>
  <c r="Q635" i="3"/>
  <c r="L635" i="4"/>
  <c r="V635" i="3"/>
  <c r="W635" i="3"/>
  <c r="X635" i="3"/>
  <c r="Y635" i="3"/>
  <c r="Z635" i="3"/>
  <c r="AA635" i="3"/>
  <c r="AB635" i="3"/>
  <c r="C635" i="4"/>
  <c r="M636" i="3"/>
  <c r="AC635" i="3"/>
  <c r="AD635" i="3"/>
  <c r="N636" i="3"/>
  <c r="O636" i="3"/>
  <c r="AI636" i="3"/>
  <c r="G635" i="4"/>
  <c r="I635" i="4"/>
  <c r="J635" i="4"/>
  <c r="H635" i="4"/>
  <c r="K635" i="4"/>
  <c r="M635" i="4"/>
  <c r="P636" i="3"/>
  <c r="Q636" i="3"/>
  <c r="L636" i="4"/>
  <c r="V636" i="3"/>
  <c r="W636" i="3"/>
  <c r="X636" i="3"/>
  <c r="Y636" i="3"/>
  <c r="Z636" i="3"/>
  <c r="AA636" i="3"/>
  <c r="AB636" i="3"/>
  <c r="M637" i="3"/>
  <c r="C636" i="4"/>
  <c r="AC636" i="3"/>
  <c r="AD636" i="3"/>
  <c r="G636" i="4"/>
  <c r="I636" i="4"/>
  <c r="J636" i="4"/>
  <c r="H636" i="4"/>
  <c r="O637" i="3"/>
  <c r="N637" i="3"/>
  <c r="P637" i="3"/>
  <c r="Q637" i="3"/>
  <c r="AI637" i="3"/>
  <c r="L637" i="4"/>
  <c r="V637" i="3"/>
  <c r="M636" i="4"/>
  <c r="K636" i="4"/>
  <c r="W637" i="3"/>
  <c r="X637" i="3"/>
  <c r="Y637" i="3"/>
  <c r="Z637" i="3"/>
  <c r="AA637" i="3"/>
  <c r="AB637" i="3"/>
  <c r="M638" i="3"/>
  <c r="C637" i="4"/>
  <c r="AC637" i="3"/>
  <c r="AD637" i="3"/>
  <c r="G637" i="4"/>
  <c r="I637" i="4"/>
  <c r="J637" i="4"/>
  <c r="H637" i="4"/>
  <c r="O638" i="3"/>
  <c r="N638" i="3"/>
  <c r="P638" i="3"/>
  <c r="Q638" i="3"/>
  <c r="AI638" i="3"/>
  <c r="L638" i="4"/>
  <c r="V638" i="3"/>
  <c r="K637" i="4"/>
  <c r="M637" i="4"/>
  <c r="W638" i="3"/>
  <c r="X638" i="3"/>
  <c r="Y638" i="3"/>
  <c r="Z638" i="3"/>
  <c r="AA638" i="3"/>
  <c r="AB638" i="3"/>
  <c r="AC638" i="3"/>
  <c r="AD638" i="3"/>
  <c r="C638" i="4"/>
  <c r="M639" i="3"/>
  <c r="G638" i="4"/>
  <c r="I638" i="4"/>
  <c r="J638" i="4"/>
  <c r="H638" i="4"/>
  <c r="O639" i="3"/>
  <c r="AI639" i="3"/>
  <c r="N639" i="3"/>
  <c r="P639" i="3"/>
  <c r="Q639" i="3"/>
  <c r="L639" i="4"/>
  <c r="V639" i="3"/>
  <c r="M638" i="4"/>
  <c r="K638" i="4"/>
  <c r="X639" i="3"/>
  <c r="Y639" i="3"/>
  <c r="Z639" i="3"/>
  <c r="AA639" i="3"/>
  <c r="AB639" i="3"/>
  <c r="W639" i="3"/>
  <c r="C639" i="4"/>
  <c r="M640" i="3"/>
  <c r="AC639" i="3"/>
  <c r="AD639" i="3"/>
  <c r="N640" i="3"/>
  <c r="P640" i="3"/>
  <c r="Q640" i="3"/>
  <c r="O640" i="3"/>
  <c r="AI640" i="3"/>
  <c r="G639" i="4"/>
  <c r="I639" i="4"/>
  <c r="J639" i="4"/>
  <c r="H639" i="4"/>
  <c r="K639" i="4"/>
  <c r="M639" i="4"/>
  <c r="L640" i="4"/>
  <c r="V640" i="3"/>
  <c r="W640" i="3"/>
  <c r="X640" i="3"/>
  <c r="Y640" i="3"/>
  <c r="Z640" i="3"/>
  <c r="AA640" i="3"/>
  <c r="AB640" i="3"/>
  <c r="M641" i="3"/>
  <c r="AC640" i="3"/>
  <c r="AD640" i="3"/>
  <c r="C640" i="4"/>
  <c r="G640" i="4"/>
  <c r="I640" i="4"/>
  <c r="J640" i="4"/>
  <c r="H640" i="4"/>
  <c r="O641" i="3"/>
  <c r="N641" i="3"/>
  <c r="P641" i="3"/>
  <c r="Q641" i="3"/>
  <c r="AI641" i="3"/>
  <c r="L641" i="4"/>
  <c r="V641" i="3"/>
  <c r="K640" i="4"/>
  <c r="M640" i="4"/>
  <c r="W641" i="3"/>
  <c r="X641" i="3"/>
  <c r="Y641" i="3"/>
  <c r="Z641" i="3"/>
  <c r="AA641" i="3"/>
  <c r="AB641" i="3"/>
  <c r="C641" i="4"/>
  <c r="M642" i="3"/>
  <c r="AC641" i="3"/>
  <c r="AD641" i="3"/>
  <c r="AI642" i="3"/>
  <c r="O642" i="3"/>
  <c r="N642" i="3"/>
  <c r="P642" i="3"/>
  <c r="Q642" i="3"/>
  <c r="G641" i="4"/>
  <c r="I641" i="4"/>
  <c r="J641" i="4"/>
  <c r="H641" i="4"/>
  <c r="K641" i="4"/>
  <c r="M641" i="4"/>
  <c r="L642" i="4"/>
  <c r="V642" i="3"/>
  <c r="W642" i="3"/>
  <c r="X642" i="3"/>
  <c r="Y642" i="3"/>
  <c r="Z642" i="3"/>
  <c r="AA642" i="3"/>
  <c r="AB642" i="3"/>
  <c r="M643" i="3"/>
  <c r="C642" i="4"/>
  <c r="AC642" i="3"/>
  <c r="AD642" i="3"/>
  <c r="G642" i="4"/>
  <c r="I642" i="4"/>
  <c r="J642" i="4"/>
  <c r="H642" i="4"/>
  <c r="N643" i="3"/>
  <c r="O643" i="3"/>
  <c r="AI643" i="3"/>
  <c r="P643" i="3"/>
  <c r="Q643" i="3"/>
  <c r="M642" i="4"/>
  <c r="K642" i="4"/>
  <c r="L643" i="4"/>
  <c r="V643" i="3"/>
  <c r="W643" i="3"/>
  <c r="X643" i="3"/>
  <c r="Y643" i="3"/>
  <c r="Z643" i="3"/>
  <c r="AA643" i="3"/>
  <c r="AB643" i="3"/>
  <c r="AC643" i="3"/>
  <c r="AD643" i="3"/>
  <c r="C643" i="4"/>
  <c r="M644" i="3"/>
  <c r="O644" i="3"/>
  <c r="N644" i="3"/>
  <c r="P644" i="3"/>
  <c r="Q644" i="3"/>
  <c r="AI644" i="3"/>
  <c r="G643" i="4"/>
  <c r="I643" i="4"/>
  <c r="J643" i="4"/>
  <c r="H643" i="4"/>
  <c r="L644" i="4"/>
  <c r="V644" i="3"/>
  <c r="M643" i="4"/>
  <c r="K643" i="4"/>
  <c r="W644" i="3"/>
  <c r="X644" i="3"/>
  <c r="Y644" i="3"/>
  <c r="Z644" i="3"/>
  <c r="AA644" i="3"/>
  <c r="AB644" i="3"/>
  <c r="M645" i="3"/>
  <c r="C644" i="4"/>
  <c r="AC644" i="3"/>
  <c r="AD644" i="3"/>
  <c r="G644" i="4"/>
  <c r="I644" i="4"/>
  <c r="J644" i="4"/>
  <c r="H644" i="4"/>
  <c r="N645" i="3"/>
  <c r="O645" i="3"/>
  <c r="AI645" i="3"/>
  <c r="P645" i="3"/>
  <c r="Q645" i="3"/>
  <c r="K644" i="4"/>
  <c r="M644" i="4"/>
  <c r="L645" i="4"/>
  <c r="V645" i="3"/>
  <c r="W645" i="3"/>
  <c r="X645" i="3"/>
  <c r="Y645" i="3"/>
  <c r="Z645" i="3"/>
  <c r="AA645" i="3"/>
  <c r="AB645" i="3"/>
  <c r="AC645" i="3"/>
  <c r="AD645" i="3"/>
  <c r="M646" i="3"/>
  <c r="C645" i="4"/>
  <c r="G645" i="4"/>
  <c r="I645" i="4"/>
  <c r="J645" i="4"/>
  <c r="H645" i="4"/>
  <c r="AI646" i="3"/>
  <c r="O646" i="3"/>
  <c r="N646" i="3"/>
  <c r="P646" i="3"/>
  <c r="Q646" i="3"/>
  <c r="K645" i="4"/>
  <c r="M645" i="4"/>
  <c r="L646" i="4"/>
  <c r="V646" i="3"/>
  <c r="W646" i="3"/>
  <c r="X646" i="3"/>
  <c r="Y646" i="3"/>
  <c r="Z646" i="3"/>
  <c r="AA646" i="3"/>
  <c r="AB646" i="3"/>
  <c r="M647" i="3"/>
  <c r="AC646" i="3"/>
  <c r="AD646" i="3"/>
  <c r="C646" i="4"/>
  <c r="G646" i="4"/>
  <c r="I646" i="4"/>
  <c r="J646" i="4"/>
  <c r="H646" i="4"/>
  <c r="O647" i="3"/>
  <c r="N647" i="3"/>
  <c r="P647" i="3"/>
  <c r="Q647" i="3"/>
  <c r="AI647" i="3"/>
  <c r="L647" i="4"/>
  <c r="V647" i="3"/>
  <c r="M646" i="4"/>
  <c r="K646" i="4"/>
  <c r="W647" i="3"/>
  <c r="X647" i="3"/>
  <c r="Y647" i="3"/>
  <c r="Z647" i="3"/>
  <c r="AA647" i="3"/>
  <c r="AB647" i="3"/>
  <c r="AC647" i="3"/>
  <c r="AD647" i="3"/>
  <c r="C647" i="4"/>
  <c r="M648" i="3"/>
  <c r="G647" i="4"/>
  <c r="I647" i="4"/>
  <c r="J647" i="4"/>
  <c r="H647" i="4"/>
  <c r="AI648" i="3"/>
  <c r="O648" i="3"/>
  <c r="N648" i="3"/>
  <c r="P648" i="3"/>
  <c r="Q648" i="3"/>
  <c r="M647" i="4"/>
  <c r="K647" i="4"/>
  <c r="L648" i="4"/>
  <c r="V648" i="3"/>
  <c r="W648" i="3"/>
  <c r="X648" i="3"/>
  <c r="Y648" i="3"/>
  <c r="Z648" i="3"/>
  <c r="AA648" i="3"/>
  <c r="AB648" i="3"/>
  <c r="M649" i="3"/>
  <c r="AC648" i="3"/>
  <c r="AD648" i="3"/>
  <c r="C648" i="4"/>
  <c r="G648" i="4"/>
  <c r="I648" i="4"/>
  <c r="J648" i="4"/>
  <c r="H648" i="4"/>
  <c r="N649" i="3"/>
  <c r="O649" i="3"/>
  <c r="AI649" i="3"/>
  <c r="P649" i="3"/>
  <c r="Q649" i="3"/>
  <c r="K648" i="4"/>
  <c r="M648" i="4"/>
  <c r="L649" i="4"/>
  <c r="V649" i="3"/>
  <c r="W649" i="3"/>
  <c r="X649" i="3"/>
  <c r="Y649" i="3"/>
  <c r="Z649" i="3"/>
  <c r="AA649" i="3"/>
  <c r="AB649" i="3"/>
  <c r="M650" i="3"/>
  <c r="AC649" i="3"/>
  <c r="AD649" i="3"/>
  <c r="C649" i="4"/>
  <c r="G649" i="4"/>
  <c r="I649" i="4"/>
  <c r="J649" i="4"/>
  <c r="H649" i="4"/>
  <c r="O650" i="3"/>
  <c r="AI650" i="3"/>
  <c r="N650" i="3"/>
  <c r="P650" i="3"/>
  <c r="Q650" i="3"/>
  <c r="L650" i="4"/>
  <c r="V650" i="3"/>
  <c r="K649" i="4"/>
  <c r="M649" i="4"/>
  <c r="W650" i="3"/>
  <c r="X650" i="3"/>
  <c r="Y650" i="3"/>
  <c r="Z650" i="3"/>
  <c r="AA650" i="3"/>
  <c r="AB650" i="3"/>
  <c r="C650" i="4"/>
  <c r="M651" i="3"/>
  <c r="AC650" i="3"/>
  <c r="AD650" i="3"/>
  <c r="O651" i="3"/>
  <c r="N651" i="3"/>
  <c r="P651" i="3"/>
  <c r="Q651" i="3"/>
  <c r="AI651" i="3"/>
  <c r="G650" i="4"/>
  <c r="I650" i="4"/>
  <c r="J650" i="4"/>
  <c r="H650" i="4"/>
  <c r="M650" i="4"/>
  <c r="K650" i="4"/>
  <c r="L651" i="4"/>
  <c r="V651" i="3"/>
  <c r="W651" i="3"/>
  <c r="X651" i="3"/>
  <c r="Y651" i="3"/>
  <c r="Z651" i="3"/>
  <c r="AA651" i="3"/>
  <c r="AB651" i="3"/>
  <c r="C651" i="4"/>
  <c r="AC651" i="3"/>
  <c r="AD651" i="3"/>
  <c r="M652" i="3"/>
  <c r="AI652" i="3"/>
  <c r="O652" i="3"/>
  <c r="N652" i="3"/>
  <c r="P652" i="3"/>
  <c r="Q652" i="3"/>
  <c r="G651" i="4"/>
  <c r="I651" i="4"/>
  <c r="J651" i="4"/>
  <c r="H651" i="4"/>
  <c r="M651" i="4"/>
  <c r="K651" i="4"/>
  <c r="L652" i="4"/>
  <c r="V652" i="3"/>
  <c r="W652" i="3"/>
  <c r="X652" i="3"/>
  <c r="Y652" i="3"/>
  <c r="Z652" i="3"/>
  <c r="AA652" i="3"/>
  <c r="AB652" i="3"/>
  <c r="AC652" i="3"/>
  <c r="AD652" i="3"/>
  <c r="M653" i="3"/>
  <c r="C652" i="4"/>
  <c r="G652" i="4"/>
  <c r="I652" i="4"/>
  <c r="J652" i="4"/>
  <c r="H652" i="4"/>
  <c r="AI653" i="3"/>
  <c r="O653" i="3"/>
  <c r="N653" i="3"/>
  <c r="P653" i="3"/>
  <c r="Q653" i="3"/>
  <c r="L653" i="4"/>
  <c r="V653" i="3"/>
  <c r="M652" i="4"/>
  <c r="K652" i="4"/>
  <c r="W653" i="3"/>
  <c r="X653" i="3"/>
  <c r="Y653" i="3"/>
  <c r="Z653" i="3"/>
  <c r="AA653" i="3"/>
  <c r="AB653" i="3"/>
  <c r="C653" i="4"/>
  <c r="AC653" i="3"/>
  <c r="AD653" i="3"/>
  <c r="M654" i="3"/>
  <c r="N654" i="3"/>
  <c r="AI654" i="3"/>
  <c r="O654" i="3"/>
  <c r="G653" i="4"/>
  <c r="I653" i="4"/>
  <c r="J653" i="4"/>
  <c r="H653" i="4"/>
  <c r="K653" i="4"/>
  <c r="M653" i="4"/>
  <c r="P654" i="3"/>
  <c r="Q654" i="3"/>
  <c r="L654" i="4"/>
  <c r="V654" i="3"/>
  <c r="W654" i="3"/>
  <c r="X654" i="3"/>
  <c r="Y654" i="3"/>
  <c r="Z654" i="3"/>
  <c r="AA654" i="3"/>
  <c r="AB654" i="3"/>
  <c r="C654" i="4"/>
  <c r="M655" i="3"/>
  <c r="AC654" i="3"/>
  <c r="AD654" i="3"/>
  <c r="AI655" i="3"/>
  <c r="O655" i="3"/>
  <c r="N655" i="3"/>
  <c r="P655" i="3"/>
  <c r="Q655" i="3"/>
  <c r="G654" i="4"/>
  <c r="I654" i="4"/>
  <c r="J654" i="4"/>
  <c r="H654" i="4"/>
  <c r="L655" i="4"/>
  <c r="V655" i="3"/>
  <c r="K654" i="4"/>
  <c r="M654" i="4"/>
  <c r="W655" i="3"/>
  <c r="X655" i="3"/>
  <c r="Y655" i="3"/>
  <c r="Z655" i="3"/>
  <c r="AA655" i="3"/>
  <c r="AB655" i="3"/>
  <c r="M656" i="3"/>
  <c r="AC655" i="3"/>
  <c r="AD655" i="3"/>
  <c r="C655" i="4"/>
  <c r="G655" i="4"/>
  <c r="I655" i="4"/>
  <c r="J655" i="4"/>
  <c r="H655" i="4"/>
  <c r="O656" i="3"/>
  <c r="N656" i="3"/>
  <c r="P656" i="3"/>
  <c r="Q656" i="3"/>
  <c r="AI656" i="3"/>
  <c r="L656" i="4"/>
  <c r="V656" i="3"/>
  <c r="M655" i="4"/>
  <c r="K655" i="4"/>
  <c r="W656" i="3"/>
  <c r="X656" i="3"/>
  <c r="Y656" i="3"/>
  <c r="Z656" i="3"/>
  <c r="AA656" i="3"/>
  <c r="AB656" i="3"/>
  <c r="C656" i="4"/>
  <c r="M657" i="3"/>
  <c r="AC656" i="3"/>
  <c r="AD656" i="3"/>
  <c r="AI657" i="3"/>
  <c r="O657" i="3"/>
  <c r="N657" i="3"/>
  <c r="P657" i="3"/>
  <c r="Q657" i="3"/>
  <c r="G656" i="4"/>
  <c r="I656" i="4"/>
  <c r="J656" i="4"/>
  <c r="H656" i="4"/>
  <c r="L657" i="4"/>
  <c r="V657" i="3"/>
  <c r="K656" i="4"/>
  <c r="M656" i="4"/>
  <c r="W657" i="3"/>
  <c r="X657" i="3"/>
  <c r="Y657" i="3"/>
  <c r="Z657" i="3"/>
  <c r="AA657" i="3"/>
  <c r="AB657" i="3"/>
  <c r="C657" i="4"/>
  <c r="AC657" i="3"/>
  <c r="AD657" i="3"/>
  <c r="M658" i="3"/>
  <c r="O658" i="3"/>
  <c r="N658" i="3"/>
  <c r="P658" i="3"/>
  <c r="Q658" i="3"/>
  <c r="AI658" i="3"/>
  <c r="G657" i="4"/>
  <c r="I657" i="4"/>
  <c r="J657" i="4"/>
  <c r="H657" i="4"/>
  <c r="M657" i="4"/>
  <c r="K657" i="4"/>
  <c r="L658" i="4"/>
  <c r="C40" i="5"/>
  <c r="N40" i="5"/>
  <c r="V658" i="3"/>
  <c r="W658" i="3"/>
  <c r="X658" i="3"/>
  <c r="Y658" i="3"/>
  <c r="Z658" i="3"/>
  <c r="AA658" i="3"/>
  <c r="AB658" i="3"/>
  <c r="M659" i="3"/>
  <c r="C658" i="4"/>
  <c r="AC658" i="3"/>
  <c r="AD658" i="3"/>
  <c r="G658" i="4"/>
  <c r="I658" i="4"/>
  <c r="J658" i="4"/>
  <c r="H658" i="4"/>
  <c r="O659" i="3"/>
  <c r="N659" i="3"/>
  <c r="P659" i="3"/>
  <c r="Q659" i="3"/>
  <c r="AI659" i="3"/>
  <c r="L659" i="4"/>
  <c r="V659" i="3"/>
  <c r="D40" i="5"/>
  <c r="K658" i="4"/>
  <c r="E40" i="5"/>
  <c r="M658" i="4"/>
  <c r="W659" i="3"/>
  <c r="X659" i="3"/>
  <c r="Y659" i="3"/>
  <c r="Z659" i="3"/>
  <c r="AA659" i="3"/>
  <c r="AB659" i="3"/>
  <c r="AC659" i="3"/>
  <c r="AD659" i="3"/>
  <c r="M660" i="3"/>
  <c r="C659" i="4"/>
  <c r="G659" i="4"/>
  <c r="I659" i="4"/>
  <c r="J659" i="4"/>
  <c r="H659" i="4"/>
  <c r="O660" i="3"/>
  <c r="N660" i="3"/>
  <c r="P660" i="3"/>
  <c r="Q660" i="3"/>
  <c r="AI660" i="3"/>
  <c r="L660" i="4"/>
  <c r="V660" i="3"/>
  <c r="M659" i="4"/>
  <c r="K659" i="4"/>
  <c r="W660" i="3"/>
  <c r="X660" i="3"/>
  <c r="Y660" i="3"/>
  <c r="Z660" i="3"/>
  <c r="AA660" i="3"/>
  <c r="AB660" i="3"/>
  <c r="M661" i="3"/>
  <c r="C660" i="4"/>
  <c r="AC660" i="3"/>
  <c r="AD660" i="3"/>
  <c r="G660" i="4"/>
  <c r="I660" i="4"/>
  <c r="J660" i="4"/>
  <c r="H660" i="4"/>
  <c r="N661" i="3"/>
  <c r="O661" i="3"/>
  <c r="AI661" i="3"/>
  <c r="P661" i="3"/>
  <c r="Q661" i="3"/>
  <c r="K660" i="4"/>
  <c r="M660" i="4"/>
  <c r="L661" i="4"/>
  <c r="V661" i="3"/>
  <c r="W661" i="3"/>
  <c r="X661" i="3"/>
  <c r="Y661" i="3"/>
  <c r="Z661" i="3"/>
  <c r="AA661" i="3"/>
  <c r="AB661" i="3"/>
  <c r="C661" i="4"/>
  <c r="AC661" i="3"/>
  <c r="AD661" i="3"/>
  <c r="M662" i="3"/>
  <c r="O662" i="3"/>
  <c r="N662" i="3"/>
  <c r="P662" i="3"/>
  <c r="Q662" i="3"/>
  <c r="AI662" i="3"/>
  <c r="G661" i="4"/>
  <c r="I661" i="4"/>
  <c r="J661" i="4"/>
  <c r="H661" i="4"/>
  <c r="L662" i="4"/>
  <c r="V662" i="3"/>
  <c r="M661" i="4"/>
  <c r="K661" i="4"/>
  <c r="W662" i="3"/>
  <c r="X662" i="3"/>
  <c r="Y662" i="3"/>
  <c r="Z662" i="3"/>
  <c r="AA662" i="3"/>
  <c r="AB662" i="3"/>
  <c r="AC662" i="3"/>
  <c r="AD662" i="3"/>
  <c r="M663" i="3"/>
  <c r="C662" i="4"/>
  <c r="G662" i="4"/>
  <c r="I662" i="4"/>
  <c r="J662" i="4"/>
  <c r="H662" i="4"/>
  <c r="O663" i="3"/>
  <c r="AI663" i="3"/>
  <c r="N663" i="3"/>
  <c r="P663" i="3"/>
  <c r="Q663" i="3"/>
  <c r="L663" i="4"/>
  <c r="V663" i="3"/>
  <c r="M662" i="4"/>
  <c r="K662" i="4"/>
  <c r="W663" i="3"/>
  <c r="X663" i="3"/>
  <c r="Y663" i="3"/>
  <c r="Z663" i="3"/>
  <c r="AA663" i="3"/>
  <c r="AB663" i="3"/>
  <c r="C663" i="4"/>
  <c r="AC663" i="3"/>
  <c r="AD663" i="3"/>
  <c r="M664" i="3"/>
  <c r="O664" i="3"/>
  <c r="N664" i="3"/>
  <c r="P664" i="3"/>
  <c r="Q664" i="3"/>
  <c r="AI664" i="3"/>
  <c r="G663" i="4"/>
  <c r="I663" i="4"/>
  <c r="J663" i="4"/>
  <c r="H663" i="4"/>
  <c r="K663" i="4"/>
  <c r="M663" i="4"/>
  <c r="L664" i="4"/>
  <c r="V664" i="3"/>
  <c r="W664" i="3"/>
  <c r="X664" i="3"/>
  <c r="Y664" i="3"/>
  <c r="Z664" i="3"/>
  <c r="AA664" i="3"/>
  <c r="AB664" i="3"/>
  <c r="M665" i="3"/>
  <c r="AC664" i="3"/>
  <c r="AD664" i="3"/>
  <c r="C664" i="4"/>
  <c r="G664" i="4"/>
  <c r="I664" i="4"/>
  <c r="J664" i="4"/>
  <c r="H664" i="4"/>
  <c r="N665" i="3"/>
  <c r="O665" i="3"/>
  <c r="AI665" i="3"/>
  <c r="P665" i="3"/>
  <c r="Q665" i="3"/>
  <c r="K664" i="4"/>
  <c r="M664" i="4"/>
  <c r="L665" i="4"/>
  <c r="V665" i="3"/>
  <c r="W665" i="3"/>
  <c r="X665" i="3"/>
  <c r="Y665" i="3"/>
  <c r="Z665" i="3"/>
  <c r="AA665" i="3"/>
  <c r="AB665" i="3"/>
  <c r="AC665" i="3"/>
  <c r="AD665" i="3"/>
  <c r="M666" i="3"/>
  <c r="C665" i="4"/>
  <c r="G665" i="4"/>
  <c r="I665" i="4"/>
  <c r="J665" i="4"/>
  <c r="H665" i="4"/>
  <c r="O666" i="3"/>
  <c r="N666" i="3"/>
  <c r="P666" i="3"/>
  <c r="Q666" i="3"/>
  <c r="AI666" i="3"/>
  <c r="L666" i="4"/>
  <c r="V666" i="3"/>
  <c r="M665" i="4"/>
  <c r="K665" i="4"/>
  <c r="W666" i="3"/>
  <c r="X666" i="3"/>
  <c r="Y666" i="3"/>
  <c r="Z666" i="3"/>
  <c r="AA666" i="3"/>
  <c r="AB666" i="3"/>
  <c r="AC666" i="3"/>
  <c r="AD666" i="3"/>
  <c r="M667" i="3"/>
  <c r="C666" i="4"/>
  <c r="N667" i="3"/>
  <c r="AI667" i="3"/>
  <c r="O667" i="3"/>
  <c r="G666" i="4"/>
  <c r="I666" i="4"/>
  <c r="J666" i="4"/>
  <c r="H666" i="4"/>
  <c r="K666" i="4"/>
  <c r="M666" i="4"/>
  <c r="P667" i="3"/>
  <c r="Q667" i="3"/>
  <c r="L667" i="4"/>
  <c r="V667" i="3"/>
  <c r="W667" i="3"/>
  <c r="X667" i="3"/>
  <c r="Y667" i="3"/>
  <c r="Z667" i="3"/>
  <c r="AA667" i="3"/>
  <c r="AB667" i="3"/>
  <c r="AC667" i="3"/>
  <c r="AD667" i="3"/>
  <c r="M668" i="3"/>
  <c r="C667" i="4"/>
  <c r="O668" i="3"/>
  <c r="N668" i="3"/>
  <c r="AI668" i="3"/>
  <c r="G667" i="4"/>
  <c r="I667" i="4"/>
  <c r="J667" i="4"/>
  <c r="H667" i="4"/>
  <c r="K667" i="4"/>
  <c r="M667" i="4"/>
  <c r="P668" i="3"/>
  <c r="Q668" i="3"/>
  <c r="L668" i="4"/>
  <c r="V668" i="3"/>
  <c r="W668" i="3"/>
  <c r="X668" i="3"/>
  <c r="Y668" i="3"/>
  <c r="Z668" i="3"/>
  <c r="AA668" i="3"/>
  <c r="AB668" i="3"/>
  <c r="M669" i="3"/>
  <c r="C668" i="4"/>
  <c r="AC668" i="3"/>
  <c r="AD668" i="3"/>
  <c r="G668" i="4"/>
  <c r="I668" i="4"/>
  <c r="J668" i="4"/>
  <c r="H668" i="4"/>
  <c r="N669" i="3"/>
  <c r="O669" i="3"/>
  <c r="AI669" i="3"/>
  <c r="P669" i="3"/>
  <c r="Q669" i="3"/>
  <c r="K668" i="4"/>
  <c r="M668" i="4"/>
  <c r="L669" i="4"/>
  <c r="V669" i="3"/>
  <c r="W669" i="3"/>
  <c r="X669" i="3"/>
  <c r="Y669" i="3"/>
  <c r="Z669" i="3"/>
  <c r="AA669" i="3"/>
  <c r="AB669" i="3"/>
  <c r="AC669" i="3"/>
  <c r="AD669" i="3"/>
  <c r="M670" i="3"/>
  <c r="C669" i="4"/>
  <c r="G669" i="4"/>
  <c r="I669" i="4"/>
  <c r="J669" i="4"/>
  <c r="H669" i="4"/>
  <c r="O670" i="3"/>
  <c r="N670" i="3"/>
  <c r="P670" i="3"/>
  <c r="Q670" i="3"/>
  <c r="AI670" i="3"/>
  <c r="L670" i="4"/>
  <c r="V670" i="3"/>
  <c r="M669" i="4"/>
  <c r="K669" i="4"/>
  <c r="W670" i="3"/>
  <c r="X670" i="3"/>
  <c r="Y670" i="3"/>
  <c r="Z670" i="3"/>
  <c r="AA670" i="3"/>
  <c r="AB670" i="3"/>
  <c r="AC670" i="3"/>
  <c r="AD670" i="3"/>
  <c r="C670" i="4"/>
  <c r="M671" i="3"/>
  <c r="G670" i="4"/>
  <c r="I670" i="4"/>
  <c r="J670" i="4"/>
  <c r="H670" i="4"/>
  <c r="O671" i="3"/>
  <c r="AI671" i="3"/>
  <c r="N671" i="3"/>
  <c r="P671" i="3"/>
  <c r="Q671" i="3"/>
  <c r="L671" i="4"/>
  <c r="V671" i="3"/>
  <c r="M670" i="4"/>
  <c r="K670" i="4"/>
  <c r="W671" i="3"/>
  <c r="X671" i="3"/>
  <c r="Y671" i="3"/>
  <c r="Z671" i="3"/>
  <c r="AA671" i="3"/>
  <c r="AB671" i="3"/>
  <c r="M672" i="3"/>
  <c r="C671" i="4"/>
  <c r="AC671" i="3"/>
  <c r="AD671" i="3"/>
  <c r="G671" i="4"/>
  <c r="I671" i="4"/>
  <c r="J671" i="4"/>
  <c r="H671" i="4"/>
  <c r="N672" i="3"/>
  <c r="P672" i="3"/>
  <c r="Q672" i="3"/>
  <c r="O672" i="3"/>
  <c r="AI672" i="3"/>
  <c r="L672" i="4"/>
  <c r="V672" i="3"/>
  <c r="M671" i="4"/>
  <c r="K671" i="4"/>
  <c r="W672" i="3"/>
  <c r="X672" i="3"/>
  <c r="Y672" i="3"/>
  <c r="Z672" i="3"/>
  <c r="AA672" i="3"/>
  <c r="AB672" i="3"/>
  <c r="C672" i="4"/>
  <c r="M673" i="3"/>
  <c r="AC672" i="3"/>
  <c r="AD672" i="3"/>
  <c r="AI673" i="3"/>
  <c r="N673" i="3"/>
  <c r="O673" i="3"/>
  <c r="G672" i="4"/>
  <c r="I672" i="4"/>
  <c r="J672" i="4"/>
  <c r="H672" i="4"/>
  <c r="P673" i="3"/>
  <c r="Q673" i="3"/>
  <c r="K672" i="4"/>
  <c r="M672" i="4"/>
  <c r="L673" i="4"/>
  <c r="V673" i="3"/>
  <c r="W673" i="3"/>
  <c r="X673" i="3"/>
  <c r="Y673" i="3"/>
  <c r="Z673" i="3"/>
  <c r="AA673" i="3"/>
  <c r="AB673" i="3"/>
  <c r="C673" i="4"/>
  <c r="M674" i="3"/>
  <c r="AC673" i="3"/>
  <c r="AD673" i="3"/>
  <c r="AI674" i="3"/>
  <c r="O674" i="3"/>
  <c r="N674" i="3"/>
  <c r="P674" i="3"/>
  <c r="Q674" i="3"/>
  <c r="G673" i="4"/>
  <c r="I673" i="4"/>
  <c r="J673" i="4"/>
  <c r="H673" i="4"/>
  <c r="K673" i="4"/>
  <c r="M673" i="4"/>
  <c r="L674" i="4"/>
  <c r="V674" i="3"/>
  <c r="W674" i="3"/>
  <c r="X674" i="3"/>
  <c r="Y674" i="3"/>
  <c r="Z674" i="3"/>
  <c r="AA674" i="3"/>
  <c r="AB674" i="3"/>
  <c r="C674" i="4"/>
  <c r="M675" i="3"/>
  <c r="AC674" i="3"/>
  <c r="AD674" i="3"/>
  <c r="N675" i="3"/>
  <c r="O675" i="3"/>
  <c r="AI675" i="3"/>
  <c r="G674" i="4"/>
  <c r="I674" i="4"/>
  <c r="J674" i="4"/>
  <c r="H674" i="4"/>
  <c r="M674" i="4"/>
  <c r="K674" i="4"/>
  <c r="P675" i="3"/>
  <c r="Q675" i="3"/>
  <c r="L675" i="4"/>
  <c r="V675" i="3"/>
  <c r="W675" i="3"/>
  <c r="X675" i="3"/>
  <c r="Y675" i="3"/>
  <c r="Z675" i="3"/>
  <c r="AA675" i="3"/>
  <c r="AB675" i="3"/>
  <c r="AC675" i="3"/>
  <c r="AD675" i="3"/>
  <c r="M676" i="3"/>
  <c r="C675" i="4"/>
  <c r="G675" i="4"/>
  <c r="I675" i="4"/>
  <c r="J675" i="4"/>
  <c r="H675" i="4"/>
  <c r="N676" i="3"/>
  <c r="AI676" i="3"/>
  <c r="O676" i="3"/>
  <c r="P676" i="3"/>
  <c r="Q676" i="3"/>
  <c r="K675" i="4"/>
  <c r="M675" i="4"/>
  <c r="L676" i="4"/>
  <c r="V676" i="3"/>
  <c r="W676" i="3"/>
  <c r="X676" i="3"/>
  <c r="Y676" i="3"/>
  <c r="Z676" i="3"/>
  <c r="AA676" i="3"/>
  <c r="AB676" i="3"/>
  <c r="M677" i="3"/>
  <c r="C676" i="4"/>
  <c r="AC676" i="3"/>
  <c r="AD676" i="3"/>
  <c r="G676" i="4"/>
  <c r="I676" i="4"/>
  <c r="J676" i="4"/>
  <c r="H676" i="4"/>
  <c r="O677" i="3"/>
  <c r="N677" i="3"/>
  <c r="P677" i="3"/>
  <c r="Q677" i="3"/>
  <c r="AI677" i="3"/>
  <c r="L677" i="4"/>
  <c r="V677" i="3"/>
  <c r="K676" i="4"/>
  <c r="M676" i="4"/>
  <c r="W677" i="3"/>
  <c r="X677" i="3"/>
  <c r="Y677" i="3"/>
  <c r="Z677" i="3"/>
  <c r="AA677" i="3"/>
  <c r="AB677" i="3"/>
  <c r="M678" i="3"/>
  <c r="C677" i="4"/>
  <c r="AC677" i="3"/>
  <c r="AD677" i="3"/>
  <c r="G677" i="4"/>
  <c r="I677" i="4"/>
  <c r="J677" i="4"/>
  <c r="H677" i="4"/>
  <c r="O678" i="3"/>
  <c r="N678" i="3"/>
  <c r="P678" i="3"/>
  <c r="Q678" i="3"/>
  <c r="AI678" i="3"/>
  <c r="L678" i="4"/>
  <c r="V678" i="3"/>
  <c r="M677" i="4"/>
  <c r="K677" i="4"/>
  <c r="W678" i="3"/>
  <c r="X678" i="3"/>
  <c r="Y678" i="3"/>
  <c r="Z678" i="3"/>
  <c r="AA678" i="3"/>
  <c r="AB678" i="3"/>
  <c r="C678" i="4"/>
  <c r="AC678" i="3"/>
  <c r="AD678" i="3"/>
  <c r="M679" i="3"/>
  <c r="O679" i="3"/>
  <c r="AI679" i="3"/>
  <c r="N679" i="3"/>
  <c r="P679" i="3"/>
  <c r="Q679" i="3"/>
  <c r="G678" i="4"/>
  <c r="I678" i="4"/>
  <c r="J678" i="4"/>
  <c r="H678" i="4"/>
  <c r="L679" i="4"/>
  <c r="V679" i="3"/>
  <c r="M678" i="4"/>
  <c r="K678" i="4"/>
  <c r="W679" i="3"/>
  <c r="X679" i="3"/>
  <c r="Y679" i="3"/>
  <c r="Z679" i="3"/>
  <c r="AA679" i="3"/>
  <c r="AB679" i="3"/>
  <c r="AC679" i="3"/>
  <c r="AD679" i="3"/>
  <c r="M680" i="3"/>
  <c r="C679" i="4"/>
  <c r="AI680" i="3"/>
  <c r="O680" i="3"/>
  <c r="N680" i="3"/>
  <c r="P680" i="3"/>
  <c r="Q680" i="3"/>
  <c r="G679" i="4"/>
  <c r="I679" i="4"/>
  <c r="J679" i="4"/>
  <c r="H679" i="4"/>
  <c r="L680" i="4"/>
  <c r="V680" i="3"/>
  <c r="K679" i="4"/>
  <c r="M679" i="4"/>
  <c r="W680" i="3"/>
  <c r="X680" i="3"/>
  <c r="Y680" i="3"/>
  <c r="Z680" i="3"/>
  <c r="AA680" i="3"/>
  <c r="AB680" i="3"/>
  <c r="AC680" i="3"/>
  <c r="AD680" i="3"/>
  <c r="C680" i="4"/>
  <c r="M681" i="3"/>
  <c r="O681" i="3"/>
  <c r="N681" i="3"/>
  <c r="P681" i="3"/>
  <c r="Q681" i="3"/>
  <c r="AI681" i="3"/>
  <c r="G680" i="4"/>
  <c r="I680" i="4"/>
  <c r="J680" i="4"/>
  <c r="H680" i="4"/>
  <c r="M680" i="4"/>
  <c r="K680" i="4"/>
  <c r="L681" i="4"/>
  <c r="V681" i="3"/>
  <c r="W681" i="3"/>
  <c r="X681" i="3"/>
  <c r="Y681" i="3"/>
  <c r="Z681" i="3"/>
  <c r="AA681" i="3"/>
  <c r="AB681" i="3"/>
  <c r="C681" i="4"/>
  <c r="M682" i="3"/>
  <c r="AC681" i="3"/>
  <c r="AD681" i="3"/>
  <c r="O682" i="3"/>
  <c r="AI682" i="3"/>
  <c r="N682" i="3"/>
  <c r="P682" i="3"/>
  <c r="Q682" i="3"/>
  <c r="G681" i="4"/>
  <c r="I681" i="4"/>
  <c r="J681" i="4"/>
  <c r="H681" i="4"/>
  <c r="L682" i="4"/>
  <c r="V682" i="3"/>
  <c r="M681" i="4"/>
  <c r="K681" i="4"/>
  <c r="W682" i="3"/>
  <c r="X682" i="3"/>
  <c r="Y682" i="3"/>
  <c r="Z682" i="3"/>
  <c r="AA682" i="3"/>
  <c r="AB682" i="3"/>
  <c r="AC682" i="3"/>
  <c r="AD682" i="3"/>
  <c r="M683" i="3"/>
  <c r="C682" i="4"/>
  <c r="O683" i="3"/>
  <c r="N683" i="3"/>
  <c r="P683" i="3"/>
  <c r="Q683" i="3"/>
  <c r="AI683" i="3"/>
  <c r="G682" i="4"/>
  <c r="I682" i="4"/>
  <c r="J682" i="4"/>
  <c r="H682" i="4"/>
  <c r="L683" i="4"/>
  <c r="V683" i="3"/>
  <c r="M682" i="4"/>
  <c r="K682" i="4"/>
  <c r="W683" i="3"/>
  <c r="X683" i="3"/>
  <c r="Y683" i="3"/>
  <c r="Z683" i="3"/>
  <c r="AA683" i="3"/>
  <c r="AB683" i="3"/>
  <c r="AC683" i="3"/>
  <c r="AD683" i="3"/>
  <c r="M684" i="3"/>
  <c r="C683" i="4"/>
  <c r="G683" i="4"/>
  <c r="I683" i="4"/>
  <c r="J683" i="4"/>
  <c r="H683" i="4"/>
  <c r="O684" i="3"/>
  <c r="N684" i="3"/>
  <c r="P684" i="3"/>
  <c r="Q684" i="3"/>
  <c r="AI684" i="3"/>
  <c r="L684" i="4"/>
  <c r="V684" i="3"/>
  <c r="M683" i="4"/>
  <c r="K683" i="4"/>
  <c r="W684" i="3"/>
  <c r="X684" i="3"/>
  <c r="Y684" i="3"/>
  <c r="Z684" i="3"/>
  <c r="AA684" i="3"/>
  <c r="AB684" i="3"/>
  <c r="M685" i="3"/>
  <c r="AC684" i="3"/>
  <c r="AD684" i="3"/>
  <c r="C684" i="4"/>
  <c r="G684" i="4"/>
  <c r="I684" i="4"/>
  <c r="J684" i="4"/>
  <c r="H684" i="4"/>
  <c r="O685" i="3"/>
  <c r="AI685" i="3"/>
  <c r="N685" i="3"/>
  <c r="P685" i="3"/>
  <c r="Q685" i="3"/>
  <c r="L685" i="4"/>
  <c r="V685" i="3"/>
  <c r="M684" i="4"/>
  <c r="K684" i="4"/>
  <c r="W685" i="3"/>
  <c r="X685" i="3"/>
  <c r="Y685" i="3"/>
  <c r="Z685" i="3"/>
  <c r="AA685" i="3"/>
  <c r="AB685" i="3"/>
  <c r="AC685" i="3"/>
  <c r="AD685" i="3"/>
  <c r="C685" i="4"/>
  <c r="M686" i="3"/>
  <c r="AI686" i="3"/>
  <c r="O686" i="3"/>
  <c r="N686" i="3"/>
  <c r="P686" i="3"/>
  <c r="Q686" i="3"/>
  <c r="G685" i="4"/>
  <c r="I685" i="4"/>
  <c r="J685" i="4"/>
  <c r="H685" i="4"/>
  <c r="M685" i="4"/>
  <c r="K685" i="4"/>
  <c r="L686" i="4"/>
  <c r="V686" i="3"/>
  <c r="W686" i="3"/>
  <c r="X686" i="3"/>
  <c r="Y686" i="3"/>
  <c r="Z686" i="3"/>
  <c r="AA686" i="3"/>
  <c r="AB686" i="3"/>
  <c r="M687" i="3"/>
  <c r="AC686" i="3"/>
  <c r="AD686" i="3"/>
  <c r="C686" i="4"/>
  <c r="G686" i="4"/>
  <c r="I686" i="4"/>
  <c r="J686" i="4"/>
  <c r="H686" i="4"/>
  <c r="O687" i="3"/>
  <c r="N687" i="3"/>
  <c r="P687" i="3"/>
  <c r="Q687" i="3"/>
  <c r="AI687" i="3"/>
  <c r="L687" i="4"/>
  <c r="V687" i="3"/>
  <c r="M686" i="4"/>
  <c r="K686" i="4"/>
  <c r="W687" i="3"/>
  <c r="X687" i="3"/>
  <c r="Y687" i="3"/>
  <c r="Z687" i="3"/>
  <c r="AA687" i="3"/>
  <c r="AB687" i="3"/>
  <c r="AC687" i="3"/>
  <c r="AD687" i="3"/>
  <c r="C687" i="4"/>
  <c r="M688" i="3"/>
  <c r="AI688" i="3"/>
  <c r="O688" i="3"/>
  <c r="N688" i="3"/>
  <c r="P688" i="3"/>
  <c r="Q688" i="3"/>
  <c r="G687" i="4"/>
  <c r="I687" i="4"/>
  <c r="J687" i="4"/>
  <c r="H687" i="4"/>
  <c r="L688" i="4"/>
  <c r="V688" i="3"/>
  <c r="M687" i="4"/>
  <c r="K687" i="4"/>
  <c r="W688" i="3"/>
  <c r="X688" i="3"/>
  <c r="Y688" i="3"/>
  <c r="Z688" i="3"/>
  <c r="AA688" i="3"/>
  <c r="AB688" i="3"/>
  <c r="M689" i="3"/>
  <c r="AC688" i="3"/>
  <c r="AD688" i="3"/>
  <c r="C688" i="4"/>
  <c r="G688" i="4"/>
  <c r="I688" i="4"/>
  <c r="J688" i="4"/>
  <c r="H688" i="4"/>
  <c r="N689" i="3"/>
  <c r="O689" i="3"/>
  <c r="AI689" i="3"/>
  <c r="P689" i="3"/>
  <c r="Q689" i="3"/>
  <c r="M688" i="4"/>
  <c r="K688" i="4"/>
  <c r="L689" i="4"/>
  <c r="V689" i="3"/>
  <c r="W689" i="3"/>
  <c r="X689" i="3"/>
  <c r="Y689" i="3"/>
  <c r="Z689" i="3"/>
  <c r="AA689" i="3"/>
  <c r="AB689" i="3"/>
  <c r="C689" i="4"/>
  <c r="AC689" i="3"/>
  <c r="AD689" i="3"/>
  <c r="M690" i="3"/>
  <c r="O690" i="3"/>
  <c r="AI690" i="3"/>
  <c r="N690" i="3"/>
  <c r="P690" i="3"/>
  <c r="Q690" i="3"/>
  <c r="G689" i="4"/>
  <c r="I689" i="4"/>
  <c r="J689" i="4"/>
  <c r="H689" i="4"/>
  <c r="L690" i="4"/>
  <c r="V690" i="3"/>
  <c r="K689" i="4"/>
  <c r="M689" i="4"/>
  <c r="W690" i="3"/>
  <c r="X690" i="3"/>
  <c r="Y690" i="3"/>
  <c r="Z690" i="3"/>
  <c r="AA690" i="3"/>
  <c r="AB690" i="3"/>
  <c r="M691" i="3"/>
  <c r="AC690" i="3"/>
  <c r="AD690" i="3"/>
  <c r="C690" i="4"/>
  <c r="G690" i="4"/>
  <c r="I690" i="4"/>
  <c r="J690" i="4"/>
  <c r="H690" i="4"/>
  <c r="O691" i="3"/>
  <c r="N691" i="3"/>
  <c r="P691" i="3"/>
  <c r="Q691" i="3"/>
  <c r="AI691" i="3"/>
  <c r="L691" i="4"/>
  <c r="V691" i="3"/>
  <c r="M690" i="4"/>
  <c r="K690" i="4"/>
  <c r="W691" i="3"/>
  <c r="X691" i="3"/>
  <c r="Y691" i="3"/>
  <c r="Z691" i="3"/>
  <c r="AA691" i="3"/>
  <c r="AB691" i="3"/>
  <c r="AC691" i="3"/>
  <c r="AD691" i="3"/>
  <c r="C691" i="4"/>
  <c r="M692" i="3"/>
  <c r="AI692" i="3"/>
  <c r="N692" i="3"/>
  <c r="O692" i="3"/>
  <c r="G691" i="4"/>
  <c r="I691" i="4"/>
  <c r="J691" i="4"/>
  <c r="H691" i="4"/>
  <c r="P692" i="3"/>
  <c r="Q692" i="3"/>
  <c r="K691" i="4"/>
  <c r="M691" i="4"/>
  <c r="L692" i="4"/>
  <c r="V692" i="3"/>
  <c r="W692" i="3"/>
  <c r="X692" i="3"/>
  <c r="Y692" i="3"/>
  <c r="Z692" i="3"/>
  <c r="AA692" i="3"/>
  <c r="AB692" i="3"/>
  <c r="M693" i="3"/>
  <c r="C692" i="4"/>
  <c r="AC692" i="3"/>
  <c r="AD692" i="3"/>
  <c r="G692" i="4"/>
  <c r="I692" i="4"/>
  <c r="J692" i="4"/>
  <c r="H692" i="4"/>
  <c r="N693" i="3"/>
  <c r="AI693" i="3"/>
  <c r="O693" i="3"/>
  <c r="P693" i="3"/>
  <c r="Q693" i="3"/>
  <c r="M692" i="4"/>
  <c r="K692" i="4"/>
  <c r="L693" i="4"/>
  <c r="V693" i="3"/>
  <c r="W693" i="3"/>
  <c r="X693" i="3"/>
  <c r="Y693" i="3"/>
  <c r="Z693" i="3"/>
  <c r="AA693" i="3"/>
  <c r="AB693" i="3"/>
  <c r="M694" i="3"/>
  <c r="AC693" i="3"/>
  <c r="AD693" i="3"/>
  <c r="C693" i="4"/>
  <c r="G693" i="4"/>
  <c r="I693" i="4"/>
  <c r="J693" i="4"/>
  <c r="H693" i="4"/>
  <c r="AI694" i="3"/>
  <c r="N694" i="3"/>
  <c r="P694" i="3"/>
  <c r="Q694" i="3"/>
  <c r="O694" i="3"/>
  <c r="L694" i="4"/>
  <c r="V694" i="3"/>
  <c r="M693" i="4"/>
  <c r="K693" i="4"/>
  <c r="W694" i="3"/>
  <c r="X694" i="3"/>
  <c r="Y694" i="3"/>
  <c r="Z694" i="3"/>
  <c r="AA694" i="3"/>
  <c r="AB694" i="3"/>
  <c r="M695" i="3"/>
  <c r="C694" i="4"/>
  <c r="AC694" i="3"/>
  <c r="AD694" i="3"/>
  <c r="G694" i="4"/>
  <c r="I694" i="4"/>
  <c r="J694" i="4"/>
  <c r="H694" i="4"/>
  <c r="AI695" i="3"/>
  <c r="N695" i="3"/>
  <c r="O695" i="3"/>
  <c r="P695" i="3"/>
  <c r="Q695" i="3"/>
  <c r="K694" i="4"/>
  <c r="M694" i="4"/>
  <c r="L695" i="4"/>
  <c r="V695" i="3"/>
  <c r="W695" i="3"/>
  <c r="X695" i="3"/>
  <c r="Y695" i="3"/>
  <c r="Z695" i="3"/>
  <c r="AA695" i="3"/>
  <c r="AB695" i="3"/>
  <c r="M696" i="3"/>
  <c r="AC695" i="3"/>
  <c r="AD695" i="3"/>
  <c r="C695" i="4"/>
  <c r="G695" i="4"/>
  <c r="I695" i="4"/>
  <c r="J695" i="4"/>
  <c r="H695" i="4"/>
  <c r="N696" i="3"/>
  <c r="P696" i="3"/>
  <c r="Q696" i="3"/>
  <c r="O696" i="3"/>
  <c r="AI696" i="3"/>
  <c r="L696" i="4"/>
  <c r="V696" i="3"/>
  <c r="M695" i="4"/>
  <c r="K695" i="4"/>
  <c r="W696" i="3"/>
  <c r="X696" i="3"/>
  <c r="Y696" i="3"/>
  <c r="Z696" i="3"/>
  <c r="AA696" i="3"/>
  <c r="AB696" i="3"/>
  <c r="M697" i="3"/>
  <c r="C696" i="4"/>
  <c r="AC696" i="3"/>
  <c r="AD696" i="3"/>
  <c r="G696" i="4"/>
  <c r="I696" i="4"/>
  <c r="J696" i="4"/>
  <c r="H696" i="4"/>
  <c r="AI697" i="3"/>
  <c r="O697" i="3"/>
  <c r="N697" i="3"/>
  <c r="P697" i="3"/>
  <c r="Q697" i="3"/>
  <c r="L697" i="4"/>
  <c r="V697" i="3"/>
  <c r="M696" i="4"/>
  <c r="K696" i="4"/>
  <c r="W697" i="3"/>
  <c r="X697" i="3"/>
  <c r="Y697" i="3"/>
  <c r="Z697" i="3"/>
  <c r="AA697" i="3"/>
  <c r="AB697" i="3"/>
  <c r="AC697" i="3"/>
  <c r="AD697" i="3"/>
  <c r="M698" i="3"/>
  <c r="C697" i="4"/>
  <c r="G697" i="4"/>
  <c r="I697" i="4"/>
  <c r="J697" i="4"/>
  <c r="H697" i="4"/>
  <c r="N698" i="3"/>
  <c r="AI698" i="3"/>
  <c r="O698" i="3"/>
  <c r="P698" i="3"/>
  <c r="Q698" i="3"/>
  <c r="K697" i="4"/>
  <c r="M697" i="4"/>
  <c r="L698" i="4"/>
  <c r="V698" i="3"/>
  <c r="W698" i="3"/>
  <c r="X698" i="3"/>
  <c r="Y698" i="3"/>
  <c r="Z698" i="3"/>
  <c r="AA698" i="3"/>
  <c r="AB698" i="3"/>
  <c r="M699" i="3"/>
  <c r="C698" i="4"/>
  <c r="AC698" i="3"/>
  <c r="AD698" i="3"/>
  <c r="G698" i="4"/>
  <c r="I698" i="4"/>
  <c r="J698" i="4"/>
  <c r="H698" i="4"/>
  <c r="N699" i="3"/>
  <c r="O699" i="3"/>
  <c r="AI699" i="3"/>
  <c r="P699" i="3"/>
  <c r="Q699" i="3"/>
  <c r="M698" i="4"/>
  <c r="K698" i="4"/>
  <c r="L699" i="4"/>
  <c r="V699" i="3"/>
  <c r="W699" i="3"/>
  <c r="X699" i="3"/>
  <c r="Y699" i="3"/>
  <c r="Z699" i="3"/>
  <c r="AA699" i="3"/>
  <c r="AB699" i="3"/>
  <c r="C699" i="4"/>
  <c r="AC699" i="3"/>
  <c r="AD699" i="3"/>
  <c r="M700" i="3"/>
  <c r="N700" i="3"/>
  <c r="AI700" i="3"/>
  <c r="O700" i="3"/>
  <c r="G699" i="4"/>
  <c r="I699" i="4"/>
  <c r="J699" i="4"/>
  <c r="H699" i="4"/>
  <c r="K699" i="4"/>
  <c r="M699" i="4"/>
  <c r="P700" i="3"/>
  <c r="Q700" i="3"/>
  <c r="L700" i="4"/>
  <c r="C41" i="5"/>
  <c r="N41" i="5"/>
  <c r="V700" i="3"/>
  <c r="W700" i="3"/>
  <c r="X700" i="3"/>
  <c r="Y700" i="3"/>
  <c r="Z700" i="3"/>
  <c r="AA700" i="3"/>
  <c r="AB700" i="3"/>
  <c r="AC700" i="3"/>
  <c r="AD700" i="3"/>
  <c r="M701" i="3"/>
  <c r="C700" i="4"/>
  <c r="G700" i="4"/>
  <c r="I700" i="4"/>
  <c r="J700" i="4"/>
  <c r="H700" i="4"/>
  <c r="O701" i="3"/>
  <c r="N701" i="3"/>
  <c r="P701" i="3"/>
  <c r="Q701" i="3"/>
  <c r="AI701" i="3"/>
  <c r="L701" i="4"/>
  <c r="V701" i="3"/>
  <c r="K700" i="4"/>
  <c r="E41" i="5"/>
  <c r="M700" i="4"/>
  <c r="D41" i="5"/>
  <c r="W701" i="3"/>
  <c r="X701" i="3"/>
  <c r="Y701" i="3"/>
  <c r="Z701" i="3"/>
  <c r="AA701" i="3"/>
  <c r="AB701" i="3"/>
  <c r="M702" i="3"/>
  <c r="C701" i="4"/>
  <c r="AC701" i="3"/>
  <c r="AD701" i="3"/>
  <c r="G701" i="4"/>
  <c r="I701" i="4"/>
  <c r="J701" i="4"/>
  <c r="H701" i="4"/>
  <c r="N702" i="3"/>
  <c r="O702" i="3"/>
  <c r="AI702" i="3"/>
  <c r="P702" i="3"/>
  <c r="Q702" i="3"/>
  <c r="M701" i="4"/>
  <c r="K701" i="4"/>
  <c r="L702" i="4"/>
  <c r="V702" i="3"/>
  <c r="W702" i="3"/>
  <c r="X702" i="3"/>
  <c r="Y702" i="3"/>
  <c r="Z702" i="3"/>
  <c r="AA702" i="3"/>
  <c r="AB702" i="3"/>
  <c r="C702" i="4"/>
  <c r="M703" i="3"/>
  <c r="AC702" i="3"/>
  <c r="AD702" i="3"/>
  <c r="O703" i="3"/>
  <c r="AI703" i="3"/>
  <c r="N703" i="3"/>
  <c r="P703" i="3"/>
  <c r="Q703" i="3"/>
  <c r="G702" i="4"/>
  <c r="I702" i="4"/>
  <c r="J702" i="4"/>
  <c r="H702" i="4"/>
  <c r="L703" i="4"/>
  <c r="V703" i="3"/>
  <c r="K702" i="4"/>
  <c r="M702" i="4"/>
  <c r="W703" i="3"/>
  <c r="X703" i="3"/>
  <c r="Y703" i="3"/>
  <c r="Z703" i="3"/>
  <c r="AA703" i="3"/>
  <c r="AB703" i="3"/>
  <c r="AC703" i="3"/>
  <c r="AD703" i="3"/>
  <c r="C703" i="4"/>
  <c r="M704" i="3"/>
  <c r="AI704" i="3"/>
  <c r="N704" i="3"/>
  <c r="P704" i="3"/>
  <c r="Q704" i="3"/>
  <c r="O704" i="3"/>
  <c r="G703" i="4"/>
  <c r="I703" i="4"/>
  <c r="J703" i="4"/>
  <c r="H703" i="4"/>
  <c r="L704" i="4"/>
  <c r="V704" i="3"/>
  <c r="M703" i="4"/>
  <c r="K703" i="4"/>
  <c r="W704" i="3"/>
  <c r="X704" i="3"/>
  <c r="Y704" i="3"/>
  <c r="Z704" i="3"/>
  <c r="AA704" i="3"/>
  <c r="AB704" i="3"/>
  <c r="M705" i="3"/>
  <c r="AC704" i="3"/>
  <c r="AD704" i="3"/>
  <c r="C704" i="4"/>
  <c r="G704" i="4"/>
  <c r="I704" i="4"/>
  <c r="J704" i="4"/>
  <c r="H704" i="4"/>
  <c r="AI705" i="3"/>
  <c r="O705" i="3"/>
  <c r="N705" i="3"/>
  <c r="P705" i="3"/>
  <c r="Q705" i="3"/>
  <c r="L705" i="4"/>
  <c r="V705" i="3"/>
  <c r="M704" i="4"/>
  <c r="K704" i="4"/>
  <c r="W705" i="3"/>
  <c r="X705" i="3"/>
  <c r="Y705" i="3"/>
  <c r="Z705" i="3"/>
  <c r="AA705" i="3"/>
  <c r="AB705" i="3"/>
  <c r="C705" i="4"/>
  <c r="M706" i="3"/>
  <c r="AC705" i="3"/>
  <c r="AD705" i="3"/>
  <c r="O706" i="3"/>
  <c r="AI706" i="3"/>
  <c r="N706" i="3"/>
  <c r="P706" i="3"/>
  <c r="Q706" i="3"/>
  <c r="G705" i="4"/>
  <c r="I705" i="4"/>
  <c r="J705" i="4"/>
  <c r="H705" i="4"/>
  <c r="K705" i="4"/>
  <c r="M705" i="4"/>
  <c r="L706" i="4"/>
  <c r="V706" i="3"/>
  <c r="W706" i="3"/>
  <c r="X706" i="3"/>
  <c r="Y706" i="3"/>
  <c r="Z706" i="3"/>
  <c r="AA706" i="3"/>
  <c r="AB706" i="3"/>
  <c r="AC706" i="3"/>
  <c r="AD706" i="3"/>
  <c r="C706" i="4"/>
  <c r="M707" i="3"/>
  <c r="O707" i="3"/>
  <c r="N707" i="3"/>
  <c r="P707" i="3"/>
  <c r="Q707" i="3"/>
  <c r="AI707" i="3"/>
  <c r="G706" i="4"/>
  <c r="I706" i="4"/>
  <c r="J706" i="4"/>
  <c r="H706" i="4"/>
  <c r="M706" i="4"/>
  <c r="K706" i="4"/>
  <c r="L707" i="4"/>
  <c r="V707" i="3"/>
  <c r="W707" i="3"/>
  <c r="X707" i="3"/>
  <c r="Y707" i="3"/>
  <c r="Z707" i="3"/>
  <c r="AA707" i="3"/>
  <c r="AB707" i="3"/>
  <c r="C707" i="4"/>
  <c r="M708" i="3"/>
  <c r="AC707" i="3"/>
  <c r="AD707" i="3"/>
  <c r="AI708" i="3"/>
  <c r="O708" i="3"/>
  <c r="N708" i="3"/>
  <c r="G707" i="4"/>
  <c r="I707" i="4"/>
  <c r="J707" i="4"/>
  <c r="H707" i="4"/>
  <c r="M707" i="4"/>
  <c r="K707" i="4"/>
  <c r="P708" i="3"/>
  <c r="Q708" i="3"/>
  <c r="L708" i="4"/>
  <c r="V708" i="3"/>
  <c r="W708" i="3"/>
  <c r="X708" i="3"/>
  <c r="Y708" i="3"/>
  <c r="Z708" i="3"/>
  <c r="AA708" i="3"/>
  <c r="AB708" i="3"/>
  <c r="AC708" i="3"/>
  <c r="AD708" i="3"/>
  <c r="C708" i="4"/>
  <c r="M709" i="3"/>
  <c r="O709" i="3"/>
  <c r="N709" i="3"/>
  <c r="P709" i="3"/>
  <c r="Q709" i="3"/>
  <c r="AI709" i="3"/>
  <c r="G708" i="4"/>
  <c r="I708" i="4"/>
  <c r="J708" i="4"/>
  <c r="H708" i="4"/>
  <c r="L709" i="4"/>
  <c r="V709" i="3"/>
  <c r="K708" i="4"/>
  <c r="M708" i="4"/>
  <c r="W709" i="3"/>
  <c r="X709" i="3"/>
  <c r="Y709" i="3"/>
  <c r="Z709" i="3"/>
  <c r="AA709" i="3"/>
  <c r="AB709" i="3"/>
  <c r="M710" i="3"/>
  <c r="AC709" i="3"/>
  <c r="AD709" i="3"/>
  <c r="C709" i="4"/>
  <c r="G709" i="4"/>
  <c r="I709" i="4"/>
  <c r="J709" i="4"/>
  <c r="H709" i="4"/>
  <c r="N710" i="3"/>
  <c r="O710" i="3"/>
  <c r="AI710" i="3"/>
  <c r="P710" i="3"/>
  <c r="Q710" i="3"/>
  <c r="K709" i="4"/>
  <c r="M709" i="4"/>
  <c r="L710" i="4"/>
  <c r="V710" i="3"/>
  <c r="W710" i="3"/>
  <c r="X710" i="3"/>
  <c r="Y710" i="3"/>
  <c r="Z710" i="3"/>
  <c r="AA710" i="3"/>
  <c r="AB710" i="3"/>
  <c r="C710" i="4"/>
  <c r="M711" i="3"/>
  <c r="AC710" i="3"/>
  <c r="AD710" i="3"/>
  <c r="O711" i="3"/>
  <c r="N711" i="3"/>
  <c r="P711" i="3"/>
  <c r="Q711" i="3"/>
  <c r="AI711" i="3"/>
  <c r="G710" i="4"/>
  <c r="I710" i="4"/>
  <c r="J710" i="4"/>
  <c r="H710" i="4"/>
  <c r="L711" i="4"/>
  <c r="V711" i="3"/>
  <c r="M710" i="4"/>
  <c r="K710" i="4"/>
  <c r="W711" i="3"/>
  <c r="X711" i="3"/>
  <c r="Y711" i="3"/>
  <c r="Z711" i="3"/>
  <c r="AA711" i="3"/>
  <c r="AB711" i="3"/>
  <c r="M712" i="3"/>
  <c r="C711" i="4"/>
  <c r="AC711" i="3"/>
  <c r="AD711" i="3"/>
  <c r="G711" i="4"/>
  <c r="I711" i="4"/>
  <c r="J711" i="4"/>
  <c r="H711" i="4"/>
  <c r="O712" i="3"/>
  <c r="N712" i="3"/>
  <c r="AI712" i="3"/>
  <c r="P712" i="3"/>
  <c r="Q712" i="3"/>
  <c r="K711" i="4"/>
  <c r="M711" i="4"/>
  <c r="L712" i="4"/>
  <c r="V712" i="3"/>
  <c r="W712" i="3"/>
  <c r="X712" i="3"/>
  <c r="Y712" i="3"/>
  <c r="Z712" i="3"/>
  <c r="AA712" i="3"/>
  <c r="AB712" i="3"/>
  <c r="C712" i="4"/>
  <c r="AC712" i="3"/>
  <c r="AD712" i="3"/>
  <c r="M713" i="3"/>
  <c r="AI713" i="3"/>
  <c r="O713" i="3"/>
  <c r="N713" i="3"/>
  <c r="P713" i="3"/>
  <c r="Q713" i="3"/>
  <c r="G712" i="4"/>
  <c r="I712" i="4"/>
  <c r="J712" i="4"/>
  <c r="H712" i="4"/>
  <c r="K712" i="4"/>
  <c r="M712" i="4"/>
  <c r="L713" i="4"/>
  <c r="V713" i="3"/>
  <c r="W713" i="3"/>
  <c r="X713" i="3"/>
  <c r="Y713" i="3"/>
  <c r="Z713" i="3"/>
  <c r="AA713" i="3"/>
  <c r="AB713" i="3"/>
  <c r="AC713" i="3"/>
  <c r="AD713" i="3"/>
  <c r="C713" i="4"/>
  <c r="M714" i="3"/>
  <c r="AI714" i="3"/>
  <c r="O714" i="3"/>
  <c r="N714" i="3"/>
  <c r="P714" i="3"/>
  <c r="Q714" i="3"/>
  <c r="G713" i="4"/>
  <c r="I713" i="4"/>
  <c r="J713" i="4"/>
  <c r="H713" i="4"/>
  <c r="L714" i="4"/>
  <c r="V714" i="3"/>
  <c r="M713" i="4"/>
  <c r="K713" i="4"/>
  <c r="W714" i="3"/>
  <c r="X714" i="3"/>
  <c r="Y714" i="3"/>
  <c r="Z714" i="3"/>
  <c r="AA714" i="3"/>
  <c r="AB714" i="3"/>
  <c r="AC714" i="3"/>
  <c r="AD714" i="3"/>
  <c r="C714" i="4"/>
  <c r="M715" i="3"/>
  <c r="G714" i="4"/>
  <c r="I714" i="4"/>
  <c r="J714" i="4"/>
  <c r="H714" i="4"/>
  <c r="O715" i="3"/>
  <c r="N715" i="3"/>
  <c r="P715" i="3"/>
  <c r="Q715" i="3"/>
  <c r="AI715" i="3"/>
  <c r="L715" i="4"/>
  <c r="V715" i="3"/>
  <c r="M714" i="4"/>
  <c r="K714" i="4"/>
  <c r="W715" i="3"/>
  <c r="X715" i="3"/>
  <c r="Y715" i="3"/>
  <c r="Z715" i="3"/>
  <c r="AA715" i="3"/>
  <c r="AB715" i="3"/>
  <c r="C715" i="4"/>
  <c r="AC715" i="3"/>
  <c r="AD715" i="3"/>
  <c r="M716" i="3"/>
  <c r="N716" i="3"/>
  <c r="P716" i="3"/>
  <c r="Q716" i="3"/>
  <c r="O716" i="3"/>
  <c r="AI716" i="3"/>
  <c r="G715" i="4"/>
  <c r="I715" i="4"/>
  <c r="J715" i="4"/>
  <c r="H715" i="4"/>
  <c r="K715" i="4"/>
  <c r="M715" i="4"/>
  <c r="L716" i="4"/>
  <c r="V716" i="3"/>
  <c r="W716" i="3"/>
  <c r="X716" i="3"/>
  <c r="Y716" i="3"/>
  <c r="Z716" i="3"/>
  <c r="AA716" i="3"/>
  <c r="AB716" i="3"/>
  <c r="AC716" i="3"/>
  <c r="AD716" i="3"/>
  <c r="C716" i="4"/>
  <c r="M717" i="3"/>
  <c r="N717" i="3"/>
  <c r="AI717" i="3"/>
  <c r="O717" i="3"/>
  <c r="G716" i="4"/>
  <c r="I716" i="4"/>
  <c r="J716" i="4"/>
  <c r="H716" i="4"/>
  <c r="K716" i="4"/>
  <c r="M716" i="4"/>
  <c r="P717" i="3"/>
  <c r="Q717" i="3"/>
  <c r="L717" i="4"/>
  <c r="V717" i="3"/>
  <c r="W717" i="3"/>
  <c r="X717" i="3"/>
  <c r="Y717" i="3"/>
  <c r="Z717" i="3"/>
  <c r="AA717" i="3"/>
  <c r="AB717" i="3"/>
  <c r="AC717" i="3"/>
  <c r="AD717" i="3"/>
  <c r="M718" i="3"/>
  <c r="C717" i="4"/>
  <c r="G717" i="4"/>
  <c r="I717" i="4"/>
  <c r="J717" i="4"/>
  <c r="H717" i="4"/>
  <c r="N718" i="3"/>
  <c r="AI718" i="3"/>
  <c r="O718" i="3"/>
  <c r="P718" i="3"/>
  <c r="Q718" i="3"/>
  <c r="M717" i="4"/>
  <c r="K717" i="4"/>
  <c r="L718" i="4"/>
  <c r="V718" i="3"/>
  <c r="W718" i="3"/>
  <c r="X718" i="3"/>
  <c r="Y718" i="3"/>
  <c r="Z718" i="3"/>
  <c r="AA718" i="3"/>
  <c r="AB718" i="3"/>
  <c r="M719" i="3"/>
  <c r="AC718" i="3"/>
  <c r="AD718" i="3"/>
  <c r="C718" i="4"/>
  <c r="G718" i="4"/>
  <c r="I718" i="4"/>
  <c r="J718" i="4"/>
  <c r="H718" i="4"/>
  <c r="O719" i="3"/>
  <c r="N719" i="3"/>
  <c r="P719" i="3"/>
  <c r="Q719" i="3"/>
  <c r="AI719" i="3"/>
  <c r="L719" i="4"/>
  <c r="V719" i="3"/>
  <c r="M718" i="4"/>
  <c r="K718" i="4"/>
  <c r="W719" i="3"/>
  <c r="X719" i="3"/>
  <c r="Y719" i="3"/>
  <c r="Z719" i="3"/>
  <c r="AA719" i="3"/>
  <c r="AB719" i="3"/>
  <c r="C719" i="4"/>
  <c r="AC719" i="3"/>
  <c r="AD719" i="3"/>
  <c r="M720" i="3"/>
  <c r="AI720" i="3"/>
  <c r="N720" i="3"/>
  <c r="P720" i="3"/>
  <c r="Q720" i="3"/>
  <c r="O720" i="3"/>
  <c r="G719" i="4"/>
  <c r="I719" i="4"/>
  <c r="J719" i="4"/>
  <c r="H719" i="4"/>
  <c r="L720" i="4"/>
  <c r="V720" i="3"/>
  <c r="M719" i="4"/>
  <c r="K719" i="4"/>
  <c r="W720" i="3"/>
  <c r="X720" i="3"/>
  <c r="Y720" i="3"/>
  <c r="Z720" i="3"/>
  <c r="AA720" i="3"/>
  <c r="AB720" i="3"/>
  <c r="C720" i="4"/>
  <c r="AC720" i="3"/>
  <c r="AD720" i="3"/>
  <c r="M721" i="3"/>
  <c r="AI721" i="3"/>
  <c r="O721" i="3"/>
  <c r="N721" i="3"/>
  <c r="G720" i="4"/>
  <c r="I720" i="4"/>
  <c r="J720" i="4"/>
  <c r="H720" i="4"/>
  <c r="K720" i="4"/>
  <c r="M720" i="4"/>
  <c r="P721" i="3"/>
  <c r="Q721" i="3"/>
  <c r="L721" i="4"/>
  <c r="V721" i="3"/>
  <c r="W721" i="3"/>
  <c r="X721" i="3"/>
  <c r="Y721" i="3"/>
  <c r="Z721" i="3"/>
  <c r="AA721" i="3"/>
  <c r="AB721" i="3"/>
  <c r="AC721" i="3"/>
  <c r="AD721" i="3"/>
  <c r="M722" i="3"/>
  <c r="C721" i="4"/>
  <c r="G721" i="4"/>
  <c r="I721" i="4"/>
  <c r="J721" i="4"/>
  <c r="H721" i="4"/>
  <c r="AI722" i="3"/>
  <c r="N722" i="3"/>
  <c r="P722" i="3"/>
  <c r="Q722" i="3"/>
  <c r="O722" i="3"/>
  <c r="L722" i="4"/>
  <c r="V722" i="3"/>
  <c r="M721" i="4"/>
  <c r="K721" i="4"/>
  <c r="W722" i="3"/>
  <c r="X722" i="3"/>
  <c r="Y722" i="3"/>
  <c r="Z722" i="3"/>
  <c r="AA722" i="3"/>
  <c r="AB722" i="3"/>
  <c r="C722" i="4"/>
  <c r="AC722" i="3"/>
  <c r="AD722" i="3"/>
  <c r="M723" i="3"/>
  <c r="N723" i="3"/>
  <c r="O723" i="3"/>
  <c r="AI723" i="3"/>
  <c r="G722" i="4"/>
  <c r="I722" i="4"/>
  <c r="J722" i="4"/>
  <c r="H722" i="4"/>
  <c r="K722" i="4"/>
  <c r="M722" i="4"/>
  <c r="P723" i="3"/>
  <c r="Q723" i="3"/>
  <c r="L723" i="4"/>
  <c r="V723" i="3"/>
  <c r="W723" i="3"/>
  <c r="X723" i="3"/>
  <c r="Y723" i="3"/>
  <c r="Z723" i="3"/>
  <c r="AA723" i="3"/>
  <c r="AB723" i="3"/>
  <c r="M724" i="3"/>
  <c r="C723" i="4"/>
  <c r="AC723" i="3"/>
  <c r="AD723" i="3"/>
  <c r="G723" i="4"/>
  <c r="I723" i="4"/>
  <c r="J723" i="4"/>
  <c r="H723" i="4"/>
  <c r="O724" i="3"/>
  <c r="AI724" i="3"/>
  <c r="N724" i="3"/>
  <c r="P724" i="3"/>
  <c r="Q724" i="3"/>
  <c r="L724" i="4"/>
  <c r="V724" i="3"/>
  <c r="K723" i="4"/>
  <c r="M723" i="4"/>
  <c r="W724" i="3"/>
  <c r="X724" i="3"/>
  <c r="Y724" i="3"/>
  <c r="Z724" i="3"/>
  <c r="AA724" i="3"/>
  <c r="AB724" i="3"/>
  <c r="M725" i="3"/>
  <c r="C724" i="4"/>
  <c r="AC724" i="3"/>
  <c r="AD724" i="3"/>
  <c r="G724" i="4"/>
  <c r="I724" i="4"/>
  <c r="J724" i="4"/>
  <c r="H724" i="4"/>
  <c r="O725" i="3"/>
  <c r="N725" i="3"/>
  <c r="P725" i="3"/>
  <c r="Q725" i="3"/>
  <c r="AI725" i="3"/>
  <c r="L725" i="4"/>
  <c r="V725" i="3"/>
  <c r="K724" i="4"/>
  <c r="M724" i="4"/>
  <c r="W725" i="3"/>
  <c r="X725" i="3"/>
  <c r="Y725" i="3"/>
  <c r="Z725" i="3"/>
  <c r="AA725" i="3"/>
  <c r="AB725" i="3"/>
  <c r="AC725" i="3"/>
  <c r="AD725" i="3"/>
  <c r="M726" i="3"/>
  <c r="C725" i="4"/>
  <c r="G725" i="4"/>
  <c r="I725" i="4"/>
  <c r="J725" i="4"/>
  <c r="H725" i="4"/>
  <c r="O726" i="3"/>
  <c r="N726" i="3"/>
  <c r="P726" i="3"/>
  <c r="Q726" i="3"/>
  <c r="AI726" i="3"/>
  <c r="L726" i="4"/>
  <c r="V726" i="3"/>
  <c r="M725" i="4"/>
  <c r="K725" i="4"/>
  <c r="W726" i="3"/>
  <c r="X726" i="3"/>
  <c r="Y726" i="3"/>
  <c r="Z726" i="3"/>
  <c r="AA726" i="3"/>
  <c r="AB726" i="3"/>
  <c r="AC726" i="3"/>
  <c r="AD726" i="3"/>
  <c r="M727" i="3"/>
  <c r="C726" i="4"/>
  <c r="G726" i="4"/>
  <c r="I726" i="4"/>
  <c r="J726" i="4"/>
  <c r="H726" i="4"/>
  <c r="O727" i="3"/>
  <c r="N727" i="3"/>
  <c r="P727" i="3"/>
  <c r="Q727" i="3"/>
  <c r="AI727" i="3"/>
  <c r="L727" i="4"/>
  <c r="V727" i="3"/>
  <c r="M726" i="4"/>
  <c r="K726" i="4"/>
  <c r="W727" i="3"/>
  <c r="X727" i="3"/>
  <c r="Y727" i="3"/>
  <c r="Z727" i="3"/>
  <c r="AA727" i="3"/>
  <c r="AB727" i="3"/>
  <c r="M728" i="3"/>
  <c r="AC727" i="3"/>
  <c r="AD727" i="3"/>
  <c r="C727" i="4"/>
  <c r="G727" i="4"/>
  <c r="I727" i="4"/>
  <c r="J727" i="4"/>
  <c r="H727" i="4"/>
  <c r="N728" i="3"/>
  <c r="O728" i="3"/>
  <c r="AI728" i="3"/>
  <c r="P728" i="3"/>
  <c r="Q728" i="3"/>
  <c r="K727" i="4"/>
  <c r="M727" i="4"/>
  <c r="L728" i="4"/>
  <c r="V728" i="3"/>
  <c r="W728" i="3"/>
  <c r="X728" i="3"/>
  <c r="Y728" i="3"/>
  <c r="Z728" i="3"/>
  <c r="AA728" i="3"/>
  <c r="AB728" i="3"/>
  <c r="M729" i="3"/>
  <c r="AC728" i="3"/>
  <c r="AD728" i="3"/>
  <c r="C728" i="4"/>
  <c r="G728" i="4"/>
  <c r="I728" i="4"/>
  <c r="J728" i="4"/>
  <c r="H728" i="4"/>
  <c r="O729" i="3"/>
  <c r="N729" i="3"/>
  <c r="P729" i="3"/>
  <c r="Q729" i="3"/>
  <c r="AI729" i="3"/>
  <c r="L729" i="4"/>
  <c r="V729" i="3"/>
  <c r="M728" i="4"/>
  <c r="K728" i="4"/>
  <c r="W729" i="3"/>
  <c r="X729" i="3"/>
  <c r="Y729" i="3"/>
  <c r="Z729" i="3"/>
  <c r="AA729" i="3"/>
  <c r="AB729" i="3"/>
  <c r="M730" i="3"/>
  <c r="C729" i="4"/>
  <c r="AC729" i="3"/>
  <c r="AD729" i="3"/>
  <c r="G729" i="4"/>
  <c r="I729" i="4"/>
  <c r="J729" i="4"/>
  <c r="H729" i="4"/>
  <c r="N730" i="3"/>
  <c r="O730" i="3"/>
  <c r="AI730" i="3"/>
  <c r="P730" i="3"/>
  <c r="Q730" i="3"/>
  <c r="K729" i="4"/>
  <c r="M729" i="4"/>
  <c r="L730" i="4"/>
  <c r="V730" i="3"/>
  <c r="W730" i="3"/>
  <c r="X730" i="3"/>
  <c r="Y730" i="3"/>
  <c r="Z730" i="3"/>
  <c r="AA730" i="3"/>
  <c r="AB730" i="3"/>
  <c r="M731" i="3"/>
  <c r="C730" i="4"/>
  <c r="AC730" i="3"/>
  <c r="AD730" i="3"/>
  <c r="G730" i="4"/>
  <c r="I730" i="4"/>
  <c r="J730" i="4"/>
  <c r="H730" i="4"/>
  <c r="N731" i="3"/>
  <c r="P731" i="3"/>
  <c r="Q731" i="3"/>
  <c r="AI731" i="3"/>
  <c r="O731" i="3"/>
  <c r="L731" i="4"/>
  <c r="V731" i="3"/>
  <c r="K730" i="4"/>
  <c r="M730" i="4"/>
  <c r="W731" i="3"/>
  <c r="X731" i="3"/>
  <c r="Y731" i="3"/>
  <c r="Z731" i="3"/>
  <c r="AA731" i="3"/>
  <c r="AB731" i="3"/>
  <c r="M732" i="3"/>
  <c r="AC731" i="3"/>
  <c r="AD731" i="3"/>
  <c r="C731" i="4"/>
  <c r="G731" i="4"/>
  <c r="I731" i="4"/>
  <c r="J731" i="4"/>
  <c r="H731" i="4"/>
  <c r="AI732" i="3"/>
  <c r="N732" i="3"/>
  <c r="P732" i="3"/>
  <c r="Q732" i="3"/>
  <c r="O732" i="3"/>
  <c r="L732" i="4"/>
  <c r="V732" i="3"/>
  <c r="K731" i="4"/>
  <c r="M731" i="4"/>
  <c r="W732" i="3"/>
  <c r="X732" i="3"/>
  <c r="Y732" i="3"/>
  <c r="Z732" i="3"/>
  <c r="AA732" i="3"/>
  <c r="AB732" i="3"/>
  <c r="AC732" i="3"/>
  <c r="AD732" i="3"/>
  <c r="C732" i="4"/>
  <c r="M733" i="3"/>
  <c r="AI733" i="3"/>
  <c r="O733" i="3"/>
  <c r="N733" i="3"/>
  <c r="P733" i="3"/>
  <c r="Q733" i="3"/>
  <c r="G732" i="4"/>
  <c r="I732" i="4"/>
  <c r="J732" i="4"/>
  <c r="H732" i="4"/>
  <c r="L733" i="4"/>
  <c r="V733" i="3"/>
  <c r="K732" i="4"/>
  <c r="M732" i="4"/>
  <c r="W733" i="3"/>
  <c r="X733" i="3"/>
  <c r="Y733" i="3"/>
  <c r="Z733" i="3"/>
  <c r="AA733" i="3"/>
  <c r="AB733" i="3"/>
  <c r="M734" i="3"/>
  <c r="C733" i="4"/>
  <c r="AC733" i="3"/>
  <c r="AD733" i="3"/>
  <c r="G733" i="4"/>
  <c r="I733" i="4"/>
  <c r="J733" i="4"/>
  <c r="H733" i="4"/>
  <c r="AI734" i="3"/>
  <c r="O734" i="3"/>
  <c r="N734" i="3"/>
  <c r="P734" i="3"/>
  <c r="Q734" i="3"/>
  <c r="K733" i="4"/>
  <c r="M733" i="4"/>
  <c r="L734" i="4"/>
  <c r="V734" i="3"/>
  <c r="W734" i="3"/>
  <c r="X734" i="3"/>
  <c r="Y734" i="3"/>
  <c r="Z734" i="3"/>
  <c r="AA734" i="3"/>
  <c r="AB734" i="3"/>
  <c r="M735" i="3"/>
  <c r="AC734" i="3"/>
  <c r="AD734" i="3"/>
  <c r="C734" i="4"/>
  <c r="G734" i="4"/>
  <c r="I734" i="4"/>
  <c r="J734" i="4"/>
  <c r="H734" i="4"/>
  <c r="AI735" i="3"/>
  <c r="O735" i="3"/>
  <c r="N735" i="3"/>
  <c r="P735" i="3"/>
  <c r="Q735" i="3"/>
  <c r="K734" i="4"/>
  <c r="M734" i="4"/>
  <c r="L735" i="4"/>
  <c r="V735" i="3"/>
  <c r="W735" i="3"/>
  <c r="X735" i="3"/>
  <c r="Y735" i="3"/>
  <c r="Z735" i="3"/>
  <c r="AA735" i="3"/>
  <c r="AB735" i="3"/>
  <c r="C735" i="4"/>
  <c r="M736" i="3"/>
  <c r="AC735" i="3"/>
  <c r="AD735" i="3"/>
  <c r="O736" i="3"/>
  <c r="N736" i="3"/>
  <c r="P736" i="3"/>
  <c r="Q736" i="3"/>
  <c r="AI736" i="3"/>
  <c r="G735" i="4"/>
  <c r="I735" i="4"/>
  <c r="J735" i="4"/>
  <c r="H735" i="4"/>
  <c r="M735" i="4"/>
  <c r="K735" i="4"/>
  <c r="L736" i="4"/>
  <c r="V736" i="3"/>
  <c r="W736" i="3"/>
  <c r="X736" i="3"/>
  <c r="Y736" i="3"/>
  <c r="Z736" i="3"/>
  <c r="AA736" i="3"/>
  <c r="AB736" i="3"/>
  <c r="AC736" i="3"/>
  <c r="AD736" i="3"/>
  <c r="C736" i="4"/>
  <c r="M737" i="3"/>
  <c r="G736" i="4"/>
  <c r="I736" i="4"/>
  <c r="J736" i="4"/>
  <c r="H736" i="4"/>
  <c r="N737" i="3"/>
  <c r="P737" i="3"/>
  <c r="Q737" i="3"/>
  <c r="AI737" i="3"/>
  <c r="O737" i="3"/>
  <c r="L737" i="4"/>
  <c r="V737" i="3"/>
  <c r="M736" i="4"/>
  <c r="K736" i="4"/>
  <c r="W737" i="3"/>
  <c r="X737" i="3"/>
  <c r="Y737" i="3"/>
  <c r="Z737" i="3"/>
  <c r="AA737" i="3"/>
  <c r="AB737" i="3"/>
  <c r="M738" i="3"/>
  <c r="AC737" i="3"/>
  <c r="AD737" i="3"/>
  <c r="C737" i="4"/>
  <c r="G737" i="4"/>
  <c r="I737" i="4"/>
  <c r="J737" i="4"/>
  <c r="H737" i="4"/>
  <c r="N738" i="3"/>
  <c r="AI738" i="3"/>
  <c r="O738" i="3"/>
  <c r="P738" i="3"/>
  <c r="Q738" i="3"/>
  <c r="M737" i="4"/>
  <c r="K737" i="4"/>
  <c r="L738" i="4"/>
  <c r="V738" i="3"/>
  <c r="W738" i="3"/>
  <c r="X738" i="3"/>
  <c r="Y738" i="3"/>
  <c r="Z738" i="3"/>
  <c r="AA738" i="3"/>
  <c r="AB738" i="3"/>
  <c r="M739" i="3"/>
  <c r="AC738" i="3"/>
  <c r="AD738" i="3"/>
  <c r="C738" i="4"/>
  <c r="G738" i="4"/>
  <c r="I738" i="4"/>
  <c r="J738" i="4"/>
  <c r="H738" i="4"/>
  <c r="O739" i="3"/>
  <c r="N739" i="3"/>
  <c r="P739" i="3"/>
  <c r="Q739" i="3"/>
  <c r="AI739" i="3"/>
  <c r="L739" i="4"/>
  <c r="V739" i="3"/>
  <c r="M738" i="4"/>
  <c r="K738" i="4"/>
  <c r="W739" i="3"/>
  <c r="X739" i="3"/>
  <c r="Y739" i="3"/>
  <c r="Z739" i="3"/>
  <c r="AA739" i="3"/>
  <c r="AB739" i="3"/>
  <c r="AC739" i="3"/>
  <c r="AD739" i="3"/>
  <c r="M740" i="3"/>
  <c r="C739" i="4"/>
  <c r="N740" i="3"/>
  <c r="AI740" i="3"/>
  <c r="O740" i="3"/>
  <c r="G739" i="4"/>
  <c r="I739" i="4"/>
  <c r="J739" i="4"/>
  <c r="H739" i="4"/>
  <c r="M739" i="4"/>
  <c r="K739" i="4"/>
  <c r="P740" i="3"/>
  <c r="Q740" i="3"/>
  <c r="L740" i="4"/>
  <c r="V740" i="3"/>
  <c r="W740" i="3"/>
  <c r="X740" i="3"/>
  <c r="Y740" i="3"/>
  <c r="Z740" i="3"/>
  <c r="AA740" i="3"/>
  <c r="AB740" i="3"/>
  <c r="C740" i="4"/>
  <c r="M741" i="3"/>
  <c r="AC740" i="3"/>
  <c r="AD740" i="3"/>
  <c r="O741" i="3"/>
  <c r="AI741" i="3"/>
  <c r="N741" i="3"/>
  <c r="P741" i="3"/>
  <c r="Q741" i="3"/>
  <c r="G740" i="4"/>
  <c r="I740" i="4"/>
  <c r="J740" i="4"/>
  <c r="H740" i="4"/>
  <c r="M740" i="4"/>
  <c r="K740" i="4"/>
  <c r="L741" i="4"/>
  <c r="V741" i="3"/>
  <c r="W741" i="3"/>
  <c r="X741" i="3"/>
  <c r="Y741" i="3"/>
  <c r="Z741" i="3"/>
  <c r="AA741" i="3"/>
  <c r="AB741" i="3"/>
  <c r="M742" i="3"/>
  <c r="C741" i="4"/>
  <c r="AC741" i="3"/>
  <c r="AD741" i="3"/>
  <c r="G741" i="4"/>
  <c r="I741" i="4"/>
  <c r="J741" i="4"/>
  <c r="H741" i="4"/>
  <c r="AI742" i="3"/>
  <c r="N742" i="3"/>
  <c r="P742" i="3"/>
  <c r="Q742" i="3"/>
  <c r="O742" i="3"/>
  <c r="L742" i="4"/>
  <c r="C42" i="5"/>
  <c r="N42" i="5"/>
  <c r="V742" i="3"/>
  <c r="M741" i="4"/>
  <c r="K741" i="4"/>
  <c r="W742" i="3"/>
  <c r="X742" i="3"/>
  <c r="Y742" i="3"/>
  <c r="Z742" i="3"/>
  <c r="AA742" i="3"/>
  <c r="AB742" i="3"/>
  <c r="AC742" i="3"/>
  <c r="AD742" i="3"/>
  <c r="C742" i="4"/>
  <c r="M743" i="3"/>
  <c r="G742" i="4"/>
  <c r="I742" i="4"/>
  <c r="J742" i="4"/>
  <c r="H742" i="4"/>
  <c r="O743" i="3"/>
  <c r="N743" i="3"/>
  <c r="P743" i="3"/>
  <c r="Q743" i="3"/>
  <c r="AI743" i="3"/>
  <c r="L743" i="4"/>
  <c r="V743" i="3"/>
  <c r="D42" i="5"/>
  <c r="M742" i="4"/>
  <c r="K742" i="4"/>
  <c r="E42" i="5"/>
  <c r="W743" i="3"/>
  <c r="X743" i="3"/>
  <c r="Y743" i="3"/>
  <c r="Z743" i="3"/>
  <c r="AA743" i="3"/>
  <c r="AB743" i="3"/>
  <c r="C743" i="4"/>
  <c r="AC743" i="3"/>
  <c r="AD743" i="3"/>
  <c r="M744" i="3"/>
  <c r="AI744" i="3"/>
  <c r="N744" i="3"/>
  <c r="P744" i="3"/>
  <c r="Q744" i="3"/>
  <c r="O744" i="3"/>
  <c r="G743" i="4"/>
  <c r="I743" i="4"/>
  <c r="J743" i="4"/>
  <c r="H743" i="4"/>
  <c r="K743" i="4"/>
  <c r="M743" i="4"/>
  <c r="L744" i="4"/>
  <c r="V744" i="3"/>
  <c r="W744" i="3"/>
  <c r="X744" i="3"/>
  <c r="Y744" i="3"/>
  <c r="Z744" i="3"/>
  <c r="AA744" i="3"/>
  <c r="AB744" i="3"/>
  <c r="AC744" i="3"/>
  <c r="AD744" i="3"/>
  <c r="M745" i="3"/>
  <c r="C744" i="4"/>
  <c r="O745" i="3"/>
  <c r="N745" i="3"/>
  <c r="P745" i="3"/>
  <c r="Q745" i="3"/>
  <c r="AI745" i="3"/>
  <c r="G744" i="4"/>
  <c r="I744" i="4"/>
  <c r="J744" i="4"/>
  <c r="H744" i="4"/>
  <c r="L745" i="4"/>
  <c r="V745" i="3"/>
  <c r="K744" i="4"/>
  <c r="M744" i="4"/>
  <c r="W745" i="3"/>
  <c r="X745" i="3"/>
  <c r="Y745" i="3"/>
  <c r="Z745" i="3"/>
  <c r="AA745" i="3"/>
  <c r="AB745" i="3"/>
  <c r="C745" i="4"/>
  <c r="M746" i="3"/>
  <c r="AC745" i="3"/>
  <c r="AD745" i="3"/>
  <c r="AI746" i="3"/>
  <c r="O746" i="3"/>
  <c r="N746" i="3"/>
  <c r="P746" i="3"/>
  <c r="Q746" i="3"/>
  <c r="G745" i="4"/>
  <c r="I745" i="4"/>
  <c r="J745" i="4"/>
  <c r="H745" i="4"/>
  <c r="L746" i="4"/>
  <c r="V746" i="3"/>
  <c r="K745" i="4"/>
  <c r="M745" i="4"/>
  <c r="W746" i="3"/>
  <c r="X746" i="3"/>
  <c r="Y746" i="3"/>
  <c r="Z746" i="3"/>
  <c r="AA746" i="3"/>
  <c r="AB746" i="3"/>
  <c r="C746" i="4"/>
  <c r="AC746" i="3"/>
  <c r="AD746" i="3"/>
  <c r="M747" i="3"/>
  <c r="AI747" i="3"/>
  <c r="O747" i="3"/>
  <c r="N747" i="3"/>
  <c r="P747" i="3"/>
  <c r="Q747" i="3"/>
  <c r="G746" i="4"/>
  <c r="I746" i="4"/>
  <c r="J746" i="4"/>
  <c r="H746" i="4"/>
  <c r="M746" i="4"/>
  <c r="K746" i="4"/>
  <c r="L747" i="4"/>
  <c r="V747" i="3"/>
  <c r="W747" i="3"/>
  <c r="X747" i="3"/>
  <c r="Y747" i="3"/>
  <c r="Z747" i="3"/>
  <c r="AA747" i="3"/>
  <c r="AB747" i="3"/>
  <c r="AC747" i="3"/>
  <c r="AD747" i="3"/>
  <c r="M748" i="3"/>
  <c r="C747" i="4"/>
  <c r="G747" i="4"/>
  <c r="I747" i="4"/>
  <c r="J747" i="4"/>
  <c r="H747" i="4"/>
  <c r="O748" i="3"/>
  <c r="AI748" i="3"/>
  <c r="N748" i="3"/>
  <c r="P748" i="3"/>
  <c r="Q748" i="3"/>
  <c r="L748" i="4"/>
  <c r="V748" i="3"/>
  <c r="K747" i="4"/>
  <c r="M747" i="4"/>
  <c r="W748" i="3"/>
  <c r="X748" i="3"/>
  <c r="Y748" i="3"/>
  <c r="Z748" i="3"/>
  <c r="AA748" i="3"/>
  <c r="AB748" i="3"/>
  <c r="C748" i="4"/>
  <c r="M749" i="3"/>
  <c r="AC748" i="3"/>
  <c r="AD748" i="3"/>
  <c r="N749" i="3"/>
  <c r="O749" i="3"/>
  <c r="AI749" i="3"/>
  <c r="G748" i="4"/>
  <c r="I748" i="4"/>
  <c r="J748" i="4"/>
  <c r="H748" i="4"/>
  <c r="K748" i="4"/>
  <c r="M748" i="4"/>
  <c r="P749" i="3"/>
  <c r="Q749" i="3"/>
  <c r="L749" i="4"/>
  <c r="V749" i="3"/>
  <c r="W749" i="3"/>
  <c r="X749" i="3"/>
  <c r="Y749" i="3"/>
  <c r="Z749" i="3"/>
  <c r="AA749" i="3"/>
  <c r="AB749" i="3"/>
  <c r="AC749" i="3"/>
  <c r="AD749" i="3"/>
  <c r="M750" i="3"/>
  <c r="C749" i="4"/>
  <c r="N750" i="3"/>
  <c r="O750" i="3"/>
  <c r="AI750" i="3"/>
  <c r="G749" i="4"/>
  <c r="I749" i="4"/>
  <c r="J749" i="4"/>
  <c r="H749" i="4"/>
  <c r="M749" i="4"/>
  <c r="K749" i="4"/>
  <c r="P750" i="3"/>
  <c r="Q750" i="3"/>
  <c r="L750" i="4"/>
  <c r="V750" i="3"/>
  <c r="W750" i="3"/>
  <c r="X750" i="3"/>
  <c r="Y750" i="3"/>
  <c r="Z750" i="3"/>
  <c r="AA750" i="3"/>
  <c r="AB750" i="3"/>
  <c r="C750" i="4"/>
  <c r="AC750" i="3"/>
  <c r="AD750" i="3"/>
  <c r="M751" i="3"/>
  <c r="O751" i="3"/>
  <c r="N751" i="3"/>
  <c r="P751" i="3"/>
  <c r="Q751" i="3"/>
  <c r="AI751" i="3"/>
  <c r="G750" i="4"/>
  <c r="I750" i="4"/>
  <c r="J750" i="4"/>
  <c r="H750" i="4"/>
  <c r="K750" i="4"/>
  <c r="M750" i="4"/>
  <c r="L751" i="4"/>
  <c r="V751" i="3"/>
  <c r="W751" i="3"/>
  <c r="X751" i="3"/>
  <c r="Y751" i="3"/>
  <c r="Z751" i="3"/>
  <c r="AA751" i="3"/>
  <c r="AB751" i="3"/>
  <c r="M752" i="3"/>
  <c r="AC751" i="3"/>
  <c r="AD751" i="3"/>
  <c r="C751" i="4"/>
  <c r="G751" i="4"/>
  <c r="I751" i="4"/>
  <c r="J751" i="4"/>
  <c r="H751" i="4"/>
  <c r="O752" i="3"/>
  <c r="N752" i="3"/>
  <c r="P752" i="3"/>
  <c r="Q752" i="3"/>
  <c r="AI752" i="3"/>
  <c r="L752" i="4"/>
  <c r="V752" i="3"/>
  <c r="M751" i="4"/>
  <c r="K751" i="4"/>
  <c r="W752" i="3"/>
  <c r="X752" i="3"/>
  <c r="Y752" i="3"/>
  <c r="Z752" i="3"/>
  <c r="AA752" i="3"/>
  <c r="AB752" i="3"/>
  <c r="M753" i="3"/>
  <c r="AC752" i="3"/>
  <c r="AD752" i="3"/>
  <c r="C752" i="4"/>
  <c r="G752" i="4"/>
  <c r="I752" i="4"/>
  <c r="J752" i="4"/>
  <c r="H752" i="4"/>
  <c r="O753" i="3"/>
  <c r="N753" i="3"/>
  <c r="P753" i="3"/>
  <c r="Q753" i="3"/>
  <c r="AI753" i="3"/>
  <c r="L753" i="4"/>
  <c r="V753" i="3"/>
  <c r="M752" i="4"/>
  <c r="K752" i="4"/>
  <c r="W753" i="3"/>
  <c r="X753" i="3"/>
  <c r="Y753" i="3"/>
  <c r="Z753" i="3"/>
  <c r="AA753" i="3"/>
  <c r="AB753" i="3"/>
  <c r="M754" i="3"/>
  <c r="C753" i="4"/>
  <c r="AC753" i="3"/>
  <c r="AD753" i="3"/>
  <c r="G753" i="4"/>
  <c r="I753" i="4"/>
  <c r="J753" i="4"/>
  <c r="H753" i="4"/>
  <c r="O754" i="3"/>
  <c r="AI754" i="3"/>
  <c r="N754" i="3"/>
  <c r="P754" i="3"/>
  <c r="Q754" i="3"/>
  <c r="L754" i="4"/>
  <c r="V754" i="3"/>
  <c r="K753" i="4"/>
  <c r="M753" i="4"/>
  <c r="W754" i="3"/>
  <c r="X754" i="3"/>
  <c r="Y754" i="3"/>
  <c r="Z754" i="3"/>
  <c r="AA754" i="3"/>
  <c r="AB754" i="3"/>
  <c r="AC754" i="3"/>
  <c r="AD754" i="3"/>
  <c r="M755" i="3"/>
  <c r="C754" i="4"/>
  <c r="G754" i="4"/>
  <c r="I754" i="4"/>
  <c r="J754" i="4"/>
  <c r="H754" i="4"/>
  <c r="AI755" i="3"/>
  <c r="O755" i="3"/>
  <c r="N755" i="3"/>
  <c r="P755" i="3"/>
  <c r="Q755" i="3"/>
  <c r="L755" i="4"/>
  <c r="V755" i="3"/>
  <c r="M754" i="4"/>
  <c r="K754" i="4"/>
  <c r="W755" i="3"/>
  <c r="X755" i="3"/>
  <c r="Y755" i="3"/>
  <c r="Z755" i="3"/>
  <c r="AA755" i="3"/>
  <c r="AB755" i="3"/>
  <c r="M756" i="3"/>
  <c r="AC755" i="3"/>
  <c r="AD755" i="3"/>
  <c r="C755" i="4"/>
  <c r="G755" i="4"/>
  <c r="I755" i="4"/>
  <c r="J755" i="4"/>
  <c r="H755" i="4"/>
  <c r="AI756" i="3"/>
  <c r="N756" i="3"/>
  <c r="P756" i="3"/>
  <c r="Q756" i="3"/>
  <c r="O756" i="3"/>
  <c r="L756" i="4"/>
  <c r="V756" i="3"/>
  <c r="K755" i="4"/>
  <c r="M755" i="4"/>
  <c r="W756" i="3"/>
  <c r="X756" i="3"/>
  <c r="Y756" i="3"/>
  <c r="Z756" i="3"/>
  <c r="AA756" i="3"/>
  <c r="AB756" i="3"/>
  <c r="M757" i="3"/>
  <c r="AC756" i="3"/>
  <c r="AD756" i="3"/>
  <c r="C756" i="4"/>
  <c r="G756" i="4"/>
  <c r="I756" i="4"/>
  <c r="J756" i="4"/>
  <c r="H756" i="4"/>
  <c r="AI757" i="3"/>
  <c r="O757" i="3"/>
  <c r="N757" i="3"/>
  <c r="P757" i="3"/>
  <c r="Q757" i="3"/>
  <c r="L757" i="4"/>
  <c r="V757" i="3"/>
  <c r="K756" i="4"/>
  <c r="M756" i="4"/>
  <c r="W757" i="3"/>
  <c r="X757" i="3"/>
  <c r="Y757" i="3"/>
  <c r="Z757" i="3"/>
  <c r="AA757" i="3"/>
  <c r="AB757" i="3"/>
  <c r="C757" i="4"/>
  <c r="AC757" i="3"/>
  <c r="AD757" i="3"/>
  <c r="M758" i="3"/>
  <c r="AI758" i="3"/>
  <c r="N758" i="3"/>
  <c r="O758" i="3"/>
  <c r="G757" i="4"/>
  <c r="I757" i="4"/>
  <c r="J757" i="4"/>
  <c r="H757" i="4"/>
  <c r="P758" i="3"/>
  <c r="Q758" i="3"/>
  <c r="M757" i="4"/>
  <c r="K757" i="4"/>
  <c r="L758" i="4"/>
  <c r="V758" i="3"/>
  <c r="W758" i="3"/>
  <c r="X758" i="3"/>
  <c r="Y758" i="3"/>
  <c r="Z758" i="3"/>
  <c r="AA758" i="3"/>
  <c r="AB758" i="3"/>
  <c r="M759" i="3"/>
  <c r="C758" i="4"/>
  <c r="AC758" i="3"/>
  <c r="AD758" i="3"/>
  <c r="G758" i="4"/>
  <c r="I758" i="4"/>
  <c r="J758" i="4"/>
  <c r="H758" i="4"/>
  <c r="AI759" i="3"/>
  <c r="O759" i="3"/>
  <c r="N759" i="3"/>
  <c r="P759" i="3"/>
  <c r="Q759" i="3"/>
  <c r="L759" i="4"/>
  <c r="V759" i="3"/>
  <c r="M758" i="4"/>
  <c r="K758" i="4"/>
  <c r="W759" i="3"/>
  <c r="X759" i="3"/>
  <c r="Y759" i="3"/>
  <c r="Z759" i="3"/>
  <c r="AA759" i="3"/>
  <c r="AB759" i="3"/>
  <c r="M760" i="3"/>
  <c r="AC759" i="3"/>
  <c r="AD759" i="3"/>
  <c r="C759" i="4"/>
  <c r="G759" i="4"/>
  <c r="I759" i="4"/>
  <c r="J759" i="4"/>
  <c r="H759" i="4"/>
  <c r="AI760" i="3"/>
  <c r="N760" i="3"/>
  <c r="O760" i="3"/>
  <c r="P760" i="3"/>
  <c r="Q760" i="3"/>
  <c r="K759" i="4"/>
  <c r="M759" i="4"/>
  <c r="L760" i="4"/>
  <c r="V760" i="3"/>
  <c r="W760" i="3"/>
  <c r="X760" i="3"/>
  <c r="Y760" i="3"/>
  <c r="Z760" i="3"/>
  <c r="AA760" i="3"/>
  <c r="AB760" i="3"/>
  <c r="M761" i="3"/>
  <c r="AC760" i="3"/>
  <c r="AD760" i="3"/>
  <c r="C760" i="4"/>
  <c r="G760" i="4"/>
  <c r="I760" i="4"/>
  <c r="J760" i="4"/>
  <c r="H760" i="4"/>
  <c r="AI761" i="3"/>
  <c r="N761" i="3"/>
  <c r="O761" i="3"/>
  <c r="P761" i="3"/>
  <c r="Q761" i="3"/>
  <c r="K760" i="4"/>
  <c r="M760" i="4"/>
  <c r="L761" i="4"/>
  <c r="V761" i="3"/>
  <c r="W761" i="3"/>
  <c r="X761" i="3"/>
  <c r="Y761" i="3"/>
  <c r="Z761" i="3"/>
  <c r="AA761" i="3"/>
  <c r="AB761" i="3"/>
  <c r="M762" i="3"/>
  <c r="C761" i="4"/>
  <c r="AC761" i="3"/>
  <c r="AD761" i="3"/>
  <c r="G761" i="4"/>
  <c r="I761" i="4"/>
  <c r="J761" i="4"/>
  <c r="H761" i="4"/>
  <c r="AI762" i="3"/>
  <c r="N762" i="3"/>
  <c r="P762" i="3"/>
  <c r="Q762" i="3"/>
  <c r="O762" i="3"/>
  <c r="L762" i="4"/>
  <c r="V762" i="3"/>
  <c r="M761" i="4"/>
  <c r="K761" i="4"/>
  <c r="W762" i="3"/>
  <c r="X762" i="3"/>
  <c r="Y762" i="3"/>
  <c r="Z762" i="3"/>
  <c r="AA762" i="3"/>
  <c r="AB762" i="3"/>
  <c r="C762" i="4"/>
  <c r="M763" i="3"/>
  <c r="AC762" i="3"/>
  <c r="AD762" i="3"/>
  <c r="N763" i="3"/>
  <c r="AI763" i="3"/>
  <c r="O763" i="3"/>
  <c r="G762" i="4"/>
  <c r="I762" i="4"/>
  <c r="J762" i="4"/>
  <c r="H762" i="4"/>
  <c r="K762" i="4"/>
  <c r="M762" i="4"/>
  <c r="P763" i="3"/>
  <c r="Q763" i="3"/>
  <c r="L763" i="4"/>
  <c r="V763" i="3"/>
  <c r="W763" i="3"/>
  <c r="X763" i="3"/>
  <c r="Y763" i="3"/>
  <c r="Z763" i="3"/>
  <c r="AA763" i="3"/>
  <c r="AB763" i="3"/>
  <c r="AC763" i="3"/>
  <c r="AD763" i="3"/>
  <c r="C763" i="4"/>
  <c r="M764" i="3"/>
  <c r="N764" i="3"/>
  <c r="AI764" i="3"/>
  <c r="O764" i="3"/>
  <c r="G763" i="4"/>
  <c r="I763" i="4"/>
  <c r="J763" i="4"/>
  <c r="H763" i="4"/>
  <c r="K763" i="4"/>
  <c r="M763" i="4"/>
  <c r="P764" i="3"/>
  <c r="Q764" i="3"/>
  <c r="L764" i="4"/>
  <c r="V764" i="3"/>
  <c r="W764" i="3"/>
  <c r="X764" i="3"/>
  <c r="Y764" i="3"/>
  <c r="Z764" i="3"/>
  <c r="AA764" i="3"/>
  <c r="AB764" i="3"/>
  <c r="C764" i="4"/>
  <c r="M765" i="3"/>
  <c r="AC764" i="3"/>
  <c r="AD764" i="3"/>
  <c r="AI765" i="3"/>
  <c r="O765" i="3"/>
  <c r="N765" i="3"/>
  <c r="G764" i="4"/>
  <c r="I764" i="4"/>
  <c r="J764" i="4"/>
  <c r="H764" i="4"/>
  <c r="M764" i="4"/>
  <c r="K764" i="4"/>
  <c r="P765" i="3"/>
  <c r="Q765" i="3"/>
  <c r="L765" i="4"/>
  <c r="V765" i="3"/>
  <c r="W765" i="3"/>
  <c r="X765" i="3"/>
  <c r="Y765" i="3"/>
  <c r="Z765" i="3"/>
  <c r="AA765" i="3"/>
  <c r="AB765" i="3"/>
  <c r="M766" i="3"/>
  <c r="AC765" i="3"/>
  <c r="AD765" i="3"/>
  <c r="C765" i="4"/>
  <c r="G765" i="4"/>
  <c r="I765" i="4"/>
  <c r="J765" i="4"/>
  <c r="H765" i="4"/>
  <c r="AI766" i="3"/>
  <c r="O766" i="3"/>
  <c r="N766" i="3"/>
  <c r="P766" i="3"/>
  <c r="Q766" i="3"/>
  <c r="L766" i="4"/>
  <c r="V766" i="3"/>
  <c r="M765" i="4"/>
  <c r="K765" i="4"/>
  <c r="W766" i="3"/>
  <c r="X766" i="3"/>
  <c r="Y766" i="3"/>
  <c r="Z766" i="3"/>
  <c r="AA766" i="3"/>
  <c r="AB766" i="3"/>
  <c r="AC766" i="3"/>
  <c r="AD766" i="3"/>
  <c r="M767" i="3"/>
  <c r="C766" i="4"/>
  <c r="G766" i="4"/>
  <c r="I766" i="4"/>
  <c r="J766" i="4"/>
  <c r="H766" i="4"/>
  <c r="AI767" i="3"/>
  <c r="O767" i="3"/>
  <c r="N767" i="3"/>
  <c r="P767" i="3"/>
  <c r="Q767" i="3"/>
  <c r="L767" i="4"/>
  <c r="V767" i="3"/>
  <c r="M766" i="4"/>
  <c r="K766" i="4"/>
  <c r="W767" i="3"/>
  <c r="X767" i="3"/>
  <c r="Y767" i="3"/>
  <c r="Z767" i="3"/>
  <c r="AA767" i="3"/>
  <c r="AB767" i="3"/>
  <c r="M768" i="3"/>
  <c r="AC767" i="3"/>
  <c r="AD767" i="3"/>
  <c r="C767" i="4"/>
  <c r="G767" i="4"/>
  <c r="I767" i="4"/>
  <c r="J767" i="4"/>
  <c r="H767" i="4"/>
  <c r="AI768" i="3"/>
  <c r="N768" i="3"/>
  <c r="P768" i="3"/>
  <c r="Q768" i="3"/>
  <c r="O768" i="3"/>
  <c r="L768" i="4"/>
  <c r="V768" i="3"/>
  <c r="M767" i="4"/>
  <c r="K767" i="4"/>
  <c r="W768" i="3"/>
  <c r="X768" i="3"/>
  <c r="Y768" i="3"/>
  <c r="Z768" i="3"/>
  <c r="AA768" i="3"/>
  <c r="AB768" i="3"/>
  <c r="M769" i="3"/>
  <c r="C768" i="4"/>
  <c r="AC768" i="3"/>
  <c r="AD768" i="3"/>
  <c r="G768" i="4"/>
  <c r="I768" i="4"/>
  <c r="J768" i="4"/>
  <c r="H768" i="4"/>
  <c r="AI769" i="3"/>
  <c r="O769" i="3"/>
  <c r="N769" i="3"/>
  <c r="P769" i="3"/>
  <c r="Q769" i="3"/>
  <c r="K768" i="4"/>
  <c r="M768" i="4"/>
  <c r="L769" i="4"/>
  <c r="V769" i="3"/>
  <c r="W769" i="3"/>
  <c r="X769" i="3"/>
  <c r="Y769" i="3"/>
  <c r="Z769" i="3"/>
  <c r="AA769" i="3"/>
  <c r="AB769" i="3"/>
  <c r="M770" i="3"/>
  <c r="AC769" i="3"/>
  <c r="AD769" i="3"/>
  <c r="C769" i="4"/>
  <c r="G769" i="4"/>
  <c r="I769" i="4"/>
  <c r="J769" i="4"/>
  <c r="H769" i="4"/>
  <c r="AI770" i="3"/>
  <c r="N770" i="3"/>
  <c r="P770" i="3"/>
  <c r="Q770" i="3"/>
  <c r="O770" i="3"/>
  <c r="L770" i="4"/>
  <c r="V770" i="3"/>
  <c r="K769" i="4"/>
  <c r="M769" i="4"/>
  <c r="W770" i="3"/>
  <c r="X770" i="3"/>
  <c r="Y770" i="3"/>
  <c r="Z770" i="3"/>
  <c r="AA770" i="3"/>
  <c r="AB770" i="3"/>
  <c r="C770" i="4"/>
  <c r="M771" i="3"/>
  <c r="AC770" i="3"/>
  <c r="AD770" i="3"/>
  <c r="AI771" i="3"/>
  <c r="O771" i="3"/>
  <c r="N771" i="3"/>
  <c r="P771" i="3"/>
  <c r="Q771" i="3"/>
  <c r="G770" i="4"/>
  <c r="I770" i="4"/>
  <c r="J770" i="4"/>
  <c r="H770" i="4"/>
  <c r="L771" i="4"/>
  <c r="V771" i="3"/>
  <c r="K770" i="4"/>
  <c r="M770" i="4"/>
  <c r="W771" i="3"/>
  <c r="X771" i="3"/>
  <c r="Y771" i="3"/>
  <c r="Z771" i="3"/>
  <c r="AA771" i="3"/>
  <c r="AB771" i="3"/>
  <c r="C771" i="4"/>
  <c r="AC771" i="3"/>
  <c r="AD771" i="3"/>
  <c r="M772" i="3"/>
  <c r="AI772" i="3"/>
  <c r="O772" i="3"/>
  <c r="N772" i="3"/>
  <c r="P772" i="3"/>
  <c r="Q772" i="3"/>
  <c r="G771" i="4"/>
  <c r="I771" i="4"/>
  <c r="J771" i="4"/>
  <c r="H771" i="4"/>
  <c r="M771" i="4"/>
  <c r="K771" i="4"/>
  <c r="L772" i="4"/>
  <c r="V772" i="3"/>
  <c r="W772" i="3"/>
  <c r="X772" i="3"/>
  <c r="Y772" i="3"/>
  <c r="Z772" i="3"/>
  <c r="AA772" i="3"/>
  <c r="AB772" i="3"/>
  <c r="M773" i="3"/>
  <c r="C772" i="4"/>
  <c r="AC772" i="3"/>
  <c r="AD772" i="3"/>
  <c r="G772" i="4"/>
  <c r="I772" i="4"/>
  <c r="J772" i="4"/>
  <c r="H772" i="4"/>
  <c r="AI773" i="3"/>
  <c r="O773" i="3"/>
  <c r="N773" i="3"/>
  <c r="P773" i="3"/>
  <c r="Q773" i="3"/>
  <c r="L773" i="4"/>
  <c r="V773" i="3"/>
  <c r="K772" i="4"/>
  <c r="M772" i="4"/>
  <c r="W773" i="3"/>
  <c r="X773" i="3"/>
  <c r="Y773" i="3"/>
  <c r="Z773" i="3"/>
  <c r="AA773" i="3"/>
  <c r="AB773" i="3"/>
  <c r="C773" i="4"/>
  <c r="AC773" i="3"/>
  <c r="AD773" i="3"/>
  <c r="M774" i="3"/>
  <c r="O774" i="3"/>
  <c r="N774" i="3"/>
  <c r="P774" i="3"/>
  <c r="Q774" i="3"/>
  <c r="AI774" i="3"/>
  <c r="G773" i="4"/>
  <c r="I773" i="4"/>
  <c r="J773" i="4"/>
  <c r="H773" i="4"/>
  <c r="M773" i="4"/>
  <c r="K773" i="4"/>
  <c r="L774" i="4"/>
  <c r="V774" i="3"/>
  <c r="W774" i="3"/>
  <c r="X774" i="3"/>
  <c r="Y774" i="3"/>
  <c r="Z774" i="3"/>
  <c r="AA774" i="3"/>
  <c r="AB774" i="3"/>
  <c r="AC774" i="3"/>
  <c r="AD774" i="3"/>
  <c r="C774" i="4"/>
  <c r="M775" i="3"/>
  <c r="AI775" i="3"/>
  <c r="N775" i="3"/>
  <c r="O775" i="3"/>
  <c r="G774" i="4"/>
  <c r="I774" i="4"/>
  <c r="J774" i="4"/>
  <c r="H774" i="4"/>
  <c r="P775" i="3"/>
  <c r="Q775" i="3"/>
  <c r="K774" i="4"/>
  <c r="M774" i="4"/>
  <c r="L775" i="4"/>
  <c r="V775" i="3"/>
  <c r="W775" i="3"/>
  <c r="X775" i="3"/>
  <c r="Y775" i="3"/>
  <c r="Z775" i="3"/>
  <c r="AA775" i="3"/>
  <c r="AB775" i="3"/>
  <c r="M776" i="3"/>
  <c r="C775" i="4"/>
  <c r="AC775" i="3"/>
  <c r="AD775" i="3"/>
  <c r="G775" i="4"/>
  <c r="I775" i="4"/>
  <c r="J775" i="4"/>
  <c r="H775" i="4"/>
  <c r="AI776" i="3"/>
  <c r="O776" i="3"/>
  <c r="N776" i="3"/>
  <c r="P776" i="3"/>
  <c r="Q776" i="3"/>
  <c r="M775" i="4"/>
  <c r="K775" i="4"/>
  <c r="L776" i="4"/>
  <c r="V776" i="3"/>
  <c r="W776" i="3"/>
  <c r="X776" i="3"/>
  <c r="Y776" i="3"/>
  <c r="Z776" i="3"/>
  <c r="AA776" i="3"/>
  <c r="AB776" i="3"/>
  <c r="AC776" i="3"/>
  <c r="AD776" i="3"/>
  <c r="C776" i="4"/>
  <c r="M777" i="3"/>
  <c r="AI777" i="3"/>
  <c r="O777" i="3"/>
  <c r="N777" i="3"/>
  <c r="P777" i="3"/>
  <c r="Q777" i="3"/>
  <c r="G776" i="4"/>
  <c r="I776" i="4"/>
  <c r="J776" i="4"/>
  <c r="H776" i="4"/>
  <c r="M776" i="4"/>
  <c r="K776" i="4"/>
  <c r="L777" i="4"/>
  <c r="V777" i="3"/>
  <c r="W777" i="3"/>
  <c r="X777" i="3"/>
  <c r="Y777" i="3"/>
  <c r="Z777" i="3"/>
  <c r="AA777" i="3"/>
  <c r="AB777" i="3"/>
  <c r="AC777" i="3"/>
  <c r="AD777" i="3"/>
  <c r="M778" i="3"/>
  <c r="C777" i="4"/>
  <c r="G777" i="4"/>
  <c r="I777" i="4"/>
  <c r="J777" i="4"/>
  <c r="H777" i="4"/>
  <c r="O778" i="3"/>
  <c r="N778" i="3"/>
  <c r="P778" i="3"/>
  <c r="Q778" i="3"/>
  <c r="AI778" i="3"/>
  <c r="L778" i="4"/>
  <c r="V778" i="3"/>
  <c r="K777" i="4"/>
  <c r="M777" i="4"/>
  <c r="W778" i="3"/>
  <c r="X778" i="3"/>
  <c r="Y778" i="3"/>
  <c r="Z778" i="3"/>
  <c r="AA778" i="3"/>
  <c r="AB778" i="3"/>
  <c r="M779" i="3"/>
  <c r="C778" i="4"/>
  <c r="AC778" i="3"/>
  <c r="AD778" i="3"/>
  <c r="G778" i="4"/>
  <c r="I778" i="4"/>
  <c r="J778" i="4"/>
  <c r="H778" i="4"/>
  <c r="AI779" i="3"/>
  <c r="O779" i="3"/>
  <c r="N779" i="3"/>
  <c r="P779" i="3"/>
  <c r="Q779" i="3"/>
  <c r="L779" i="4"/>
  <c r="V779" i="3"/>
  <c r="K778" i="4"/>
  <c r="M778" i="4"/>
  <c r="W779" i="3"/>
  <c r="X779" i="3"/>
  <c r="Y779" i="3"/>
  <c r="Z779" i="3"/>
  <c r="AA779" i="3"/>
  <c r="AB779" i="3"/>
  <c r="AC779" i="3"/>
  <c r="AD779" i="3"/>
  <c r="M780" i="3"/>
  <c r="C779" i="4"/>
  <c r="G779" i="4"/>
  <c r="I779" i="4"/>
  <c r="J779" i="4"/>
  <c r="H779" i="4"/>
  <c r="AI780" i="3"/>
  <c r="O780" i="3"/>
  <c r="N780" i="3"/>
  <c r="P780" i="3"/>
  <c r="Q780" i="3"/>
  <c r="L780" i="4"/>
  <c r="V780" i="3"/>
  <c r="M779" i="4"/>
  <c r="K779" i="4"/>
  <c r="W780" i="3"/>
  <c r="X780" i="3"/>
  <c r="Y780" i="3"/>
  <c r="Z780" i="3"/>
  <c r="AA780" i="3"/>
  <c r="AB780" i="3"/>
  <c r="M781" i="3"/>
  <c r="AC780" i="3"/>
  <c r="AD780" i="3"/>
  <c r="C780" i="4"/>
  <c r="G780" i="4"/>
  <c r="I780" i="4"/>
  <c r="J780" i="4"/>
  <c r="H780" i="4"/>
  <c r="O781" i="3"/>
  <c r="N781" i="3"/>
  <c r="P781" i="3"/>
  <c r="Q781" i="3"/>
  <c r="AI781" i="3"/>
  <c r="L781" i="4"/>
  <c r="V781" i="3"/>
  <c r="M780" i="4"/>
  <c r="K780" i="4"/>
  <c r="W781" i="3"/>
  <c r="X781" i="3"/>
  <c r="Y781" i="3"/>
  <c r="Z781" i="3"/>
  <c r="AA781" i="3"/>
  <c r="AB781" i="3"/>
  <c r="M782" i="3"/>
  <c r="C781" i="4"/>
  <c r="AC781" i="3"/>
  <c r="AD781" i="3"/>
  <c r="G781" i="4"/>
  <c r="I781" i="4"/>
  <c r="J781" i="4"/>
  <c r="H781" i="4"/>
  <c r="AI782" i="3"/>
  <c r="N782" i="3"/>
  <c r="P782" i="3"/>
  <c r="Q782" i="3"/>
  <c r="O782" i="3"/>
  <c r="L782" i="4"/>
  <c r="V782" i="3"/>
  <c r="K781" i="4"/>
  <c r="M781" i="4"/>
  <c r="W782" i="3"/>
  <c r="X782" i="3"/>
  <c r="Y782" i="3"/>
  <c r="Z782" i="3"/>
  <c r="AA782" i="3"/>
  <c r="AB782" i="3"/>
  <c r="M783" i="3"/>
  <c r="C782" i="4"/>
  <c r="AC782" i="3"/>
  <c r="AD782" i="3"/>
  <c r="G782" i="4"/>
  <c r="I782" i="4"/>
  <c r="J782" i="4"/>
  <c r="H782" i="4"/>
  <c r="N783" i="3"/>
  <c r="AI783" i="3"/>
  <c r="O783" i="3"/>
  <c r="P783" i="3"/>
  <c r="Q783" i="3"/>
  <c r="M782" i="4"/>
  <c r="K782" i="4"/>
  <c r="L783" i="4"/>
  <c r="V783" i="3"/>
  <c r="W783" i="3"/>
  <c r="X783" i="3"/>
  <c r="Y783" i="3"/>
  <c r="Z783" i="3"/>
  <c r="AA783" i="3"/>
  <c r="AB783" i="3"/>
  <c r="AC783" i="3"/>
  <c r="AD783" i="3"/>
  <c r="C783" i="4"/>
  <c r="M784" i="3"/>
  <c r="G783" i="4"/>
  <c r="I783" i="4"/>
  <c r="J783" i="4"/>
  <c r="H783" i="4"/>
  <c r="O784" i="3"/>
  <c r="N784" i="3"/>
  <c r="P784" i="3"/>
  <c r="Q784" i="3"/>
  <c r="AI784" i="3"/>
  <c r="L784" i="4"/>
  <c r="C43" i="5"/>
  <c r="N43" i="5"/>
  <c r="V784" i="3"/>
  <c r="M783" i="4"/>
  <c r="K783" i="4"/>
  <c r="W784" i="3"/>
  <c r="X784" i="3"/>
  <c r="Y784" i="3"/>
  <c r="Z784" i="3"/>
  <c r="AA784" i="3"/>
  <c r="AB784" i="3"/>
  <c r="M785" i="3"/>
  <c r="AC784" i="3"/>
  <c r="AD784" i="3"/>
  <c r="C784" i="4"/>
  <c r="G784" i="4"/>
  <c r="I784" i="4"/>
  <c r="J784" i="4"/>
  <c r="H784" i="4"/>
  <c r="O785" i="3"/>
  <c r="AI785" i="3"/>
  <c r="N785" i="3"/>
  <c r="P785" i="3"/>
  <c r="Q785" i="3"/>
  <c r="L785" i="4"/>
  <c r="V785" i="3"/>
  <c r="D43" i="5"/>
  <c r="K784" i="4"/>
  <c r="E43" i="5"/>
  <c r="M784" i="4"/>
  <c r="W785" i="3"/>
  <c r="X785" i="3"/>
  <c r="Y785" i="3"/>
  <c r="Z785" i="3"/>
  <c r="AA785" i="3"/>
  <c r="AB785" i="3"/>
  <c r="AC785" i="3"/>
  <c r="AD785" i="3"/>
  <c r="C785" i="4"/>
  <c r="M786" i="3"/>
  <c r="AI786" i="3"/>
  <c r="O786" i="3"/>
  <c r="N786" i="3"/>
  <c r="P786" i="3"/>
  <c r="Q786" i="3"/>
  <c r="G785" i="4"/>
  <c r="I785" i="4"/>
  <c r="J785" i="4"/>
  <c r="H785" i="4"/>
  <c r="L786" i="4"/>
  <c r="V786" i="3"/>
  <c r="K785" i="4"/>
  <c r="M785" i="4"/>
  <c r="W786" i="3"/>
  <c r="X786" i="3"/>
  <c r="Y786" i="3"/>
  <c r="Z786" i="3"/>
  <c r="AA786" i="3"/>
  <c r="AB786" i="3"/>
  <c r="C786" i="4"/>
  <c r="AC786" i="3"/>
  <c r="AD786" i="3"/>
  <c r="M787" i="3"/>
  <c r="N787" i="3"/>
  <c r="AI787" i="3"/>
  <c r="O787" i="3"/>
  <c r="G786" i="4"/>
  <c r="I786" i="4"/>
  <c r="J786" i="4"/>
  <c r="H786" i="4"/>
  <c r="M786" i="4"/>
  <c r="K786" i="4"/>
  <c r="P787" i="3"/>
  <c r="Q787" i="3"/>
  <c r="L787" i="4"/>
  <c r="V787" i="3"/>
  <c r="W787" i="3"/>
  <c r="X787" i="3"/>
  <c r="Y787" i="3"/>
  <c r="Z787" i="3"/>
  <c r="AA787" i="3"/>
  <c r="AB787" i="3"/>
  <c r="M788" i="3"/>
  <c r="C787" i="4"/>
  <c r="AC787" i="3"/>
  <c r="AD787" i="3"/>
  <c r="G787" i="4"/>
  <c r="I787" i="4"/>
  <c r="J787" i="4"/>
  <c r="H787" i="4"/>
  <c r="O788" i="3"/>
  <c r="AI788" i="3"/>
  <c r="N788" i="3"/>
  <c r="P788" i="3"/>
  <c r="Q788" i="3"/>
  <c r="L788" i="4"/>
  <c r="V788" i="3"/>
  <c r="M787" i="4"/>
  <c r="K787" i="4"/>
  <c r="W788" i="3"/>
  <c r="X788" i="3"/>
  <c r="Y788" i="3"/>
  <c r="Z788" i="3"/>
  <c r="AA788" i="3"/>
  <c r="AB788" i="3"/>
  <c r="C788" i="4"/>
  <c r="AC788" i="3"/>
  <c r="AD788" i="3"/>
  <c r="M789" i="3"/>
  <c r="O789" i="3"/>
  <c r="N789" i="3"/>
  <c r="P789" i="3"/>
  <c r="Q789" i="3"/>
  <c r="AI789" i="3"/>
  <c r="G788" i="4"/>
  <c r="I788" i="4"/>
  <c r="J788" i="4"/>
  <c r="H788" i="4"/>
  <c r="M788" i="4"/>
  <c r="K788" i="4"/>
  <c r="L789" i="4"/>
  <c r="V789" i="3"/>
  <c r="W789" i="3"/>
  <c r="X789" i="3"/>
  <c r="Y789" i="3"/>
  <c r="Z789" i="3"/>
  <c r="AA789" i="3"/>
  <c r="AB789" i="3"/>
  <c r="AC789" i="3"/>
  <c r="AD789" i="3"/>
  <c r="M790" i="3"/>
  <c r="C789" i="4"/>
  <c r="G789" i="4"/>
  <c r="I789" i="4"/>
  <c r="J789" i="4"/>
  <c r="H789" i="4"/>
  <c r="O790" i="3"/>
  <c r="AI790" i="3"/>
  <c r="N790" i="3"/>
  <c r="P790" i="3"/>
  <c r="Q790" i="3"/>
  <c r="L790" i="4"/>
  <c r="V790" i="3"/>
  <c r="K789" i="4"/>
  <c r="M789" i="4"/>
  <c r="W790" i="3"/>
  <c r="X790" i="3"/>
  <c r="Y790" i="3"/>
  <c r="Z790" i="3"/>
  <c r="AA790" i="3"/>
  <c r="AB790" i="3"/>
  <c r="AC790" i="3"/>
  <c r="AD790" i="3"/>
  <c r="M791" i="3"/>
  <c r="C790" i="4"/>
  <c r="G790" i="4"/>
  <c r="I790" i="4"/>
  <c r="J790" i="4"/>
  <c r="H790" i="4"/>
  <c r="O791" i="3"/>
  <c r="N791" i="3"/>
  <c r="P791" i="3"/>
  <c r="Q791" i="3"/>
  <c r="AI791" i="3"/>
  <c r="L791" i="4"/>
  <c r="V791" i="3"/>
  <c r="M790" i="4"/>
  <c r="K790" i="4"/>
  <c r="W791" i="3"/>
  <c r="X791" i="3"/>
  <c r="Y791" i="3"/>
  <c r="Z791" i="3"/>
  <c r="AA791" i="3"/>
  <c r="AB791" i="3"/>
  <c r="AC791" i="3"/>
  <c r="AD791" i="3"/>
  <c r="C791" i="4"/>
  <c r="M792" i="3"/>
  <c r="O792" i="3"/>
  <c r="N792" i="3"/>
  <c r="P792" i="3"/>
  <c r="Q792" i="3"/>
  <c r="AI792" i="3"/>
  <c r="G791" i="4"/>
  <c r="I791" i="4"/>
  <c r="J791" i="4"/>
  <c r="H791" i="4"/>
  <c r="K791" i="4"/>
  <c r="M791" i="4"/>
  <c r="L792" i="4"/>
  <c r="V792" i="3"/>
  <c r="W792" i="3"/>
  <c r="X792" i="3"/>
  <c r="Y792" i="3"/>
  <c r="Z792" i="3"/>
  <c r="AA792" i="3"/>
  <c r="AB792" i="3"/>
  <c r="M793" i="3"/>
  <c r="C792" i="4"/>
  <c r="AC792" i="3"/>
  <c r="AD792" i="3"/>
  <c r="G792" i="4"/>
  <c r="I792" i="4"/>
  <c r="J792" i="4"/>
  <c r="H792" i="4"/>
  <c r="O793" i="3"/>
  <c r="AI793" i="3"/>
  <c r="N793" i="3"/>
  <c r="P793" i="3"/>
  <c r="Q793" i="3"/>
  <c r="L793" i="4"/>
  <c r="V793" i="3"/>
  <c r="K792" i="4"/>
  <c r="M792" i="4"/>
  <c r="W793" i="3"/>
  <c r="X793" i="3"/>
  <c r="Y793" i="3"/>
  <c r="Z793" i="3"/>
  <c r="AA793" i="3"/>
  <c r="AB793" i="3"/>
  <c r="M794" i="3"/>
  <c r="AC793" i="3"/>
  <c r="AD793" i="3"/>
  <c r="C793" i="4"/>
  <c r="G793" i="4"/>
  <c r="I793" i="4"/>
  <c r="J793" i="4"/>
  <c r="H793" i="4"/>
  <c r="N794" i="3"/>
  <c r="O794" i="3"/>
  <c r="AI794" i="3"/>
  <c r="P794" i="3"/>
  <c r="Q794" i="3"/>
  <c r="K793" i="4"/>
  <c r="M793" i="4"/>
  <c r="L794" i="4"/>
  <c r="V794" i="3"/>
  <c r="W794" i="3"/>
  <c r="X794" i="3"/>
  <c r="Y794" i="3"/>
  <c r="Z794" i="3"/>
  <c r="AA794" i="3"/>
  <c r="AB794" i="3"/>
  <c r="C794" i="4"/>
  <c r="M795" i="3"/>
  <c r="AC794" i="3"/>
  <c r="AD794" i="3"/>
  <c r="AI795" i="3"/>
  <c r="O795" i="3"/>
  <c r="N795" i="3"/>
  <c r="G794" i="4"/>
  <c r="I794" i="4"/>
  <c r="J794" i="4"/>
  <c r="H794" i="4"/>
  <c r="M794" i="4"/>
  <c r="K794" i="4"/>
  <c r="P795" i="3"/>
  <c r="Q795" i="3"/>
  <c r="L795" i="4"/>
  <c r="V795" i="3"/>
  <c r="W795" i="3"/>
  <c r="X795" i="3"/>
  <c r="Y795" i="3"/>
  <c r="Z795" i="3"/>
  <c r="AA795" i="3"/>
  <c r="AB795" i="3"/>
  <c r="AC795" i="3"/>
  <c r="AD795" i="3"/>
  <c r="C795" i="4"/>
  <c r="M796" i="3"/>
  <c r="AI796" i="3"/>
  <c r="O796" i="3"/>
  <c r="N796" i="3"/>
  <c r="P796" i="3"/>
  <c r="Q796" i="3"/>
  <c r="G795" i="4"/>
  <c r="I795" i="4"/>
  <c r="J795" i="4"/>
  <c r="H795" i="4"/>
  <c r="L796" i="4"/>
  <c r="V796" i="3"/>
  <c r="M795" i="4"/>
  <c r="K795" i="4"/>
  <c r="W796" i="3"/>
  <c r="X796" i="3"/>
  <c r="Y796" i="3"/>
  <c r="Z796" i="3"/>
  <c r="AA796" i="3"/>
  <c r="AB796" i="3"/>
  <c r="AC796" i="3"/>
  <c r="AD796" i="3"/>
  <c r="M797" i="3"/>
  <c r="C796" i="4"/>
  <c r="G796" i="4"/>
  <c r="I796" i="4"/>
  <c r="J796" i="4"/>
  <c r="H796" i="4"/>
  <c r="N797" i="3"/>
  <c r="AI797" i="3"/>
  <c r="O797" i="3"/>
  <c r="P797" i="3"/>
  <c r="Q797" i="3"/>
  <c r="M796" i="4"/>
  <c r="K796" i="4"/>
  <c r="L797" i="4"/>
  <c r="V797" i="3"/>
  <c r="W797" i="3"/>
  <c r="X797" i="3"/>
  <c r="Y797" i="3"/>
  <c r="Z797" i="3"/>
  <c r="AA797" i="3"/>
  <c r="AB797" i="3"/>
  <c r="C797" i="4"/>
  <c r="AC797" i="3"/>
  <c r="AD797" i="3"/>
  <c r="M798" i="3"/>
  <c r="O798" i="3"/>
  <c r="N798" i="3"/>
  <c r="P798" i="3"/>
  <c r="Q798" i="3"/>
  <c r="AI798" i="3"/>
  <c r="G797" i="4"/>
  <c r="I797" i="4"/>
  <c r="J797" i="4"/>
  <c r="H797" i="4"/>
  <c r="M797" i="4"/>
  <c r="K797" i="4"/>
  <c r="L798" i="4"/>
  <c r="V798" i="3"/>
  <c r="W798" i="3"/>
  <c r="X798" i="3"/>
  <c r="Y798" i="3"/>
  <c r="Z798" i="3"/>
  <c r="AA798" i="3"/>
  <c r="AB798" i="3"/>
  <c r="M799" i="3"/>
  <c r="C798" i="4"/>
  <c r="AC798" i="3"/>
  <c r="AD798" i="3"/>
  <c r="G798" i="4"/>
  <c r="I798" i="4"/>
  <c r="J798" i="4"/>
  <c r="H798" i="4"/>
  <c r="AI799" i="3"/>
  <c r="O799" i="3"/>
  <c r="N799" i="3"/>
  <c r="P799" i="3"/>
  <c r="Q799" i="3"/>
  <c r="L799" i="4"/>
  <c r="V799" i="3"/>
  <c r="K798" i="4"/>
  <c r="M798" i="4"/>
  <c r="W799" i="3"/>
  <c r="X799" i="3"/>
  <c r="Y799" i="3"/>
  <c r="Z799" i="3"/>
  <c r="AA799" i="3"/>
  <c r="AB799" i="3"/>
  <c r="C799" i="4"/>
  <c r="M800" i="3"/>
  <c r="AC799" i="3"/>
  <c r="AD799" i="3"/>
  <c r="N800" i="3"/>
  <c r="O800" i="3"/>
  <c r="AI800" i="3"/>
  <c r="G799" i="4"/>
  <c r="I799" i="4"/>
  <c r="J799" i="4"/>
  <c r="H799" i="4"/>
  <c r="M799" i="4"/>
  <c r="K799" i="4"/>
  <c r="P800" i="3"/>
  <c r="Q800" i="3"/>
  <c r="L800" i="4"/>
  <c r="V800" i="3"/>
  <c r="W800" i="3"/>
  <c r="X800" i="3"/>
  <c r="Y800" i="3"/>
  <c r="Z800" i="3"/>
  <c r="AA800" i="3"/>
  <c r="AB800" i="3"/>
  <c r="M801" i="3"/>
  <c r="C800" i="4"/>
  <c r="AC800" i="3"/>
  <c r="AD800" i="3"/>
  <c r="G800" i="4"/>
  <c r="I800" i="4"/>
  <c r="J800" i="4"/>
  <c r="H800" i="4"/>
  <c r="N801" i="3"/>
  <c r="O801" i="3"/>
  <c r="AI801" i="3"/>
  <c r="P801" i="3"/>
  <c r="Q801" i="3"/>
  <c r="M800" i="4"/>
  <c r="K800" i="4"/>
  <c r="L801" i="4"/>
  <c r="V801" i="3"/>
  <c r="W801" i="3"/>
  <c r="X801" i="3"/>
  <c r="Y801" i="3"/>
  <c r="Z801" i="3"/>
  <c r="AA801" i="3"/>
  <c r="AB801" i="3"/>
  <c r="M802" i="3"/>
  <c r="C801" i="4"/>
  <c r="AC801" i="3"/>
  <c r="AD801" i="3"/>
  <c r="G801" i="4"/>
  <c r="I801" i="4"/>
  <c r="J801" i="4"/>
  <c r="H801" i="4"/>
  <c r="N802" i="3"/>
  <c r="AI802" i="3"/>
  <c r="O802" i="3"/>
  <c r="P802" i="3"/>
  <c r="Q802" i="3"/>
  <c r="K801" i="4"/>
  <c r="M801" i="4"/>
  <c r="L802" i="4"/>
  <c r="V802" i="3"/>
  <c r="W802" i="3"/>
  <c r="X802" i="3"/>
  <c r="Y802" i="3"/>
  <c r="Z802" i="3"/>
  <c r="AA802" i="3"/>
  <c r="AB802" i="3"/>
  <c r="M803" i="3"/>
  <c r="AC802" i="3"/>
  <c r="AD802" i="3"/>
  <c r="C802" i="4"/>
  <c r="G802" i="4"/>
  <c r="I802" i="4"/>
  <c r="J802" i="4"/>
  <c r="H802" i="4"/>
  <c r="O803" i="3"/>
  <c r="N803" i="3"/>
  <c r="P803" i="3"/>
  <c r="Q803" i="3"/>
  <c r="AI803" i="3"/>
  <c r="L803" i="4"/>
  <c r="V803" i="3"/>
  <c r="K802" i="4"/>
  <c r="M802" i="4"/>
  <c r="W803" i="3"/>
  <c r="X803" i="3"/>
  <c r="Y803" i="3"/>
  <c r="Z803" i="3"/>
  <c r="AA803" i="3"/>
  <c r="AB803" i="3"/>
  <c r="M804" i="3"/>
  <c r="AC803" i="3"/>
  <c r="AD803" i="3"/>
  <c r="C803" i="4"/>
  <c r="G803" i="4"/>
  <c r="I803" i="4"/>
  <c r="J803" i="4"/>
  <c r="H803" i="4"/>
  <c r="O804" i="3"/>
  <c r="N804" i="3"/>
  <c r="P804" i="3"/>
  <c r="Q804" i="3"/>
  <c r="AI804" i="3"/>
  <c r="L804" i="4"/>
  <c r="V804" i="3"/>
  <c r="M803" i="4"/>
  <c r="K803" i="4"/>
  <c r="W804" i="3"/>
  <c r="X804" i="3"/>
  <c r="Y804" i="3"/>
  <c r="Z804" i="3"/>
  <c r="AA804" i="3"/>
  <c r="AB804" i="3"/>
  <c r="AC804" i="3"/>
  <c r="AD804" i="3"/>
  <c r="C804" i="4"/>
  <c r="M805" i="3"/>
  <c r="O805" i="3"/>
  <c r="AI805" i="3"/>
  <c r="N805" i="3"/>
  <c r="P805" i="3"/>
  <c r="Q805" i="3"/>
  <c r="G804" i="4"/>
  <c r="I804" i="4"/>
  <c r="J804" i="4"/>
  <c r="H804" i="4"/>
  <c r="K804" i="4"/>
  <c r="M804" i="4"/>
  <c r="L805" i="4"/>
  <c r="V805" i="3"/>
  <c r="W805" i="3"/>
  <c r="X805" i="3"/>
  <c r="Y805" i="3"/>
  <c r="Z805" i="3"/>
  <c r="AA805" i="3"/>
  <c r="AB805" i="3"/>
  <c r="C805" i="4"/>
  <c r="M806" i="3"/>
  <c r="AC805" i="3"/>
  <c r="AD805" i="3"/>
  <c r="O806" i="3"/>
  <c r="N806" i="3"/>
  <c r="P806" i="3"/>
  <c r="Q806" i="3"/>
  <c r="AI806" i="3"/>
  <c r="G805" i="4"/>
  <c r="I805" i="4"/>
  <c r="J805" i="4"/>
  <c r="H805" i="4"/>
  <c r="M805" i="4"/>
  <c r="K805" i="4"/>
  <c r="L806" i="4"/>
  <c r="V806" i="3"/>
  <c r="W806" i="3"/>
  <c r="X806" i="3"/>
  <c r="Y806" i="3"/>
  <c r="Z806" i="3"/>
  <c r="AA806" i="3"/>
  <c r="AB806" i="3"/>
  <c r="M807" i="3"/>
  <c r="AC806" i="3"/>
  <c r="AD806" i="3"/>
  <c r="C806" i="4"/>
  <c r="G806" i="4"/>
  <c r="I806" i="4"/>
  <c r="J806" i="4"/>
  <c r="H806" i="4"/>
  <c r="O807" i="3"/>
  <c r="N807" i="3"/>
  <c r="P807" i="3"/>
  <c r="Q807" i="3"/>
  <c r="AI807" i="3"/>
  <c r="L807" i="4"/>
  <c r="V807" i="3"/>
  <c r="M806" i="4"/>
  <c r="K806" i="4"/>
  <c r="W807" i="3"/>
  <c r="X807" i="3"/>
  <c r="Y807" i="3"/>
  <c r="Z807" i="3"/>
  <c r="AA807" i="3"/>
  <c r="AB807" i="3"/>
  <c r="M808" i="3"/>
  <c r="C807" i="4"/>
  <c r="AC807" i="3"/>
  <c r="AD807" i="3"/>
  <c r="G807" i="4"/>
  <c r="I807" i="4"/>
  <c r="J807" i="4"/>
  <c r="H807" i="4"/>
  <c r="O808" i="3"/>
  <c r="N808" i="3"/>
  <c r="P808" i="3"/>
  <c r="Q808" i="3"/>
  <c r="AI808" i="3"/>
  <c r="L808" i="4"/>
  <c r="V808" i="3"/>
  <c r="K807" i="4"/>
  <c r="M807" i="4"/>
  <c r="W808" i="3"/>
  <c r="X808" i="3"/>
  <c r="Y808" i="3"/>
  <c r="Z808" i="3"/>
  <c r="AA808" i="3"/>
  <c r="AB808" i="3"/>
  <c r="C808" i="4"/>
  <c r="AC808" i="3"/>
  <c r="AD808" i="3"/>
  <c r="M809" i="3"/>
  <c r="O809" i="3"/>
  <c r="AI809" i="3"/>
  <c r="N809" i="3"/>
  <c r="P809" i="3"/>
  <c r="Q809" i="3"/>
  <c r="G808" i="4"/>
  <c r="I808" i="4"/>
  <c r="J808" i="4"/>
  <c r="H808" i="4"/>
  <c r="M808" i="4"/>
  <c r="K808" i="4"/>
  <c r="L809" i="4"/>
  <c r="V809" i="3"/>
  <c r="W809" i="3"/>
  <c r="X809" i="3"/>
  <c r="Y809" i="3"/>
  <c r="Z809" i="3"/>
  <c r="AA809" i="3"/>
  <c r="AB809" i="3"/>
  <c r="C809" i="4"/>
  <c r="AC809" i="3"/>
  <c r="AD809" i="3"/>
  <c r="M810" i="3"/>
  <c r="N810" i="3"/>
  <c r="O810" i="3"/>
  <c r="AI810" i="3"/>
  <c r="G809" i="4"/>
  <c r="I809" i="4"/>
  <c r="J809" i="4"/>
  <c r="H809" i="4"/>
  <c r="M809" i="4"/>
  <c r="K809" i="4"/>
  <c r="P810" i="3"/>
  <c r="Q810" i="3"/>
  <c r="L810" i="4"/>
  <c r="V810" i="3"/>
  <c r="W810" i="3"/>
  <c r="X810" i="3"/>
  <c r="Y810" i="3"/>
  <c r="Z810" i="3"/>
  <c r="AA810" i="3"/>
  <c r="AB810" i="3"/>
  <c r="AC810" i="3"/>
  <c r="AD810" i="3"/>
  <c r="C810" i="4"/>
  <c r="M811" i="3"/>
  <c r="O811" i="3"/>
  <c r="N811" i="3"/>
  <c r="P811" i="3"/>
  <c r="Q811" i="3"/>
  <c r="AI811" i="3"/>
  <c r="G810" i="4"/>
  <c r="I810" i="4"/>
  <c r="J810" i="4"/>
  <c r="H810" i="4"/>
  <c r="K810" i="4"/>
  <c r="M810" i="4"/>
  <c r="L811" i="4"/>
  <c r="V811" i="3"/>
  <c r="W811" i="3"/>
  <c r="X811" i="3"/>
  <c r="Y811" i="3"/>
  <c r="Z811" i="3"/>
  <c r="AA811" i="3"/>
  <c r="AB811" i="3"/>
  <c r="AC811" i="3"/>
  <c r="AD811" i="3"/>
  <c r="M812" i="3"/>
  <c r="C811" i="4"/>
  <c r="G811" i="4"/>
  <c r="I811" i="4"/>
  <c r="J811" i="4"/>
  <c r="H811" i="4"/>
  <c r="N812" i="3"/>
  <c r="O812" i="3"/>
  <c r="AI812" i="3"/>
  <c r="P812" i="3"/>
  <c r="Q812" i="3"/>
  <c r="M811" i="4"/>
  <c r="K811" i="4"/>
  <c r="L812" i="4"/>
  <c r="V812" i="3"/>
  <c r="W812" i="3"/>
  <c r="X812" i="3"/>
  <c r="Y812" i="3"/>
  <c r="Z812" i="3"/>
  <c r="AA812" i="3"/>
  <c r="AB812" i="3"/>
  <c r="AC812" i="3"/>
  <c r="AD812" i="3"/>
  <c r="C812" i="4"/>
  <c r="M813" i="3"/>
  <c r="AI813" i="3"/>
  <c r="O813" i="3"/>
  <c r="N813" i="3"/>
  <c r="P813" i="3"/>
  <c r="Q813" i="3"/>
  <c r="G812" i="4"/>
  <c r="I812" i="4"/>
  <c r="J812" i="4"/>
  <c r="H812" i="4"/>
  <c r="M812" i="4"/>
  <c r="K812" i="4"/>
  <c r="L813" i="4"/>
  <c r="V813" i="3"/>
  <c r="W813" i="3"/>
  <c r="X813" i="3"/>
  <c r="Y813" i="3"/>
  <c r="Z813" i="3"/>
  <c r="AA813" i="3"/>
  <c r="AB813" i="3"/>
  <c r="AC813" i="3"/>
  <c r="AD813" i="3"/>
  <c r="M814" i="3"/>
  <c r="C813" i="4"/>
  <c r="G813" i="4"/>
  <c r="I813" i="4"/>
  <c r="J813" i="4"/>
  <c r="H813" i="4"/>
  <c r="AI814" i="3"/>
  <c r="N814" i="3"/>
  <c r="P814" i="3"/>
  <c r="Q814" i="3"/>
  <c r="O814" i="3"/>
  <c r="L814" i="4"/>
  <c r="V814" i="3"/>
  <c r="M813" i="4"/>
  <c r="K813" i="4"/>
  <c r="W814" i="3"/>
  <c r="X814" i="3"/>
  <c r="Y814" i="3"/>
  <c r="Z814" i="3"/>
  <c r="AA814" i="3"/>
  <c r="AB814" i="3"/>
  <c r="AC814" i="3"/>
  <c r="AD814" i="3"/>
  <c r="M815" i="3"/>
  <c r="C814" i="4"/>
  <c r="G814" i="4"/>
  <c r="I814" i="4"/>
  <c r="J814" i="4"/>
  <c r="H814" i="4"/>
  <c r="AI815" i="3"/>
  <c r="N815" i="3"/>
  <c r="P815" i="3"/>
  <c r="Q815" i="3"/>
  <c r="O815" i="3"/>
  <c r="L815" i="4"/>
  <c r="V815" i="3"/>
  <c r="K814" i="4"/>
  <c r="M814" i="4"/>
  <c r="W815" i="3"/>
  <c r="X815" i="3"/>
  <c r="Y815" i="3"/>
  <c r="Z815" i="3"/>
  <c r="AA815" i="3"/>
  <c r="AB815" i="3"/>
  <c r="AC815" i="3"/>
  <c r="AD815" i="3"/>
  <c r="C815" i="4"/>
  <c r="M816" i="3"/>
  <c r="AI816" i="3"/>
  <c r="O816" i="3"/>
  <c r="N816" i="3"/>
  <c r="P816" i="3"/>
  <c r="Q816" i="3"/>
  <c r="G815" i="4"/>
  <c r="I815" i="4"/>
  <c r="J815" i="4"/>
  <c r="H815" i="4"/>
  <c r="M815" i="4"/>
  <c r="K815" i="4"/>
  <c r="L816" i="4"/>
  <c r="V816" i="3"/>
  <c r="W816" i="3"/>
  <c r="X816" i="3"/>
  <c r="Y816" i="3"/>
  <c r="Z816" i="3"/>
  <c r="AA816" i="3"/>
  <c r="AB816" i="3"/>
  <c r="M817" i="3"/>
  <c r="C816" i="4"/>
  <c r="AC816" i="3"/>
  <c r="AD816" i="3"/>
  <c r="G816" i="4"/>
  <c r="I816" i="4"/>
  <c r="J816" i="4"/>
  <c r="H816" i="4"/>
  <c r="AI817" i="3"/>
  <c r="O817" i="3"/>
  <c r="N817" i="3"/>
  <c r="P817" i="3"/>
  <c r="Q817" i="3"/>
  <c r="L817" i="4"/>
  <c r="V817" i="3"/>
  <c r="K816" i="4"/>
  <c r="M816" i="4"/>
  <c r="W817" i="3"/>
  <c r="X817" i="3"/>
  <c r="Y817" i="3"/>
  <c r="Z817" i="3"/>
  <c r="AA817" i="3"/>
  <c r="AB817" i="3"/>
  <c r="C817" i="4"/>
  <c r="AC817" i="3"/>
  <c r="AD817" i="3"/>
  <c r="M818" i="3"/>
  <c r="O818" i="3"/>
  <c r="N818" i="3"/>
  <c r="P818" i="3"/>
  <c r="Q818" i="3"/>
  <c r="AI818" i="3"/>
  <c r="G817" i="4"/>
  <c r="I817" i="4"/>
  <c r="J817" i="4"/>
  <c r="H817" i="4"/>
  <c r="K817" i="4"/>
  <c r="M817" i="4"/>
  <c r="L818" i="4"/>
  <c r="V818" i="3"/>
  <c r="W818" i="3"/>
  <c r="X818" i="3"/>
  <c r="Y818" i="3"/>
  <c r="Z818" i="3"/>
  <c r="AA818" i="3"/>
  <c r="AB818" i="3"/>
  <c r="C818" i="4"/>
  <c r="AC818" i="3"/>
  <c r="AD818" i="3"/>
  <c r="M819" i="3"/>
  <c r="O819" i="3"/>
  <c r="N819" i="3"/>
  <c r="P819" i="3"/>
  <c r="Q819" i="3"/>
  <c r="AI819" i="3"/>
  <c r="G818" i="4"/>
  <c r="I818" i="4"/>
  <c r="J818" i="4"/>
  <c r="H818" i="4"/>
  <c r="K818" i="4"/>
  <c r="M818" i="4"/>
  <c r="L819" i="4"/>
  <c r="V819" i="3"/>
  <c r="W819" i="3"/>
  <c r="X819" i="3"/>
  <c r="Y819" i="3"/>
  <c r="Z819" i="3"/>
  <c r="AA819" i="3"/>
  <c r="AB819" i="3"/>
  <c r="C819" i="4"/>
  <c r="M820" i="3"/>
  <c r="AC819" i="3"/>
  <c r="AD819" i="3"/>
  <c r="AI820" i="3"/>
  <c r="N820" i="3"/>
  <c r="P820" i="3"/>
  <c r="Q820" i="3"/>
  <c r="O820" i="3"/>
  <c r="G819" i="4"/>
  <c r="I819" i="4"/>
  <c r="J819" i="4"/>
  <c r="H819" i="4"/>
  <c r="L820" i="4"/>
  <c r="V820" i="3"/>
  <c r="M819" i="4"/>
  <c r="K819" i="4"/>
  <c r="W820" i="3"/>
  <c r="X820" i="3"/>
  <c r="Y820" i="3"/>
  <c r="Z820" i="3"/>
  <c r="AA820" i="3"/>
  <c r="AB820" i="3"/>
  <c r="AC820" i="3"/>
  <c r="AD820" i="3"/>
  <c r="M821" i="3"/>
  <c r="C820" i="4"/>
  <c r="G820" i="4"/>
  <c r="I820" i="4"/>
  <c r="J820" i="4"/>
  <c r="H820" i="4"/>
  <c r="O821" i="3"/>
  <c r="AI821" i="3"/>
  <c r="N821" i="3"/>
  <c r="P821" i="3"/>
  <c r="Q821" i="3"/>
  <c r="L821" i="4"/>
  <c r="V821" i="3"/>
  <c r="M820" i="4"/>
  <c r="K820" i="4"/>
  <c r="W821" i="3"/>
  <c r="X821" i="3"/>
  <c r="Y821" i="3"/>
  <c r="Z821" i="3"/>
  <c r="AA821" i="3"/>
  <c r="AB821" i="3"/>
  <c r="AC821" i="3"/>
  <c r="AD821" i="3"/>
  <c r="M822" i="3"/>
  <c r="C821" i="4"/>
  <c r="G821" i="4"/>
  <c r="I821" i="4"/>
  <c r="J821" i="4"/>
  <c r="H821" i="4"/>
  <c r="AI822" i="3"/>
  <c r="O822" i="3"/>
  <c r="N822" i="3"/>
  <c r="P822" i="3"/>
  <c r="Q822" i="3"/>
  <c r="L822" i="4"/>
  <c r="V822" i="3"/>
  <c r="M821" i="4"/>
  <c r="K821" i="4"/>
  <c r="W822" i="3"/>
  <c r="X822" i="3"/>
  <c r="Y822" i="3"/>
  <c r="Z822" i="3"/>
  <c r="AA822" i="3"/>
  <c r="AB822" i="3"/>
  <c r="AC822" i="3"/>
  <c r="AD822" i="3"/>
  <c r="C822" i="4"/>
  <c r="M823" i="3"/>
  <c r="N823" i="3"/>
  <c r="O823" i="3"/>
  <c r="AI823" i="3"/>
  <c r="G822" i="4"/>
  <c r="I822" i="4"/>
  <c r="J822" i="4"/>
  <c r="H822" i="4"/>
  <c r="K822" i="4"/>
  <c r="M822" i="4"/>
  <c r="P823" i="3"/>
  <c r="Q823" i="3"/>
  <c r="L823" i="4"/>
  <c r="V823" i="3"/>
  <c r="W823" i="3"/>
  <c r="X823" i="3"/>
  <c r="Y823" i="3"/>
  <c r="Z823" i="3"/>
  <c r="AA823" i="3"/>
  <c r="AB823" i="3"/>
  <c r="C823" i="4"/>
  <c r="M824" i="3"/>
  <c r="AC823" i="3"/>
  <c r="AD823" i="3"/>
  <c r="O824" i="3"/>
  <c r="N824" i="3"/>
  <c r="P824" i="3"/>
  <c r="Q824" i="3"/>
  <c r="AI824" i="3"/>
  <c r="G823" i="4"/>
  <c r="I823" i="4"/>
  <c r="J823" i="4"/>
  <c r="H823" i="4"/>
  <c r="K823" i="4"/>
  <c r="M823" i="4"/>
  <c r="L824" i="4"/>
  <c r="V824" i="3"/>
  <c r="W824" i="3"/>
  <c r="X824" i="3"/>
  <c r="Y824" i="3"/>
  <c r="Z824" i="3"/>
  <c r="AA824" i="3"/>
  <c r="AB824" i="3"/>
  <c r="C824" i="4"/>
  <c r="AC824" i="3"/>
  <c r="AD824" i="3"/>
  <c r="M825" i="3"/>
  <c r="AI825" i="3"/>
  <c r="N825" i="3"/>
  <c r="O825" i="3"/>
  <c r="G824" i="4"/>
  <c r="I824" i="4"/>
  <c r="J824" i="4"/>
  <c r="H824" i="4"/>
  <c r="P825" i="3"/>
  <c r="Q825" i="3"/>
  <c r="M824" i="4"/>
  <c r="K824" i="4"/>
  <c r="L825" i="4"/>
  <c r="V825" i="3"/>
  <c r="W825" i="3"/>
  <c r="X825" i="3"/>
  <c r="Y825" i="3"/>
  <c r="Z825" i="3"/>
  <c r="AA825" i="3"/>
  <c r="AB825" i="3"/>
  <c r="AC825" i="3"/>
  <c r="AD825" i="3"/>
  <c r="C825" i="4"/>
  <c r="M826" i="3"/>
  <c r="G825" i="4"/>
  <c r="I825" i="4"/>
  <c r="J825" i="4"/>
  <c r="H825" i="4"/>
  <c r="O826" i="3"/>
  <c r="N826" i="3"/>
  <c r="P826" i="3"/>
  <c r="Q826" i="3"/>
  <c r="AI826" i="3"/>
  <c r="L826" i="4"/>
  <c r="C44" i="5"/>
  <c r="N44" i="5"/>
  <c r="V826" i="3"/>
  <c r="K825" i="4"/>
  <c r="M825" i="4"/>
  <c r="W826" i="3"/>
  <c r="X826" i="3"/>
  <c r="Y826" i="3"/>
  <c r="Z826" i="3"/>
  <c r="AA826" i="3"/>
  <c r="AB826" i="3"/>
  <c r="C826" i="4"/>
  <c r="M827" i="3"/>
  <c r="AC826" i="3"/>
  <c r="AD826" i="3"/>
  <c r="N827" i="3"/>
  <c r="P827" i="3"/>
  <c r="Q827" i="3"/>
  <c r="O827" i="3"/>
  <c r="AI827" i="3"/>
  <c r="G826" i="4"/>
  <c r="I826" i="4"/>
  <c r="J826" i="4"/>
  <c r="H826" i="4"/>
  <c r="K826" i="4"/>
  <c r="E44" i="5"/>
  <c r="D44" i="5"/>
  <c r="M826" i="4"/>
  <c r="L827" i="4"/>
  <c r="V827" i="3"/>
  <c r="W827" i="3"/>
  <c r="X827" i="3"/>
  <c r="Y827" i="3"/>
  <c r="Z827" i="3"/>
  <c r="AA827" i="3"/>
  <c r="AB827" i="3"/>
  <c r="C827" i="4"/>
  <c r="M828" i="3"/>
  <c r="AC827" i="3"/>
  <c r="AD827" i="3"/>
  <c r="O828" i="3"/>
  <c r="N828" i="3"/>
  <c r="P828" i="3"/>
  <c r="Q828" i="3"/>
  <c r="AI828" i="3"/>
  <c r="G827" i="4"/>
  <c r="I827" i="4"/>
  <c r="J827" i="4"/>
  <c r="H827" i="4"/>
  <c r="M827" i="4"/>
  <c r="K827" i="4"/>
  <c r="L828" i="4"/>
  <c r="V828" i="3"/>
  <c r="W828" i="3"/>
  <c r="X828" i="3"/>
  <c r="Y828" i="3"/>
  <c r="Z828" i="3"/>
  <c r="AA828" i="3"/>
  <c r="AB828" i="3"/>
  <c r="M829" i="3"/>
  <c r="AC828" i="3"/>
  <c r="AD828" i="3"/>
  <c r="C828" i="4"/>
  <c r="G828" i="4"/>
  <c r="I828" i="4"/>
  <c r="J828" i="4"/>
  <c r="H828" i="4"/>
  <c r="O829" i="3"/>
  <c r="N829" i="3"/>
  <c r="AI829" i="3"/>
  <c r="P829" i="3"/>
  <c r="Q829" i="3"/>
  <c r="K828" i="4"/>
  <c r="M828" i="4"/>
  <c r="L829" i="4"/>
  <c r="V829" i="3"/>
  <c r="W829" i="3"/>
  <c r="X829" i="3"/>
  <c r="Y829" i="3"/>
  <c r="Z829" i="3"/>
  <c r="AA829" i="3"/>
  <c r="AB829" i="3"/>
  <c r="M830" i="3"/>
  <c r="AC829" i="3"/>
  <c r="AD829" i="3"/>
  <c r="C829" i="4"/>
  <c r="G829" i="4"/>
  <c r="I829" i="4"/>
  <c r="J829" i="4"/>
  <c r="H829" i="4"/>
  <c r="O830" i="3"/>
  <c r="N830" i="3"/>
  <c r="P830" i="3"/>
  <c r="Q830" i="3"/>
  <c r="AI830" i="3"/>
  <c r="L830" i="4"/>
  <c r="V830" i="3"/>
  <c r="M829" i="4"/>
  <c r="K829" i="4"/>
  <c r="W830" i="3"/>
  <c r="X830" i="3"/>
  <c r="Y830" i="3"/>
  <c r="Z830" i="3"/>
  <c r="AA830" i="3"/>
  <c r="AB830" i="3"/>
  <c r="AC830" i="3"/>
  <c r="AD830" i="3"/>
  <c r="M831" i="3"/>
  <c r="C830" i="4"/>
  <c r="G830" i="4"/>
  <c r="I830" i="4"/>
  <c r="J830" i="4"/>
  <c r="H830" i="4"/>
  <c r="O831" i="3"/>
  <c r="N831" i="3"/>
  <c r="P831" i="3"/>
  <c r="Q831" i="3"/>
  <c r="AI831" i="3"/>
  <c r="L831" i="4"/>
  <c r="V831" i="3"/>
  <c r="K830" i="4"/>
  <c r="M830" i="4"/>
  <c r="W831" i="3"/>
  <c r="X831" i="3"/>
  <c r="Y831" i="3"/>
  <c r="Z831" i="3"/>
  <c r="AA831" i="3"/>
  <c r="AB831" i="3"/>
  <c r="C831" i="4"/>
  <c r="AC831" i="3"/>
  <c r="AD831" i="3"/>
  <c r="M832" i="3"/>
  <c r="O832" i="3"/>
  <c r="N832" i="3"/>
  <c r="P832" i="3"/>
  <c r="Q832" i="3"/>
  <c r="AI832" i="3"/>
  <c r="G831" i="4"/>
  <c r="I831" i="4"/>
  <c r="J831" i="4"/>
  <c r="H831" i="4"/>
  <c r="M831" i="4"/>
  <c r="K831" i="4"/>
  <c r="L832" i="4"/>
  <c r="V832" i="3"/>
  <c r="W832" i="3"/>
  <c r="X832" i="3"/>
  <c r="Y832" i="3"/>
  <c r="Z832" i="3"/>
  <c r="AA832" i="3"/>
  <c r="AB832" i="3"/>
  <c r="C832" i="4"/>
  <c r="M833" i="3"/>
  <c r="AC832" i="3"/>
  <c r="AD832" i="3"/>
  <c r="N833" i="3"/>
  <c r="AI833" i="3"/>
  <c r="O833" i="3"/>
  <c r="G832" i="4"/>
  <c r="I832" i="4"/>
  <c r="J832" i="4"/>
  <c r="H832" i="4"/>
  <c r="M832" i="4"/>
  <c r="K832" i="4"/>
  <c r="P833" i="3"/>
  <c r="Q833" i="3"/>
  <c r="L833" i="4"/>
  <c r="V833" i="3"/>
  <c r="W833" i="3"/>
  <c r="X833" i="3"/>
  <c r="Y833" i="3"/>
  <c r="Z833" i="3"/>
  <c r="AA833" i="3"/>
  <c r="AB833" i="3"/>
  <c r="C833" i="4"/>
  <c r="AC833" i="3"/>
  <c r="AD833" i="3"/>
  <c r="M834" i="3"/>
  <c r="O834" i="3"/>
  <c r="N834" i="3"/>
  <c r="P834" i="3"/>
  <c r="Q834" i="3"/>
  <c r="AI834" i="3"/>
  <c r="G833" i="4"/>
  <c r="I833" i="4"/>
  <c r="J833" i="4"/>
  <c r="H833" i="4"/>
  <c r="L834" i="4"/>
  <c r="V834" i="3"/>
  <c r="M833" i="4"/>
  <c r="K833" i="4"/>
  <c r="W834" i="3"/>
  <c r="X834" i="3"/>
  <c r="Y834" i="3"/>
  <c r="Z834" i="3"/>
  <c r="AA834" i="3"/>
  <c r="AB834" i="3"/>
  <c r="M835" i="3"/>
  <c r="AC834" i="3"/>
  <c r="AD834" i="3"/>
  <c r="C834" i="4"/>
  <c r="G834" i="4"/>
  <c r="I834" i="4"/>
  <c r="J834" i="4"/>
  <c r="H834" i="4"/>
  <c r="O835" i="3"/>
  <c r="N835" i="3"/>
  <c r="P835" i="3"/>
  <c r="Q835" i="3"/>
  <c r="AI835" i="3"/>
  <c r="L835" i="4"/>
  <c r="V835" i="3"/>
  <c r="M834" i="4"/>
  <c r="K834" i="4"/>
  <c r="W835" i="3"/>
  <c r="X835" i="3"/>
  <c r="Y835" i="3"/>
  <c r="Z835" i="3"/>
  <c r="AA835" i="3"/>
  <c r="AB835" i="3"/>
  <c r="C835" i="4"/>
  <c r="M836" i="3"/>
  <c r="AC835" i="3"/>
  <c r="AD835" i="3"/>
  <c r="O836" i="3"/>
  <c r="AI836" i="3"/>
  <c r="N836" i="3"/>
  <c r="G835" i="4"/>
  <c r="I835" i="4"/>
  <c r="J835" i="4"/>
  <c r="H835" i="4"/>
  <c r="K835" i="4"/>
  <c r="M835" i="4"/>
  <c r="P836" i="3"/>
  <c r="Q836" i="3"/>
  <c r="L836" i="4"/>
  <c r="V836" i="3"/>
  <c r="W836" i="3"/>
  <c r="X836" i="3"/>
  <c r="Y836" i="3"/>
  <c r="Z836" i="3"/>
  <c r="AA836" i="3"/>
  <c r="AB836" i="3"/>
  <c r="C836" i="4"/>
  <c r="M837" i="3"/>
  <c r="AC836" i="3"/>
  <c r="AD836" i="3"/>
  <c r="O837" i="3"/>
  <c r="N837" i="3"/>
  <c r="P837" i="3"/>
  <c r="Q837" i="3"/>
  <c r="AI837" i="3"/>
  <c r="G836" i="4"/>
  <c r="I836" i="4"/>
  <c r="J836" i="4"/>
  <c r="H836" i="4"/>
  <c r="K836" i="4"/>
  <c r="M836" i="4"/>
  <c r="L837" i="4"/>
  <c r="V837" i="3"/>
  <c r="W837" i="3"/>
  <c r="X837" i="3"/>
  <c r="Y837" i="3"/>
  <c r="Z837" i="3"/>
  <c r="AA837" i="3"/>
  <c r="AB837" i="3"/>
  <c r="C837" i="4"/>
  <c r="M838" i="3"/>
  <c r="AC837" i="3"/>
  <c r="AD837" i="3"/>
  <c r="O838" i="3"/>
  <c r="N838" i="3"/>
  <c r="P838" i="3"/>
  <c r="Q838" i="3"/>
  <c r="AI838" i="3"/>
  <c r="G837" i="4"/>
  <c r="I837" i="4"/>
  <c r="J837" i="4"/>
  <c r="H837" i="4"/>
  <c r="K837" i="4"/>
  <c r="M837" i="4"/>
  <c r="L838" i="4"/>
  <c r="V838" i="3"/>
  <c r="W838" i="3"/>
  <c r="X838" i="3"/>
  <c r="Y838" i="3"/>
  <c r="Z838" i="3"/>
  <c r="AA838" i="3"/>
  <c r="AB838" i="3"/>
  <c r="C838" i="4"/>
  <c r="M839" i="3"/>
  <c r="AC838" i="3"/>
  <c r="AD838" i="3"/>
  <c r="O839" i="3"/>
  <c r="AI839" i="3"/>
  <c r="N839" i="3"/>
  <c r="P839" i="3"/>
  <c r="Q839" i="3"/>
  <c r="G838" i="4"/>
  <c r="I838" i="4"/>
  <c r="J838" i="4"/>
  <c r="H838" i="4"/>
  <c r="L839" i="4"/>
  <c r="V839" i="3"/>
  <c r="K838" i="4"/>
  <c r="M838" i="4"/>
  <c r="W839" i="3"/>
  <c r="X839" i="3"/>
  <c r="Y839" i="3"/>
  <c r="Z839" i="3"/>
  <c r="AA839" i="3"/>
  <c r="AB839" i="3"/>
  <c r="AC839" i="3"/>
  <c r="AD839" i="3"/>
  <c r="M840" i="3"/>
  <c r="C839" i="4"/>
  <c r="G839" i="4"/>
  <c r="I839" i="4"/>
  <c r="J839" i="4"/>
  <c r="H839" i="4"/>
  <c r="O840" i="3"/>
  <c r="N840" i="3"/>
  <c r="P840" i="3"/>
  <c r="Q840" i="3"/>
  <c r="AI840" i="3"/>
  <c r="L840" i="4"/>
  <c r="V840" i="3"/>
  <c r="M839" i="4"/>
  <c r="K839" i="4"/>
  <c r="W840" i="3"/>
  <c r="X840" i="3"/>
  <c r="Y840" i="3"/>
  <c r="Z840" i="3"/>
  <c r="AA840" i="3"/>
  <c r="AB840" i="3"/>
  <c r="C840" i="4"/>
  <c r="M841" i="3"/>
  <c r="AC840" i="3"/>
  <c r="AD840" i="3"/>
  <c r="N841" i="3"/>
  <c r="O841" i="3"/>
  <c r="AI841" i="3"/>
  <c r="G840" i="4"/>
  <c r="I840" i="4"/>
  <c r="J840" i="4"/>
  <c r="H840" i="4"/>
  <c r="M840" i="4"/>
  <c r="K840" i="4"/>
  <c r="P841" i="3"/>
  <c r="Q841" i="3"/>
  <c r="L841" i="4"/>
  <c r="V841" i="3"/>
  <c r="W841" i="3"/>
  <c r="X841" i="3"/>
  <c r="Y841" i="3"/>
  <c r="Z841" i="3"/>
  <c r="AA841" i="3"/>
  <c r="AB841" i="3"/>
  <c r="AC841" i="3"/>
  <c r="AD841" i="3"/>
  <c r="C841" i="4"/>
  <c r="M842" i="3"/>
  <c r="N842" i="3"/>
  <c r="O842" i="3"/>
  <c r="AI842" i="3"/>
  <c r="G841" i="4"/>
  <c r="I841" i="4"/>
  <c r="J841" i="4"/>
  <c r="H841" i="4"/>
  <c r="M841" i="4"/>
  <c r="K841" i="4"/>
  <c r="P842" i="3"/>
  <c r="Q842" i="3"/>
  <c r="L842" i="4"/>
  <c r="V842" i="3"/>
  <c r="W842" i="3"/>
  <c r="X842" i="3"/>
  <c r="Y842" i="3"/>
  <c r="Z842" i="3"/>
  <c r="AA842" i="3"/>
  <c r="AB842" i="3"/>
  <c r="M843" i="3"/>
  <c r="C842" i="4"/>
  <c r="AC842" i="3"/>
  <c r="AD842" i="3"/>
  <c r="G842" i="4"/>
  <c r="I842" i="4"/>
  <c r="J842" i="4"/>
  <c r="H842" i="4"/>
  <c r="O843" i="3"/>
  <c r="N843" i="3"/>
  <c r="P843" i="3"/>
  <c r="Q843" i="3"/>
  <c r="AI843" i="3"/>
  <c r="L843" i="4"/>
  <c r="V843" i="3"/>
  <c r="K842" i="4"/>
  <c r="M842" i="4"/>
  <c r="W843" i="3"/>
  <c r="X843" i="3"/>
  <c r="Y843" i="3"/>
  <c r="Z843" i="3"/>
  <c r="AA843" i="3"/>
  <c r="AB843" i="3"/>
  <c r="AC843" i="3"/>
  <c r="AD843" i="3"/>
  <c r="M844" i="3"/>
  <c r="C843" i="4"/>
  <c r="G843" i="4"/>
  <c r="I843" i="4"/>
  <c r="J843" i="4"/>
  <c r="H843" i="4"/>
  <c r="N844" i="3"/>
  <c r="O844" i="3"/>
  <c r="AI844" i="3"/>
  <c r="P844" i="3"/>
  <c r="Q844" i="3"/>
  <c r="M843" i="4"/>
  <c r="K843" i="4"/>
  <c r="L844" i="4"/>
  <c r="V844" i="3"/>
  <c r="W844" i="3"/>
  <c r="X844" i="3"/>
  <c r="Y844" i="3"/>
  <c r="Z844" i="3"/>
  <c r="AA844" i="3"/>
  <c r="AB844" i="3"/>
  <c r="AC844" i="3"/>
  <c r="AD844" i="3"/>
  <c r="M845" i="3"/>
  <c r="C844" i="4"/>
  <c r="G844" i="4"/>
  <c r="I844" i="4"/>
  <c r="J844" i="4"/>
  <c r="H844" i="4"/>
  <c r="O845" i="3"/>
  <c r="N845" i="3"/>
  <c r="P845" i="3"/>
  <c r="Q845" i="3"/>
  <c r="AI845" i="3"/>
  <c r="L845" i="4"/>
  <c r="V845" i="3"/>
  <c r="M844" i="4"/>
  <c r="K844" i="4"/>
  <c r="W845" i="3"/>
  <c r="X845" i="3"/>
  <c r="Y845" i="3"/>
  <c r="Z845" i="3"/>
  <c r="AA845" i="3"/>
  <c r="AB845" i="3"/>
  <c r="M846" i="3"/>
  <c r="C845" i="4"/>
  <c r="AC845" i="3"/>
  <c r="AD845" i="3"/>
  <c r="G845" i="4"/>
  <c r="I845" i="4"/>
  <c r="J845" i="4"/>
  <c r="H845" i="4"/>
  <c r="AI846" i="3"/>
  <c r="O846" i="3"/>
  <c r="N846" i="3"/>
  <c r="P846" i="3"/>
  <c r="Q846" i="3"/>
  <c r="L846" i="4"/>
  <c r="V846" i="3"/>
  <c r="K845" i="4"/>
  <c r="M845" i="4"/>
  <c r="W846" i="3"/>
  <c r="X846" i="3"/>
  <c r="Y846" i="3"/>
  <c r="Z846" i="3"/>
  <c r="AA846" i="3"/>
  <c r="AB846" i="3"/>
  <c r="C846" i="4"/>
  <c r="AC846" i="3"/>
  <c r="AD846" i="3"/>
  <c r="M847" i="3"/>
  <c r="O847" i="3"/>
  <c r="N847" i="3"/>
  <c r="P847" i="3"/>
  <c r="Q847" i="3"/>
  <c r="AI847" i="3"/>
  <c r="G846" i="4"/>
  <c r="I846" i="4"/>
  <c r="J846" i="4"/>
  <c r="H846" i="4"/>
  <c r="M846" i="4"/>
  <c r="K846" i="4"/>
  <c r="L847" i="4"/>
  <c r="V847" i="3"/>
  <c r="W847" i="3"/>
  <c r="X847" i="3"/>
  <c r="Y847" i="3"/>
  <c r="Z847" i="3"/>
  <c r="AA847" i="3"/>
  <c r="AB847" i="3"/>
  <c r="AC847" i="3"/>
  <c r="AD847" i="3"/>
  <c r="C847" i="4"/>
  <c r="M848" i="3"/>
  <c r="O848" i="3"/>
  <c r="N848" i="3"/>
  <c r="P848" i="3"/>
  <c r="Q848" i="3"/>
  <c r="AI848" i="3"/>
  <c r="G847" i="4"/>
  <c r="I847" i="4"/>
  <c r="J847" i="4"/>
  <c r="H847" i="4"/>
  <c r="L848" i="4"/>
  <c r="V848" i="3"/>
  <c r="K847" i="4"/>
  <c r="M847" i="4"/>
  <c r="W848" i="3"/>
  <c r="X848" i="3"/>
  <c r="Y848" i="3"/>
  <c r="Z848" i="3"/>
  <c r="AA848" i="3"/>
  <c r="AB848" i="3"/>
  <c r="C848" i="4"/>
  <c r="AC848" i="3"/>
  <c r="AD848" i="3"/>
  <c r="M849" i="3"/>
  <c r="O849" i="3"/>
  <c r="AI849" i="3"/>
  <c r="N849" i="3"/>
  <c r="P849" i="3"/>
  <c r="Q849" i="3"/>
  <c r="G848" i="4"/>
  <c r="I848" i="4"/>
  <c r="J848" i="4"/>
  <c r="H848" i="4"/>
  <c r="K848" i="4"/>
  <c r="M848" i="4"/>
  <c r="L849" i="4"/>
  <c r="V849" i="3"/>
  <c r="W849" i="3"/>
  <c r="X849" i="3"/>
  <c r="Y849" i="3"/>
  <c r="Z849" i="3"/>
  <c r="AA849" i="3"/>
  <c r="AB849" i="3"/>
  <c r="M850" i="3"/>
  <c r="C849" i="4"/>
  <c r="AC849" i="3"/>
  <c r="AD849" i="3"/>
  <c r="G849" i="4"/>
  <c r="I849" i="4"/>
  <c r="J849" i="4"/>
  <c r="H849" i="4"/>
  <c r="O850" i="3"/>
  <c r="N850" i="3"/>
  <c r="P850" i="3"/>
  <c r="Q850" i="3"/>
  <c r="AI850" i="3"/>
  <c r="L850" i="4"/>
  <c r="V850" i="3"/>
  <c r="M849" i="4"/>
  <c r="K849" i="4"/>
  <c r="W850" i="3"/>
  <c r="X850" i="3"/>
  <c r="Y850" i="3"/>
  <c r="Z850" i="3"/>
  <c r="AA850" i="3"/>
  <c r="AB850" i="3"/>
  <c r="M851" i="3"/>
  <c r="C850" i="4"/>
  <c r="AC850" i="3"/>
  <c r="AD850" i="3"/>
  <c r="G850" i="4"/>
  <c r="I850" i="4"/>
  <c r="J850" i="4"/>
  <c r="H850" i="4"/>
  <c r="O851" i="3"/>
  <c r="N851" i="3"/>
  <c r="P851" i="3"/>
  <c r="Q851" i="3"/>
  <c r="AI851" i="3"/>
  <c r="L851" i="4"/>
  <c r="V851" i="3"/>
  <c r="M850" i="4"/>
  <c r="K850" i="4"/>
  <c r="W851" i="3"/>
  <c r="X851" i="3"/>
  <c r="Y851" i="3"/>
  <c r="Z851" i="3"/>
  <c r="AA851" i="3"/>
  <c r="AB851" i="3"/>
  <c r="AC851" i="3"/>
  <c r="AD851" i="3"/>
  <c r="C851" i="4"/>
  <c r="M852" i="3"/>
  <c r="N852" i="3"/>
  <c r="O852" i="3"/>
  <c r="AI852" i="3"/>
  <c r="G851" i="4"/>
  <c r="I851" i="4"/>
  <c r="J851" i="4"/>
  <c r="H851" i="4"/>
  <c r="M851" i="4"/>
  <c r="K851" i="4"/>
  <c r="P852" i="3"/>
  <c r="Q852" i="3"/>
  <c r="L852" i="4"/>
  <c r="V852" i="3"/>
  <c r="W852" i="3"/>
  <c r="X852" i="3"/>
  <c r="Y852" i="3"/>
  <c r="Z852" i="3"/>
  <c r="AA852" i="3"/>
  <c r="AB852" i="3"/>
  <c r="C852" i="4"/>
  <c r="M853" i="3"/>
  <c r="AC852" i="3"/>
  <c r="AD852" i="3"/>
  <c r="AI853" i="3"/>
  <c r="N853" i="3"/>
  <c r="P853" i="3"/>
  <c r="Q853" i="3"/>
  <c r="O853" i="3"/>
  <c r="G852" i="4"/>
  <c r="I852" i="4"/>
  <c r="J852" i="4"/>
  <c r="H852" i="4"/>
  <c r="M852" i="4"/>
  <c r="K852" i="4"/>
  <c r="L853" i="4"/>
  <c r="V853" i="3"/>
  <c r="W853" i="3"/>
  <c r="X853" i="3"/>
  <c r="Y853" i="3"/>
  <c r="Z853" i="3"/>
  <c r="AA853" i="3"/>
  <c r="AB853" i="3"/>
  <c r="M854" i="3"/>
  <c r="C853" i="4"/>
  <c r="AC853" i="3"/>
  <c r="AD853" i="3"/>
  <c r="G853" i="4"/>
  <c r="I853" i="4"/>
  <c r="J853" i="4"/>
  <c r="H853" i="4"/>
  <c r="N854" i="3"/>
  <c r="AI854" i="3"/>
  <c r="O854" i="3"/>
  <c r="P854" i="3"/>
  <c r="Q854" i="3"/>
  <c r="K853" i="4"/>
  <c r="M853" i="4"/>
  <c r="L854" i="4"/>
  <c r="V854" i="3"/>
  <c r="W854" i="3"/>
  <c r="X854" i="3"/>
  <c r="Y854" i="3"/>
  <c r="Z854" i="3"/>
  <c r="AA854" i="3"/>
  <c r="AB854" i="3"/>
  <c r="M855" i="3"/>
  <c r="AC854" i="3"/>
  <c r="AD854" i="3"/>
  <c r="C854" i="4"/>
  <c r="G854" i="4"/>
  <c r="I854" i="4"/>
  <c r="J854" i="4"/>
  <c r="H854" i="4"/>
  <c r="O855" i="3"/>
  <c r="N855" i="3"/>
  <c r="P855" i="3"/>
  <c r="Q855" i="3"/>
  <c r="AI855" i="3"/>
  <c r="L855" i="4"/>
  <c r="V855" i="3"/>
  <c r="M854" i="4"/>
  <c r="K854" i="4"/>
  <c r="W855" i="3"/>
  <c r="X855" i="3"/>
  <c r="Y855" i="3"/>
  <c r="Z855" i="3"/>
  <c r="AA855" i="3"/>
  <c r="AB855" i="3"/>
  <c r="AC855" i="3"/>
  <c r="AD855" i="3"/>
  <c r="M856" i="3"/>
  <c r="C855" i="4"/>
  <c r="G855" i="4"/>
  <c r="I855" i="4"/>
  <c r="J855" i="4"/>
  <c r="H855" i="4"/>
  <c r="AI856" i="3"/>
  <c r="N856" i="3"/>
  <c r="P856" i="3"/>
  <c r="Q856" i="3"/>
  <c r="O856" i="3"/>
  <c r="L856" i="4"/>
  <c r="V856" i="3"/>
  <c r="M855" i="4"/>
  <c r="K855" i="4"/>
  <c r="W856" i="3"/>
  <c r="X856" i="3"/>
  <c r="Y856" i="3"/>
  <c r="Z856" i="3"/>
  <c r="AA856" i="3"/>
  <c r="AB856" i="3"/>
  <c r="C856" i="4"/>
  <c r="AC856" i="3"/>
  <c r="AD856" i="3"/>
  <c r="M857" i="3"/>
  <c r="AI857" i="3"/>
  <c r="O857" i="3"/>
  <c r="N857" i="3"/>
  <c r="G856" i="4"/>
  <c r="I856" i="4"/>
  <c r="J856" i="4"/>
  <c r="H856" i="4"/>
  <c r="K856" i="4"/>
  <c r="M856" i="4"/>
  <c r="P857" i="3"/>
  <c r="Q857" i="3"/>
  <c r="L857" i="4"/>
  <c r="V857" i="3"/>
  <c r="W857" i="3"/>
  <c r="X857" i="3"/>
  <c r="Y857" i="3"/>
  <c r="Z857" i="3"/>
  <c r="AA857" i="3"/>
  <c r="AB857" i="3"/>
  <c r="AC857" i="3"/>
  <c r="AD857" i="3"/>
  <c r="M858" i="3"/>
  <c r="C857" i="4"/>
  <c r="G857" i="4"/>
  <c r="I857" i="4"/>
  <c r="J857" i="4"/>
  <c r="H857" i="4"/>
  <c r="AI858" i="3"/>
  <c r="N858" i="3"/>
  <c r="P858" i="3"/>
  <c r="Q858" i="3"/>
  <c r="O858" i="3"/>
  <c r="L858" i="4"/>
  <c r="V858" i="3"/>
  <c r="M857" i="4"/>
  <c r="K857" i="4"/>
  <c r="W858" i="3"/>
  <c r="X858" i="3"/>
  <c r="Y858" i="3"/>
  <c r="Z858" i="3"/>
  <c r="AA858" i="3"/>
  <c r="AB858" i="3"/>
  <c r="C858" i="4"/>
  <c r="M859" i="3"/>
  <c r="AC858" i="3"/>
  <c r="AD858" i="3"/>
  <c r="AI859" i="3"/>
  <c r="N859" i="3"/>
  <c r="P859" i="3"/>
  <c r="Q859" i="3"/>
  <c r="O859" i="3"/>
  <c r="G858" i="4"/>
  <c r="I858" i="4"/>
  <c r="J858" i="4"/>
  <c r="H858" i="4"/>
  <c r="K858" i="4"/>
  <c r="M858" i="4"/>
  <c r="L859" i="4"/>
  <c r="V859" i="3"/>
  <c r="W859" i="3"/>
  <c r="X859" i="3"/>
  <c r="Y859" i="3"/>
  <c r="Z859" i="3"/>
  <c r="AA859" i="3"/>
  <c r="AB859" i="3"/>
  <c r="AC859" i="3"/>
  <c r="AD859" i="3"/>
  <c r="M860" i="3"/>
  <c r="C859" i="4"/>
  <c r="G859" i="4"/>
  <c r="I859" i="4"/>
  <c r="J859" i="4"/>
  <c r="H859" i="4"/>
  <c r="AI860" i="3"/>
  <c r="N860" i="3"/>
  <c r="O860" i="3"/>
  <c r="P860" i="3"/>
  <c r="Q860" i="3"/>
  <c r="K859" i="4"/>
  <c r="M859" i="4"/>
  <c r="L860" i="4"/>
  <c r="V860" i="3"/>
  <c r="W860" i="3"/>
  <c r="X860" i="3"/>
  <c r="Y860" i="3"/>
  <c r="Z860" i="3"/>
  <c r="AA860" i="3"/>
  <c r="AB860" i="3"/>
  <c r="C860" i="4"/>
  <c r="M861" i="3"/>
  <c r="AC860" i="3"/>
  <c r="AD860" i="3"/>
  <c r="AI861" i="3"/>
  <c r="N861" i="3"/>
  <c r="O861" i="3"/>
  <c r="G860" i="4"/>
  <c r="I860" i="4"/>
  <c r="J860" i="4"/>
  <c r="H860" i="4"/>
  <c r="M860" i="4"/>
  <c r="K860" i="4"/>
  <c r="P861" i="3"/>
  <c r="Q861" i="3"/>
  <c r="L861" i="4"/>
  <c r="V861" i="3"/>
  <c r="W861" i="3"/>
  <c r="X861" i="3"/>
  <c r="Y861" i="3"/>
  <c r="Z861" i="3"/>
  <c r="AA861" i="3"/>
  <c r="AB861" i="3"/>
  <c r="AC861" i="3"/>
  <c r="AD861" i="3"/>
  <c r="C861" i="4"/>
  <c r="M862" i="3"/>
  <c r="AI862" i="3"/>
  <c r="O862" i="3"/>
  <c r="N862" i="3"/>
  <c r="P862" i="3"/>
  <c r="G861" i="4"/>
  <c r="I861" i="4"/>
  <c r="J861" i="4"/>
  <c r="H861" i="4"/>
  <c r="K861" i="4"/>
  <c r="M861" i="4"/>
  <c r="Q862" i="3"/>
  <c r="P863" i="3"/>
  <c r="C14" i="4"/>
  <c r="P19" i="3"/>
  <c r="Q863" i="3"/>
  <c r="L862" i="4"/>
  <c r="K19" i="3"/>
  <c r="V862" i="3"/>
  <c r="W862" i="3"/>
  <c r="X862" i="3"/>
  <c r="Y862" i="3"/>
  <c r="Z862" i="3"/>
  <c r="AA862" i="3"/>
  <c r="AB862" i="3"/>
  <c r="L863" i="4"/>
  <c r="Q864" i="3"/>
  <c r="C862" i="4"/>
  <c r="AB863" i="3"/>
  <c r="AB864" i="3"/>
  <c r="AC862" i="3"/>
  <c r="AD862" i="3"/>
  <c r="L864" i="4"/>
  <c r="Q865" i="3"/>
  <c r="AB865" i="3"/>
  <c r="C865" i="4"/>
  <c r="AC865" i="3"/>
  <c r="AD865" i="3"/>
  <c r="C864" i="4"/>
  <c r="AC864" i="3"/>
  <c r="AD864" i="3"/>
  <c r="G862" i="4"/>
  <c r="I862" i="4"/>
  <c r="J862" i="4"/>
  <c r="H862" i="4"/>
  <c r="Q866" i="3"/>
  <c r="L865" i="4"/>
  <c r="C863" i="4"/>
  <c r="AC863" i="3"/>
  <c r="AD863" i="3"/>
  <c r="M862" i="4"/>
  <c r="K862" i="4"/>
  <c r="G863" i="4"/>
  <c r="I863" i="4"/>
  <c r="J863" i="4"/>
  <c r="H863" i="4"/>
  <c r="Q867" i="3"/>
  <c r="L866" i="4"/>
  <c r="AB866" i="3"/>
  <c r="G864" i="4"/>
  <c r="I864" i="4"/>
  <c r="J864" i="4"/>
  <c r="H864" i="4"/>
  <c r="G865" i="4"/>
  <c r="I865" i="4"/>
  <c r="J865" i="4"/>
  <c r="H865" i="4"/>
  <c r="K864" i="4"/>
  <c r="M864" i="4"/>
  <c r="Q868" i="3"/>
  <c r="L867" i="4"/>
  <c r="AB867" i="3"/>
  <c r="AC866" i="3"/>
  <c r="AD866" i="3"/>
  <c r="C866" i="4"/>
  <c r="M865" i="4"/>
  <c r="K865" i="4"/>
  <c r="K863" i="4"/>
  <c r="M863" i="4"/>
  <c r="G866" i="4"/>
  <c r="I866" i="4"/>
  <c r="J866" i="4"/>
  <c r="H866" i="4"/>
  <c r="C867" i="4"/>
  <c r="AC867" i="3"/>
  <c r="AD867" i="3"/>
  <c r="Q869" i="3"/>
  <c r="L868" i="4"/>
  <c r="C45" i="5"/>
  <c r="N45" i="5"/>
  <c r="N47" i="5"/>
  <c r="C20" i="5"/>
  <c r="AB868" i="3"/>
  <c r="AC868" i="3"/>
  <c r="AD868" i="3"/>
  <c r="C868" i="4"/>
  <c r="G867" i="4"/>
  <c r="I867" i="4"/>
  <c r="J867" i="4"/>
  <c r="H867" i="4"/>
  <c r="L869" i="4"/>
  <c r="Q870" i="3"/>
  <c r="AB869" i="3"/>
  <c r="M866" i="4"/>
  <c r="K866" i="4"/>
  <c r="Q871" i="3"/>
  <c r="L870" i="4"/>
  <c r="AB870" i="3"/>
  <c r="M867" i="4"/>
  <c r="K867" i="4"/>
  <c r="C869" i="4"/>
  <c r="AC869" i="3"/>
  <c r="AD869" i="3"/>
  <c r="G868" i="4"/>
  <c r="I868" i="4"/>
  <c r="J868" i="4"/>
  <c r="H868" i="4"/>
  <c r="D45" i="5"/>
  <c r="K868" i="4"/>
  <c r="E45" i="5"/>
  <c r="M868" i="4"/>
  <c r="C870" i="4"/>
  <c r="AC870" i="3"/>
  <c r="AD870" i="3"/>
  <c r="G869" i="4"/>
  <c r="I869" i="4"/>
  <c r="J869" i="4"/>
  <c r="H869" i="4"/>
  <c r="L871" i="4"/>
  <c r="Q872" i="3"/>
  <c r="AB871" i="3"/>
  <c r="M869" i="4"/>
  <c r="K869" i="4"/>
  <c r="AC871" i="3"/>
  <c r="AD871" i="3"/>
  <c r="C871" i="4"/>
  <c r="L872" i="4"/>
  <c r="Q873" i="3"/>
  <c r="AB872" i="3"/>
  <c r="G870" i="4"/>
  <c r="I870" i="4"/>
  <c r="J870" i="4"/>
  <c r="H870" i="4"/>
  <c r="M870" i="4"/>
  <c r="K870" i="4"/>
  <c r="Q874" i="3"/>
  <c r="L873" i="4"/>
  <c r="AB873" i="3"/>
  <c r="C872" i="4"/>
  <c r="AC872" i="3"/>
  <c r="AD872" i="3"/>
  <c r="G871" i="4"/>
  <c r="I871" i="4"/>
  <c r="J871" i="4"/>
  <c r="H871" i="4"/>
  <c r="G872" i="4"/>
  <c r="I872" i="4"/>
  <c r="J872" i="4"/>
  <c r="H872" i="4"/>
  <c r="K871" i="4"/>
  <c r="M871" i="4"/>
  <c r="AC873" i="3"/>
  <c r="AD873" i="3"/>
  <c r="C873" i="4"/>
  <c r="L874" i="4"/>
  <c r="Q875" i="3"/>
  <c r="AB874" i="3"/>
  <c r="G873" i="4"/>
  <c r="I873" i="4"/>
  <c r="J873" i="4"/>
  <c r="H873" i="4"/>
  <c r="C874" i="4"/>
  <c r="AC874" i="3"/>
  <c r="AD874" i="3"/>
  <c r="L875" i="4"/>
  <c r="Q876" i="3"/>
  <c r="AB875" i="3"/>
  <c r="K872" i="4"/>
  <c r="M872" i="4"/>
  <c r="C875" i="4"/>
  <c r="AC875" i="3"/>
  <c r="AD875" i="3"/>
  <c r="G874" i="4"/>
  <c r="I874" i="4"/>
  <c r="J874" i="4"/>
  <c r="H874" i="4"/>
  <c r="Q877" i="3"/>
  <c r="L876" i="4"/>
  <c r="AB876" i="3"/>
  <c r="K873" i="4"/>
  <c r="M873" i="4"/>
  <c r="C876" i="4"/>
  <c r="AC876" i="3"/>
  <c r="AD876" i="3"/>
  <c r="L877" i="4"/>
  <c r="Q878" i="3"/>
  <c r="AB877" i="3"/>
  <c r="K874" i="4"/>
  <c r="M874" i="4"/>
  <c r="G875" i="4"/>
  <c r="I875" i="4"/>
  <c r="J875" i="4"/>
  <c r="H875" i="4"/>
  <c r="M875" i="4"/>
  <c r="K875" i="4"/>
  <c r="AC877" i="3"/>
  <c r="AD877" i="3"/>
  <c r="C877" i="4"/>
  <c r="L878" i="4"/>
  <c r="Q879" i="3"/>
  <c r="AB878" i="3"/>
  <c r="G876" i="4"/>
  <c r="I876" i="4"/>
  <c r="J876" i="4"/>
  <c r="H876" i="4"/>
  <c r="M876" i="4"/>
  <c r="K876" i="4"/>
  <c r="L879" i="4"/>
  <c r="Q880" i="3"/>
  <c r="AB879" i="3"/>
  <c r="G877" i="4"/>
  <c r="I877" i="4"/>
  <c r="J877" i="4"/>
  <c r="H877" i="4"/>
  <c r="AC878" i="3"/>
  <c r="AD878" i="3"/>
  <c r="C878" i="4"/>
  <c r="G878" i="4"/>
  <c r="I878" i="4"/>
  <c r="J878" i="4"/>
  <c r="H878" i="4"/>
  <c r="C879" i="4"/>
  <c r="AC879" i="3"/>
  <c r="AD879" i="3"/>
  <c r="M877" i="4"/>
  <c r="K877" i="4"/>
  <c r="Q881" i="3"/>
  <c r="L880" i="4"/>
  <c r="AB880" i="3"/>
  <c r="L881" i="4"/>
  <c r="Q882" i="3"/>
  <c r="AB881" i="3"/>
  <c r="G879" i="4"/>
  <c r="I879" i="4"/>
  <c r="J879" i="4"/>
  <c r="H879" i="4"/>
  <c r="C880" i="4"/>
  <c r="AC880" i="3"/>
  <c r="AD880" i="3"/>
  <c r="M878" i="4"/>
  <c r="K878" i="4"/>
  <c r="M879" i="4"/>
  <c r="K879" i="4"/>
  <c r="L882" i="4"/>
  <c r="Q883" i="3"/>
  <c r="AB882" i="3"/>
  <c r="G880" i="4"/>
  <c r="I880" i="4"/>
  <c r="J880" i="4"/>
  <c r="H880" i="4"/>
  <c r="C881" i="4"/>
  <c r="AC881" i="3"/>
  <c r="AD881" i="3"/>
  <c r="G881" i="4"/>
  <c r="I881" i="4"/>
  <c r="J881" i="4"/>
  <c r="H881" i="4"/>
  <c r="C882" i="4"/>
  <c r="AC882" i="3"/>
  <c r="AD882" i="3"/>
  <c r="M880" i="4"/>
  <c r="K880" i="4"/>
  <c r="L883" i="4"/>
  <c r="Q884" i="3"/>
  <c r="AB883" i="3"/>
  <c r="AC883" i="3"/>
  <c r="AD883" i="3"/>
  <c r="C883" i="4"/>
  <c r="G882" i="4"/>
  <c r="I882" i="4"/>
  <c r="J882" i="4"/>
  <c r="H882" i="4"/>
  <c r="Q885" i="3"/>
  <c r="L884" i="4"/>
  <c r="AB884" i="3"/>
  <c r="M881" i="4"/>
  <c r="K881" i="4"/>
  <c r="C884" i="4"/>
  <c r="AC884" i="3"/>
  <c r="AD884" i="3"/>
  <c r="L885" i="4"/>
  <c r="Q886" i="3"/>
  <c r="AB885" i="3"/>
  <c r="M882" i="4"/>
  <c r="K882" i="4"/>
  <c r="G883" i="4"/>
  <c r="I883" i="4"/>
  <c r="J883" i="4"/>
  <c r="H883" i="4"/>
  <c r="K883" i="4"/>
  <c r="M883" i="4"/>
  <c r="AC885" i="3"/>
  <c r="AD885" i="3"/>
  <c r="C885" i="4"/>
  <c r="Q887" i="3"/>
  <c r="L886" i="4"/>
  <c r="AB886" i="3"/>
  <c r="G884" i="4"/>
  <c r="I884" i="4"/>
  <c r="J884" i="4"/>
  <c r="H884" i="4"/>
  <c r="K884" i="4"/>
  <c r="M884" i="4"/>
  <c r="Q888" i="3"/>
  <c r="L887" i="4"/>
  <c r="AB887" i="3"/>
  <c r="AC886" i="3"/>
  <c r="AD886" i="3"/>
  <c r="C886" i="4"/>
  <c r="G885" i="4"/>
  <c r="I885" i="4"/>
  <c r="J885" i="4"/>
  <c r="H885" i="4"/>
  <c r="G886" i="4"/>
  <c r="I886" i="4"/>
  <c r="J886" i="4"/>
  <c r="H886" i="4"/>
  <c r="AC887" i="3"/>
  <c r="AD887" i="3"/>
  <c r="C887" i="4"/>
  <c r="M885" i="4"/>
  <c r="K885" i="4"/>
  <c r="Q889" i="3"/>
  <c r="L888" i="4"/>
  <c r="AB888" i="3"/>
  <c r="G887" i="4"/>
  <c r="I887" i="4"/>
  <c r="J887" i="4"/>
  <c r="H887" i="4"/>
  <c r="C888" i="4"/>
  <c r="AC888" i="3"/>
  <c r="AD888" i="3"/>
  <c r="L889" i="4"/>
  <c r="Q890" i="3"/>
  <c r="AB889" i="3"/>
  <c r="K886" i="4"/>
  <c r="M886" i="4"/>
  <c r="AC889" i="3"/>
  <c r="AD889" i="3"/>
  <c r="C889" i="4"/>
  <c r="G888" i="4"/>
  <c r="I888" i="4"/>
  <c r="J888" i="4"/>
  <c r="H888" i="4"/>
  <c r="Q891" i="3"/>
  <c r="L890" i="4"/>
  <c r="AB890" i="3"/>
  <c r="M887" i="4"/>
  <c r="K887" i="4"/>
  <c r="L891" i="4"/>
  <c r="Q892" i="3"/>
  <c r="AB891" i="3"/>
  <c r="K888" i="4"/>
  <c r="M888" i="4"/>
  <c r="C890" i="4"/>
  <c r="AC890" i="3"/>
  <c r="AD890" i="3"/>
  <c r="G889" i="4"/>
  <c r="I889" i="4"/>
  <c r="J889" i="4"/>
  <c r="H889" i="4"/>
  <c r="K889" i="4"/>
  <c r="M889" i="4"/>
  <c r="G890" i="4"/>
  <c r="I890" i="4"/>
  <c r="J890" i="4"/>
  <c r="H890" i="4"/>
  <c r="Q893" i="3"/>
  <c r="L892" i="4"/>
  <c r="AB892" i="3"/>
  <c r="AC891" i="3"/>
  <c r="AD891" i="3"/>
  <c r="C891" i="4"/>
  <c r="G891" i="4"/>
  <c r="I891" i="4"/>
  <c r="J891" i="4"/>
  <c r="H891" i="4"/>
  <c r="Q894" i="3"/>
  <c r="L893" i="4"/>
  <c r="AB893" i="3"/>
  <c r="C892" i="4"/>
  <c r="AC892" i="3"/>
  <c r="AD892" i="3"/>
  <c r="M890" i="4"/>
  <c r="K890" i="4"/>
  <c r="AC893" i="3"/>
  <c r="AD893" i="3"/>
  <c r="C893" i="4"/>
  <c r="L894" i="4"/>
  <c r="Q895" i="3"/>
  <c r="AB894" i="3"/>
  <c r="G892" i="4"/>
  <c r="I892" i="4"/>
  <c r="J892" i="4"/>
  <c r="H892" i="4"/>
  <c r="K891" i="4"/>
  <c r="M891" i="4"/>
  <c r="K892" i="4"/>
  <c r="M892" i="4"/>
  <c r="C894" i="4"/>
  <c r="AC894" i="3"/>
  <c r="AD894" i="3"/>
  <c r="L895" i="4"/>
  <c r="Q896" i="3"/>
  <c r="AB895" i="3"/>
  <c r="G893" i="4"/>
  <c r="I893" i="4"/>
  <c r="J893" i="4"/>
  <c r="H893" i="4"/>
  <c r="C895" i="4"/>
  <c r="AC895" i="3"/>
  <c r="AD895" i="3"/>
  <c r="K893" i="4"/>
  <c r="M893" i="4"/>
  <c r="L896" i="4"/>
  <c r="Q897" i="3"/>
  <c r="AB896" i="3"/>
  <c r="G894" i="4"/>
  <c r="I894" i="4"/>
  <c r="J894" i="4"/>
  <c r="H894" i="4"/>
  <c r="C896" i="4"/>
  <c r="AC896" i="3"/>
  <c r="AD896" i="3"/>
  <c r="K894" i="4"/>
  <c r="M894" i="4"/>
  <c r="Q898" i="3"/>
  <c r="L897" i="4"/>
  <c r="AB897" i="3"/>
  <c r="G895" i="4"/>
  <c r="I895" i="4"/>
  <c r="J895" i="4"/>
  <c r="H895" i="4"/>
  <c r="M895" i="4"/>
  <c r="K895" i="4"/>
  <c r="L898" i="4"/>
  <c r="Q899" i="3"/>
  <c r="AB898" i="3"/>
  <c r="C897" i="4"/>
  <c r="AC897" i="3"/>
  <c r="AD897" i="3"/>
  <c r="G896" i="4"/>
  <c r="I896" i="4"/>
  <c r="J896" i="4"/>
  <c r="H896" i="4"/>
  <c r="C898" i="4"/>
  <c r="AC898" i="3"/>
  <c r="AD898" i="3"/>
  <c r="M896" i="4"/>
  <c r="K896" i="4"/>
  <c r="G897" i="4"/>
  <c r="I897" i="4"/>
  <c r="J897" i="4"/>
  <c r="H897" i="4"/>
  <c r="L899" i="4"/>
  <c r="Q900" i="3"/>
  <c r="AB899" i="3"/>
  <c r="K897" i="4"/>
  <c r="M897" i="4"/>
  <c r="AC899" i="3"/>
  <c r="AD899" i="3"/>
  <c r="C899" i="4"/>
  <c r="L900" i="4"/>
  <c r="Q901" i="3"/>
  <c r="AB900" i="3"/>
  <c r="G898" i="4"/>
  <c r="I898" i="4"/>
  <c r="J898" i="4"/>
  <c r="H898" i="4"/>
  <c r="AC900" i="3"/>
  <c r="AD900" i="3"/>
  <c r="C900" i="4"/>
  <c r="G899" i="4"/>
  <c r="I899" i="4"/>
  <c r="J899" i="4"/>
  <c r="H899" i="4"/>
  <c r="K898" i="4"/>
  <c r="M898" i="4"/>
  <c r="L901" i="4"/>
  <c r="Q902" i="3"/>
  <c r="AB901" i="3"/>
  <c r="L902" i="4"/>
  <c r="Q903" i="3"/>
  <c r="AB902" i="3"/>
  <c r="C901" i="4"/>
  <c r="AC901" i="3"/>
  <c r="AD901" i="3"/>
  <c r="G900" i="4"/>
  <c r="I900" i="4"/>
  <c r="J900" i="4"/>
  <c r="H900" i="4"/>
  <c r="K899" i="4"/>
  <c r="M899" i="4"/>
  <c r="C902" i="4"/>
  <c r="AC902" i="3"/>
  <c r="AD902" i="3"/>
  <c r="M900" i="4"/>
  <c r="K900" i="4"/>
  <c r="G901" i="4"/>
  <c r="I901" i="4"/>
  <c r="J901" i="4"/>
  <c r="H901" i="4"/>
  <c r="Q904" i="3"/>
  <c r="L903" i="4"/>
  <c r="AB903" i="3"/>
  <c r="C903" i="4"/>
  <c r="AC903" i="3"/>
  <c r="AD903" i="3"/>
  <c r="Q905" i="3"/>
  <c r="L904" i="4"/>
  <c r="AB904" i="3"/>
  <c r="K901" i="4"/>
  <c r="M901" i="4"/>
  <c r="G902" i="4"/>
  <c r="I902" i="4"/>
  <c r="J902" i="4"/>
  <c r="H902" i="4"/>
  <c r="K902" i="4"/>
  <c r="M902" i="4"/>
  <c r="Q906" i="3"/>
  <c r="L905" i="4"/>
  <c r="AB905" i="3"/>
  <c r="AC904" i="3"/>
  <c r="AD904" i="3"/>
  <c r="C904" i="4"/>
  <c r="G903" i="4"/>
  <c r="I903" i="4"/>
  <c r="J903" i="4"/>
  <c r="H903" i="4"/>
  <c r="G904" i="4"/>
  <c r="I904" i="4"/>
  <c r="J904" i="4"/>
  <c r="H904" i="4"/>
  <c r="K903" i="4"/>
  <c r="M903" i="4"/>
  <c r="C905" i="4"/>
  <c r="AC905" i="3"/>
  <c r="AD905" i="3"/>
  <c r="Q907" i="3"/>
  <c r="L906" i="4"/>
  <c r="AB906" i="3"/>
  <c r="C906" i="4"/>
  <c r="AC906" i="3"/>
  <c r="AD906" i="3"/>
  <c r="Q908" i="3"/>
  <c r="L907" i="4"/>
  <c r="AB907" i="3"/>
  <c r="G905" i="4"/>
  <c r="I905" i="4"/>
  <c r="J905" i="4"/>
  <c r="H905" i="4"/>
  <c r="K904" i="4"/>
  <c r="M904" i="4"/>
  <c r="M905" i="4"/>
  <c r="K905" i="4"/>
  <c r="AC907" i="3"/>
  <c r="AD907" i="3"/>
  <c r="C907" i="4"/>
  <c r="L908" i="4"/>
  <c r="Q909" i="3"/>
  <c r="AB908" i="3"/>
  <c r="G906" i="4"/>
  <c r="I906" i="4"/>
  <c r="J906" i="4"/>
  <c r="H906" i="4"/>
  <c r="K906" i="4"/>
  <c r="M906" i="4"/>
  <c r="K20" i="3"/>
  <c r="P23" i="4"/>
  <c r="P20" i="3"/>
  <c r="L909" i="4"/>
  <c r="K23" i="4"/>
  <c r="D15" i="5"/>
  <c r="Q910" i="3"/>
  <c r="L910" i="4"/>
  <c r="C46" i="5"/>
  <c r="N46" i="5"/>
  <c r="AB909" i="3"/>
  <c r="G907" i="4"/>
  <c r="I907" i="4"/>
  <c r="J907" i="4"/>
  <c r="H907" i="4"/>
  <c r="AC908" i="3"/>
  <c r="AD908" i="3"/>
  <c r="C908" i="4"/>
  <c r="M907" i="4"/>
  <c r="K907" i="4"/>
  <c r="G908" i="4"/>
  <c r="I908" i="4"/>
  <c r="J908" i="4"/>
  <c r="H908" i="4"/>
  <c r="AC909" i="3"/>
  <c r="C909" i="4"/>
  <c r="G909" i="4"/>
  <c r="I909" i="4"/>
  <c r="H909" i="4"/>
  <c r="AD909" i="3"/>
  <c r="AB22" i="3"/>
  <c r="K908" i="4"/>
  <c r="M908" i="4"/>
  <c r="C13" i="4"/>
  <c r="C12" i="11"/>
  <c r="C12" i="4"/>
  <c r="P18" i="3"/>
  <c r="K18" i="3"/>
  <c r="AA908" i="3"/>
  <c r="AA909" i="3"/>
  <c r="I910" i="4"/>
  <c r="J909" i="4"/>
  <c r="J910" i="4"/>
  <c r="C15" i="4"/>
  <c r="M909" i="4"/>
  <c r="K909" i="4"/>
  <c r="Y17" i="11"/>
  <c r="Y23" i="11"/>
  <c r="Z17" i="11"/>
  <c r="Z23" i="11"/>
  <c r="AA17" i="11"/>
  <c r="AA23" i="11"/>
  <c r="Y27" i="11"/>
  <c r="Y26" i="11"/>
  <c r="M910" i="4"/>
  <c r="L911" i="4"/>
  <c r="D46" i="5"/>
  <c r="K910" i="4"/>
  <c r="E46" i="5"/>
  <c r="C16" i="4"/>
  <c r="C17" i="4"/>
  <c r="C18" i="4"/>
  <c r="D16" i="5"/>
  <c r="C19" i="4"/>
  <c r="D17" i="5"/>
  <c r="K21" i="4"/>
  <c r="P21" i="4"/>
  <c r="Z27" i="11"/>
  <c r="Z26" i="11"/>
  <c r="D11" i="5"/>
  <c r="D12" i="5"/>
  <c r="P22" i="4"/>
  <c r="D14" i="5"/>
  <c r="K22" i="4"/>
  <c r="E17" i="5"/>
  <c r="D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  Nakka</author>
    <author>vq591d</author>
  </authors>
  <commentList>
    <comment ref="C6" authorId="0" shapeId="0" xr:uid="{20402CD6-DDCA-4772-91A5-F240A915D178}">
      <text>
        <r>
          <rPr>
            <b/>
            <sz val="8"/>
            <color indexed="81"/>
            <rFont val="Tahoma"/>
            <family val="2"/>
          </rPr>
          <t>Enter title in this box.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0" shapeId="0" xr:uid="{268AEC6E-4B5B-479A-9E71-FFF86CDD6B46}">
      <text>
        <r>
          <rPr>
            <b/>
            <sz val="8"/>
            <color indexed="81"/>
            <rFont val="Tahoma"/>
            <family val="2"/>
          </rPr>
          <t>Length from throat to bulkhead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" authorId="0" shapeId="0" xr:uid="{9494FA4F-E453-4016-8379-BB9CB6FF7D7B}">
      <text>
        <r>
          <rPr>
            <b/>
            <sz val="8"/>
            <color indexed="81"/>
            <rFont val="Tahoma"/>
            <family val="2"/>
          </rPr>
          <t>Fraction of chamber volume utilized for propellant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" authorId="0" shapeId="0" xr:uid="{46CD60DD-323B-4A87-A430-F0F85631EAAB}">
      <text>
        <r>
          <rPr>
            <b/>
            <sz val="8"/>
            <color indexed="81"/>
            <rFont val="Tahoma"/>
            <family val="2"/>
          </rPr>
          <t>Typically 0.90 to 0.98</t>
        </r>
      </text>
    </comment>
    <comment ref="X31" authorId="0" shapeId="0" xr:uid="{F9E1EF28-3667-4F8C-8A64-FD9C8B28EA8E}">
      <text>
        <r>
          <rPr>
            <b/>
            <sz val="8"/>
            <color indexed="81"/>
            <rFont val="Tahoma"/>
            <family val="2"/>
          </rPr>
          <t>See "Propellant Data" worksheet...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" authorId="1" shapeId="0" xr:uid="{FA9CFF7F-5972-499A-AA02-3A44FAA28588}">
      <text>
        <r>
          <rPr>
            <b/>
            <sz val="8"/>
            <color indexed="81"/>
            <rFont val="Tahoma"/>
            <family val="2"/>
          </rPr>
          <t>Select target value for max chamber pressure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0" shapeId="0" xr:uid="{300A970A-A131-47EA-BB34-F70464B6E82D}">
      <text>
        <r>
          <rPr>
            <b/>
            <sz val="8"/>
            <color indexed="81"/>
            <rFont val="Tahoma"/>
            <family val="2"/>
          </rPr>
          <t>A key design parameter, the Kn sizes the throat diameter and determines chamber pressure.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" authorId="0" shapeId="0" xr:uid="{494FDE26-008C-4275-8304-C18C74E0DDAD}">
      <text>
        <r>
          <rPr>
            <sz val="8"/>
            <color indexed="81"/>
            <rFont val="Tahoma"/>
            <family val="2"/>
          </rPr>
          <t xml:space="preserve">Increase in throat  diameter due to erosion. Usually set to zero.
</t>
        </r>
      </text>
    </comment>
    <comment ref="E42" authorId="0" shapeId="0" xr:uid="{4A384B84-F906-4D95-BBEC-48CEF1450752}">
      <text>
        <r>
          <rPr>
            <b/>
            <sz val="8"/>
            <color indexed="81"/>
            <rFont val="Tahoma"/>
            <family val="2"/>
          </rPr>
          <t>This table provides the values of Kn as the web regresses during burning.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3" authorId="0" shapeId="0" xr:uid="{D248DD76-2666-4C47-B78B-298E223791BB}">
      <text>
        <r>
          <rPr>
            <b/>
            <sz val="8"/>
            <color indexed="81"/>
            <rFont val="Tahoma"/>
            <family val="2"/>
          </rPr>
          <t>Grain regression (depth burned)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3" authorId="0" shapeId="0" xr:uid="{36F7C0A2-0C62-40FF-B5CF-269C1A0FB583}">
      <text>
        <r>
          <rPr>
            <b/>
            <sz val="8"/>
            <color indexed="81"/>
            <rFont val="Tahoma"/>
            <family val="2"/>
          </rPr>
          <t>Core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3" authorId="0" shapeId="0" xr:uid="{7AFFA441-0C42-48E7-8EF1-806AD09C3698}">
      <text>
        <r>
          <rPr>
            <b/>
            <sz val="8"/>
            <color indexed="81"/>
            <rFont val="Tahoma"/>
            <family val="2"/>
          </rPr>
          <t>Grain outer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3" authorId="0" shapeId="0" xr:uid="{C9B2CE94-67D4-421E-9C3C-37F621A535CE}">
      <text>
        <r>
          <rPr>
            <b/>
            <sz val="8"/>
            <color indexed="81"/>
            <rFont val="Tahoma"/>
            <family val="2"/>
          </rPr>
          <t>Grain total length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3" authorId="0" shapeId="0" xr:uid="{317AF62F-68CB-4030-A075-3C9C6A1F26A5}">
      <text>
        <r>
          <rPr>
            <b/>
            <sz val="8"/>
            <color indexed="81"/>
            <rFont val="Tahoma"/>
            <family val="2"/>
          </rPr>
          <t>Grain web thickness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3" authorId="0" shapeId="0" xr:uid="{EBA28CE4-977E-4167-B2AD-A43DA2C4F72B}">
      <text>
        <r>
          <rPr>
            <b/>
            <sz val="8"/>
            <color indexed="81"/>
            <rFont val="Tahoma"/>
            <family val="2"/>
          </rPr>
          <t>Burning area, ends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3" authorId="0" shapeId="0" xr:uid="{4944A697-27FB-448B-99BE-A7918798DFB8}">
      <text>
        <r>
          <rPr>
            <b/>
            <sz val="8"/>
            <color indexed="81"/>
            <rFont val="Tahoma"/>
            <family val="2"/>
          </rPr>
          <t>Burning area, core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3" authorId="0" shapeId="0" xr:uid="{8A67BD18-DB4C-4F70-B714-06BA7B5FF201}">
      <text>
        <r>
          <rPr>
            <b/>
            <sz val="8"/>
            <color indexed="81"/>
            <rFont val="Tahoma"/>
            <family val="2"/>
          </rPr>
          <t>Burning area,
outer diametrical surfaces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3" authorId="0" shapeId="0" xr:uid="{4B7F9614-A744-4FD6-94A8-74F0C9B9C535}">
      <text>
        <r>
          <rPr>
            <b/>
            <sz val="8"/>
            <color indexed="81"/>
            <rFont val="Tahoma"/>
            <family val="2"/>
          </rPr>
          <t>Total burning area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43" authorId="0" shapeId="0" xr:uid="{70DCA135-4DF0-4D39-B1E9-7D3C6B0E6037}">
      <text>
        <r>
          <rPr>
            <b/>
            <sz val="8"/>
            <color indexed="81"/>
            <rFont val="Tahoma"/>
            <family val="2"/>
          </rPr>
          <t>Throat cross-section area</t>
        </r>
      </text>
    </comment>
    <comment ref="M43" authorId="0" shapeId="0" xr:uid="{6EF2CD14-DD75-452E-977A-69279B918E5F}">
      <text>
        <r>
          <rPr>
            <b/>
            <sz val="8"/>
            <color indexed="81"/>
            <rFont val="Tahoma"/>
            <family val="2"/>
          </rPr>
          <t>Ratio of burning area to throat area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  Nakka</author>
    <author>vq591d</author>
  </authors>
  <commentList>
    <comment ref="C13" authorId="0" shapeId="0" xr:uid="{7E3FCAC2-D806-4C63-8E4A-90B3D567CDCF}">
      <text>
        <r>
          <rPr>
            <b/>
            <sz val="8"/>
            <color indexed="81"/>
            <rFont val="Tahoma"/>
            <family val="2"/>
          </rPr>
          <t>Use 0.95 for fine grain propellant. Use 0.93 for coarse grain propellant.</t>
        </r>
      </text>
    </comment>
    <comment ref="C16" authorId="0" shapeId="0" xr:uid="{9B74854F-30F3-4567-8570-CF66FAB7DCF0}">
      <text>
        <r>
          <rPr>
            <b/>
            <sz val="8"/>
            <color indexed="81"/>
            <rFont val="Tahoma"/>
            <family val="2"/>
          </rPr>
          <t>Local barometric pressure, typically 0.101 MPa.  at sea level.</t>
        </r>
      </text>
    </comment>
    <comment ref="AA16" authorId="1" shapeId="0" xr:uid="{B5F1A802-9099-4B8B-B16A-16D1AC2635B7}">
      <text>
        <r>
          <rPr>
            <b/>
            <sz val="8"/>
            <color indexed="81"/>
            <rFont val="Tahoma"/>
            <family val="2"/>
          </rPr>
          <t>vq591d: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" authorId="0" shapeId="0" xr:uid="{2D7F210E-1BB9-43FB-8C54-826B1875DBF6}">
      <text>
        <r>
          <rPr>
            <b/>
            <sz val="8"/>
            <color indexed="81"/>
            <rFont val="Tahoma"/>
            <family val="2"/>
          </rPr>
          <t>Ratio of core to throat cross-sectional areas, above which no erosive burning occurs.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" authorId="0" shapeId="0" xr:uid="{31FE1747-6F70-4ABE-8429-9574679A9724}">
      <text>
        <r>
          <rPr>
            <b/>
            <sz val="8"/>
            <color indexed="81"/>
            <rFont val="Tahoma"/>
            <family val="2"/>
          </rPr>
          <t>An empirical constant. Enter zero if no erosive burning expected.
Typically 0.0 to 1.0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" authorId="0" shapeId="0" xr:uid="{856F8028-FA87-457C-BB80-125574DF13C1}">
      <text>
        <r>
          <rPr>
            <b/>
            <sz val="8"/>
            <color indexed="81"/>
            <rFont val="Tahoma"/>
            <family val="2"/>
          </rPr>
          <t>Web regression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5" authorId="0" shapeId="0" xr:uid="{DD561B85-7682-400A-BD2A-78E859635615}">
      <text>
        <r>
          <rPr>
            <b/>
            <sz val="8"/>
            <color indexed="81"/>
            <rFont val="Tahoma"/>
            <family val="2"/>
          </rPr>
          <t>Web thickness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5" authorId="0" shapeId="0" xr:uid="{9D569F57-E0CF-4813-AF42-30C1407B64E7}">
      <text>
        <r>
          <rPr>
            <b/>
            <sz val="8"/>
            <color indexed="81"/>
            <rFont val="Tahoma"/>
            <family val="2"/>
          </rPr>
          <t>Grain core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 shapeId="0" xr:uid="{3BD0A65D-3FD5-49AE-9BC6-717894D605CD}">
      <text>
        <r>
          <rPr>
            <b/>
            <sz val="8"/>
            <color indexed="81"/>
            <rFont val="Tahoma"/>
            <family val="2"/>
          </rPr>
          <t>Grain outside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5" authorId="0" shapeId="0" xr:uid="{F8DD263E-B04F-4139-93A9-DDC13352EBE4}">
      <text>
        <r>
          <rPr>
            <b/>
            <sz val="8"/>
            <color indexed="81"/>
            <rFont val="Tahoma"/>
            <family val="2"/>
          </rPr>
          <t>Grain total length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5" authorId="0" shapeId="0" xr:uid="{F6F6CECE-0762-4FF7-9BDE-4AE3CD6E4111}">
      <text>
        <r>
          <rPr>
            <b/>
            <sz val="8"/>
            <color indexed="81"/>
            <rFont val="Tahoma"/>
            <family val="2"/>
          </rPr>
          <t>Throat area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25" authorId="0" shapeId="0" xr:uid="{9080D48C-8784-4D1D-B186-63CE546EBCEE}">
      <text>
        <r>
          <rPr>
            <b/>
            <sz val="8"/>
            <color indexed="81"/>
            <rFont val="Tahoma"/>
            <family val="2"/>
          </rPr>
          <t>Nozzle critical passage area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5" authorId="0" shapeId="0" xr:uid="{B460ACC2-3F0F-4F33-BE27-E7FB537CD688}">
      <text>
        <r>
          <rPr>
            <b/>
            <sz val="8"/>
            <color indexed="81"/>
            <rFont val="Tahoma"/>
            <family val="2"/>
          </rPr>
          <t>Difference in chamber and grain cross-sectional area
(flow area)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25" authorId="0" shapeId="0" xr:uid="{DA0C4B97-4D80-448E-8955-FB8583DEE9E9}">
      <text>
        <r>
          <rPr>
            <b/>
            <sz val="8"/>
            <color indexed="81"/>
            <rFont val="Tahoma"/>
            <family val="2"/>
          </rPr>
          <t>Erosive burning factor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5" authorId="0" shapeId="0" xr:uid="{0C932BB8-0302-4610-A18D-B791649C58F3}">
      <text>
        <r>
          <rPr>
            <b/>
            <sz val="8"/>
            <color indexed="81"/>
            <rFont val="Tahoma"/>
            <family val="2"/>
          </rPr>
          <t>Chamber pressure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5" authorId="0" shapeId="0" xr:uid="{6CF8B831-C2E6-4845-93BB-308820783C9D}">
      <text>
        <r>
          <rPr>
            <b/>
            <sz val="8"/>
            <color indexed="81"/>
            <rFont val="Tahoma"/>
            <family val="2"/>
          </rPr>
          <t>Burn rate coefficient valid at Po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25" authorId="0" shapeId="0" xr:uid="{29DD3874-A249-4B39-BCBA-05C7BA632F75}">
      <text>
        <r>
          <rPr>
            <b/>
            <sz val="8"/>
            <color indexed="81"/>
            <rFont val="Tahoma"/>
            <family val="2"/>
          </rPr>
          <t>Pressure exponent valid at Po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25" authorId="0" shapeId="0" xr:uid="{522D9851-37A8-4995-BB00-5F3C03BDE6DA}">
      <text>
        <r>
          <rPr>
            <b/>
            <sz val="8"/>
            <color indexed="81"/>
            <rFont val="Tahoma"/>
            <family val="2"/>
          </rPr>
          <t>Propellant burn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25" authorId="0" shapeId="0" xr:uid="{5E6B6B47-EB21-48E0-8E2E-0D194642F6D9}">
      <text>
        <r>
          <rPr>
            <b/>
            <sz val="8"/>
            <color indexed="81"/>
            <rFont val="Tahoma"/>
            <family val="2"/>
          </rPr>
          <t>Time since start of burn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25" authorId="0" shapeId="0" xr:uid="{F07D6524-944E-4F28-9D3C-A5393818B062}">
      <text>
        <r>
          <rPr>
            <b/>
            <sz val="8"/>
            <color indexed="81"/>
            <rFont val="Tahoma"/>
            <family val="2"/>
          </rPr>
          <t>Grain volume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25" authorId="0" shapeId="0" xr:uid="{865A7F52-9372-4807-B33C-B091111BFA99}">
      <text>
        <r>
          <rPr>
            <b/>
            <sz val="8"/>
            <color indexed="81"/>
            <rFont val="Tahoma"/>
            <family val="2"/>
          </rPr>
          <t>Free volume in chamber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25" authorId="0" shapeId="0" xr:uid="{6E51A4F7-ECE0-4A50-A88F-9C56C3A311EA}">
      <text>
        <r>
          <rPr>
            <b/>
            <sz val="8"/>
            <color indexed="81"/>
            <rFont val="Tahoma"/>
            <family val="2"/>
          </rPr>
          <t>Grain mass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25" authorId="0" shapeId="0" xr:uid="{ECA26500-E92F-445B-8762-409AAD47F12C}">
      <text>
        <r>
          <rPr>
            <b/>
            <sz val="8"/>
            <color indexed="81"/>
            <rFont val="Tahoma"/>
            <family val="2"/>
          </rPr>
          <t>Mass generation rate of combustion products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25" authorId="0" shapeId="0" xr:uid="{8CFB4772-94BF-46E7-9A6A-820B4CBC3C4C}">
      <text>
        <r>
          <rPr>
            <b/>
            <sz val="8"/>
            <color indexed="81"/>
            <rFont val="Tahoma"/>
            <family val="2"/>
          </rPr>
          <t>Mass flow rate through nozzle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25" authorId="0" shapeId="0" xr:uid="{05C8A926-95B2-4E81-BEC5-5D2FD857861D}">
      <text>
        <r>
          <rPr>
            <b/>
            <sz val="8"/>
            <color indexed="81"/>
            <rFont val="Tahoma"/>
            <family val="2"/>
          </rPr>
          <t>Mass storage rate of combustion products (in chamber)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Y25" authorId="0" shapeId="0" xr:uid="{B8A0B7E6-B4A0-434E-93EF-351F35666BDA}">
      <text>
        <r>
          <rPr>
            <b/>
            <sz val="8"/>
            <color indexed="81"/>
            <rFont val="Tahoma"/>
            <family val="2"/>
          </rPr>
          <t>Mass of combustion products stored in chamber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25" authorId="0" shapeId="0" xr:uid="{C0FE0DDA-805E-4FAB-9CFC-B05F541CD18B}">
      <text>
        <r>
          <rPr>
            <b/>
            <sz val="8"/>
            <color indexed="81"/>
            <rFont val="Tahoma"/>
            <family val="2"/>
          </rPr>
          <t>Density of combustion products in chamber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  Nakka</author>
  </authors>
  <commentList>
    <comment ref="C4" authorId="0" shapeId="0" xr:uid="{AE772F64-DAFD-4559-A3B6-D56EF2A5BD53}">
      <text>
        <r>
          <rPr>
            <b/>
            <sz val="8"/>
            <color indexed="81"/>
            <rFont val="Tahoma"/>
            <family val="2"/>
          </rPr>
          <t>For a well-contoured, smooth nozzle, typically 0.75 to 0.85. For KNPSB, 0.85-0.90 may be used.</t>
        </r>
      </text>
    </comment>
    <comment ref="C5" authorId="0" shapeId="0" xr:uid="{C179CF53-C92A-4B97-BDA3-6D8090796C80}">
      <text>
        <r>
          <rPr>
            <b/>
            <sz val="8"/>
            <color indexed="81"/>
            <rFont val="Tahoma"/>
            <family val="2"/>
          </rPr>
          <t>Ratio of cross-sectional areas of nozzle exit  to throat.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0" shapeId="0" xr:uid="{D401B89D-F356-4F8A-A4FC-D23021ABCDF4}">
      <text>
        <r>
          <rPr>
            <b/>
            <sz val="8"/>
            <color indexed="81"/>
            <rFont val="Tahoma"/>
            <family val="2"/>
          </rPr>
          <t>Based on initial throat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" authorId="0" shapeId="0" xr:uid="{479AB359-C2A9-466F-84D2-19426F957441}">
      <text>
        <r>
          <rPr>
            <b/>
            <sz val="8"/>
            <color indexed="81"/>
            <rFont val="Tahoma"/>
            <family val="2"/>
          </rPr>
          <t>Based on final (eroded) throat diameter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4" authorId="0" shapeId="0" xr:uid="{B26CFF16-043A-4C9C-819B-A30ED72E06EF}">
      <text>
        <r>
          <rPr>
            <b/>
            <sz val="8"/>
            <color indexed="81"/>
            <rFont val="Tahoma"/>
            <family val="2"/>
          </rPr>
          <t>Ratio of web to grain outer radius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" authorId="0" shapeId="0" xr:uid="{760B8EAD-8DD6-41AD-A13B-D59D9A3877D6}">
      <text>
        <r>
          <rPr>
            <b/>
            <sz val="8"/>
            <color indexed="81"/>
            <rFont val="Tahoma"/>
            <family val="2"/>
          </rPr>
          <t>See "Class" worksheet for definition...</t>
        </r>
      </text>
    </comment>
    <comment ref="G25" authorId="0" shapeId="0" xr:uid="{61EE4E7C-A6A3-4A53-A23D-551CE6637CDC}">
      <text>
        <r>
          <rPr>
            <b/>
            <sz val="8"/>
            <color indexed="81"/>
            <rFont val="Tahoma"/>
            <family val="2"/>
          </rPr>
          <t>Nozzle exit pressure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5" authorId="0" shapeId="0" xr:uid="{FEB538F0-EAA1-4220-A312-985B4AF2F6ED}">
      <text>
        <r>
          <rPr>
            <b/>
            <sz val="8"/>
            <color indexed="81"/>
            <rFont val="Tahoma"/>
            <family val="2"/>
          </rPr>
          <t>Optimum expansion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25" authorId="0" shapeId="0" xr:uid="{76F0A248-4449-4EA4-AFD6-E14648D990E7}">
      <text>
        <r>
          <rPr>
            <b/>
            <sz val="8"/>
            <color indexed="81"/>
            <rFont val="Tahoma"/>
            <family val="2"/>
          </rPr>
          <t>Delivered C</t>
        </r>
        <r>
          <rPr>
            <b/>
            <sz val="8"/>
            <color indexed="81"/>
            <rFont val="Tahoma"/>
            <family val="2"/>
          </rPr>
          <t>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5" authorId="0" shapeId="0" xr:uid="{698BD0DF-DD95-445E-9891-68ED33303379}">
      <text>
        <r>
          <rPr>
            <b/>
            <sz val="8"/>
            <color indexed="81"/>
            <rFont val="Tahoma"/>
            <family val="2"/>
          </rPr>
          <t>Thrust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5" authorId="0" shapeId="0" xr:uid="{3D0FDE92-CA45-4331-B3CD-939193267616}">
      <text>
        <r>
          <rPr>
            <b/>
            <sz val="8"/>
            <color indexed="81"/>
            <rFont val="Tahoma"/>
            <family val="2"/>
          </rPr>
          <t>Delivered
impulse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5" authorId="0" shapeId="0" xr:uid="{E96D0BCE-C41D-4C7F-AF4D-0300C163C188}">
      <text>
        <r>
          <rPr>
            <b/>
            <sz val="8"/>
            <color indexed="81"/>
            <rFont val="Tahoma"/>
            <family val="2"/>
          </rPr>
          <t>Mach number at nozzle exit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vq591d</author>
  </authors>
  <commentList>
    <comment ref="C5" authorId="0" shapeId="0" xr:uid="{0E3AEDAD-FF87-4CF7-B6DF-9C528F717F67}">
      <text>
        <r>
          <rPr>
            <b/>
            <sz val="8"/>
            <color indexed="81"/>
            <rFont val="Tahoma"/>
            <family val="2"/>
          </rPr>
          <t>Suggested range: 25-50 degrees, 30 is typical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742C8ED7-B029-4B61-AD40-EFE5283B51B9}">
      <text>
        <r>
          <rPr>
            <b/>
            <sz val="8"/>
            <color indexed="81"/>
            <rFont val="Tahoma"/>
            <family val="2"/>
          </rPr>
          <t>Suggested range: 10-15 degrees, 12 is typical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  Nakka</author>
    <author>Nakka, Richard</author>
  </authors>
  <commentList>
    <comment ref="F8" authorId="0" shapeId="0" xr:uid="{05E8C8FB-3B36-4B02-99B3-938D0639CA96}">
      <text>
        <r>
          <rPr>
            <b/>
            <sz val="8"/>
            <color indexed="81"/>
            <rFont val="Tahoma"/>
            <family val="2"/>
          </rPr>
          <t>Potassium Nitrate/Dextrose
65/35 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" authorId="0" shapeId="0" xr:uid="{E056DED7-F5CE-4244-8748-4E1E69B347BD}">
      <text>
        <r>
          <rPr>
            <b/>
            <sz val="8"/>
            <color indexed="81"/>
            <rFont val="Tahoma"/>
            <family val="2"/>
          </rPr>
          <t>Potassium Nitrate/Sorbitol 65/35 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" authorId="0" shapeId="0" xr:uid="{AEF3CA1A-D7D6-4975-8C0A-D27EA2F80EBE}">
      <text>
        <r>
          <rPr>
            <b/>
            <sz val="8"/>
            <color indexed="81"/>
            <rFont val="Tahoma"/>
            <family val="2"/>
          </rPr>
          <t>Potassium Nitrate/Sucrose 65/35 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 xr:uid="{7C81A1EC-6040-4DAD-A71A-A67D3FB0FF43}">
      <text>
        <r>
          <rPr>
            <b/>
            <sz val="8"/>
            <color indexed="81"/>
            <rFont val="Tahoma"/>
            <family val="2"/>
          </rPr>
          <t>Potassium Nitrate/Erythritol 65/35 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 xr:uid="{FA56CEE9-7004-4440-BA4A-7FD2C94BF366}">
      <text>
        <r>
          <rPr>
            <b/>
            <sz val="8"/>
            <color indexed="81"/>
            <rFont val="Tahoma"/>
            <family val="2"/>
          </rPr>
          <t>Potassium Nitrate/Mannitol 65/35 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8" authorId="1" shapeId="0" xr:uid="{FE1EBE43-150C-4E53-933E-EA2624C5CEF1}">
      <text>
        <r>
          <rPr>
            <sz val="9"/>
            <color indexed="81"/>
            <rFont val="Tahoma"/>
            <family val="2"/>
          </rPr>
          <t>Potassium Nitrate/Fructose
65/35 O/F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45592F3D-407E-4506-8930-9C053AB7B06B}">
      <text>
        <r>
          <rPr>
            <b/>
            <sz val="8"/>
            <color indexed="81"/>
            <rFont val="Tahoma"/>
            <family val="2"/>
          </rPr>
          <t>Potassium Nitrate/Potassium Perchlorate/Sorbitol
35/30/35 O/O/F ratio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  Nakka</author>
  </authors>
  <commentList>
    <comment ref="B5" authorId="0" shapeId="0" xr:uid="{0C137F5C-2CA1-4C0F-ADF3-B3634765E241}">
      <text>
        <r>
          <rPr>
            <b/>
            <sz val="8"/>
            <color indexed="81"/>
            <rFont val="Tahoma"/>
            <family val="2"/>
          </rPr>
          <t>This data was obtained from a series of Strand Burner tests which examined the burn rate at various pressures.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" authorId="0" shapeId="0" xr:uid="{8D1E5D95-A90F-46EA-B56E-DBD5E82D4C53}">
      <text>
        <r>
          <rPr>
            <b/>
            <sz val="8"/>
            <color indexed="81"/>
            <rFont val="Tahoma"/>
            <family val="2"/>
          </rPr>
          <t>This data was obtained from a series of Strand Burner tests which examined burn rate at various pressures.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5" authorId="0" shapeId="0" xr:uid="{25DF67DC-59B2-47D2-AF11-FC171FB4F144}">
      <text>
        <r>
          <rPr>
            <b/>
            <sz val="8"/>
            <color indexed="81"/>
            <rFont val="Tahoma"/>
            <family val="2"/>
          </rPr>
          <t>This data was obtained from a series of Strand Burner tests which examined burn rate at various pressures.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0" shapeId="0" xr:uid="{6120FA0C-7F3C-4CA1-9F1B-326DFEA8E4A2}">
      <text>
        <r>
          <rPr>
            <b/>
            <sz val="8"/>
            <color indexed="81"/>
            <rFont val="Tahoma"/>
            <family val="2"/>
          </rPr>
          <t>This data was obtained from a series of Strand Burner tests which examined burn rate at various pressures.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<sst xmlns="http://schemas.openxmlformats.org/spreadsheetml/2006/main" count="886" uniqueCount="557">
  <si>
    <t>Dc</t>
  </si>
  <si>
    <t>Lc</t>
  </si>
  <si>
    <t>mm</t>
  </si>
  <si>
    <t>Chamber diameter (inside)</t>
  </si>
  <si>
    <t>Chamber length (inside)</t>
  </si>
  <si>
    <t>Propellant grain:</t>
  </si>
  <si>
    <t>Do</t>
  </si>
  <si>
    <t>do</t>
  </si>
  <si>
    <t>Lo</t>
  </si>
  <si>
    <t>Outer diameter (initial)</t>
  </si>
  <si>
    <t>Segment length (initial)</t>
  </si>
  <si>
    <t>N</t>
  </si>
  <si>
    <t>Number of segments</t>
  </si>
  <si>
    <t>Kn</t>
  </si>
  <si>
    <r>
      <t>A</t>
    </r>
    <r>
      <rPr>
        <sz val="8"/>
        <rFont val="Arial"/>
        <family val="2"/>
      </rPr>
      <t>bo</t>
    </r>
  </si>
  <si>
    <r>
      <t>mm</t>
    </r>
    <r>
      <rPr>
        <vertAlign val="superscript"/>
        <sz val="10"/>
        <rFont val="Arial"/>
        <family val="2"/>
      </rPr>
      <t>2</t>
    </r>
  </si>
  <si>
    <t xml:space="preserve">e </t>
  </si>
  <si>
    <t>Core diameter (initial)</t>
  </si>
  <si>
    <r>
      <t>A</t>
    </r>
    <r>
      <rPr>
        <sz val="8"/>
        <rFont val="Arial"/>
        <family val="2"/>
      </rPr>
      <t>be</t>
    </r>
  </si>
  <si>
    <r>
      <t>A</t>
    </r>
    <r>
      <rPr>
        <sz val="8"/>
        <rFont val="Arial"/>
        <family val="2"/>
      </rPr>
      <t>bc</t>
    </r>
  </si>
  <si>
    <r>
      <t>A</t>
    </r>
    <r>
      <rPr>
        <sz val="8"/>
        <rFont val="Arial"/>
        <family val="2"/>
      </rPr>
      <t>bs</t>
    </r>
  </si>
  <si>
    <t>Outer surface:</t>
  </si>
  <si>
    <t>Vc</t>
  </si>
  <si>
    <r>
      <t>mm</t>
    </r>
    <r>
      <rPr>
        <vertAlign val="superscript"/>
        <sz val="10"/>
        <rFont val="Arial"/>
        <family val="2"/>
      </rPr>
      <t>3</t>
    </r>
  </si>
  <si>
    <t>Chamber volume (empty)</t>
  </si>
  <si>
    <r>
      <t xml:space="preserve">r </t>
    </r>
    <r>
      <rPr>
        <sz val="8"/>
        <rFont val="Arial"/>
        <family val="2"/>
      </rPr>
      <t>grain</t>
    </r>
  </si>
  <si>
    <r>
      <t xml:space="preserve">m </t>
    </r>
    <r>
      <rPr>
        <sz val="8"/>
        <rFont val="Arial"/>
        <family val="2"/>
      </rPr>
      <t>grain</t>
    </r>
  </si>
  <si>
    <r>
      <t>g/cm</t>
    </r>
    <r>
      <rPr>
        <vertAlign val="superscript"/>
        <sz val="10"/>
        <rFont val="Arial"/>
        <family val="2"/>
      </rPr>
      <t>3</t>
    </r>
  </si>
  <si>
    <t>kg.</t>
  </si>
  <si>
    <r>
      <t xml:space="preserve">r </t>
    </r>
    <r>
      <rPr>
        <sz val="8"/>
        <rFont val="Arial"/>
        <family val="2"/>
      </rPr>
      <t>p</t>
    </r>
  </si>
  <si>
    <r>
      <t>Lg</t>
    </r>
    <r>
      <rPr>
        <sz val="8"/>
        <rFont val="Arial"/>
        <family val="2"/>
      </rPr>
      <t>o</t>
    </r>
  </si>
  <si>
    <t>Vg</t>
  </si>
  <si>
    <t>Grain length (initial)</t>
  </si>
  <si>
    <t>Grain volume (initial)</t>
  </si>
  <si>
    <t>Grain mass (initial)</t>
  </si>
  <si>
    <t>Motor chamber:</t>
  </si>
  <si>
    <t xml:space="preserve">mm </t>
  </si>
  <si>
    <t>Throat cross-section area (initial)</t>
  </si>
  <si>
    <t>End burning area (initial)</t>
  </si>
  <si>
    <t>Core burning area (initial)</t>
  </si>
  <si>
    <t>Outer surface burning area (initial)</t>
  </si>
  <si>
    <t>Total burning area (initial)</t>
  </si>
  <si>
    <t>Throat diameter (final)</t>
  </si>
  <si>
    <r>
      <t>Dt</t>
    </r>
    <r>
      <rPr>
        <sz val="8"/>
        <rFont val="Arial"/>
        <family val="2"/>
      </rPr>
      <t>f</t>
    </r>
  </si>
  <si>
    <t>Interval</t>
  </si>
  <si>
    <t>d</t>
  </si>
  <si>
    <t>L</t>
  </si>
  <si>
    <t>x</t>
  </si>
  <si>
    <r>
      <t>t</t>
    </r>
    <r>
      <rPr>
        <sz val="8"/>
        <rFont val="Arial"/>
        <family val="2"/>
      </rPr>
      <t>web</t>
    </r>
  </si>
  <si>
    <r>
      <t>A</t>
    </r>
    <r>
      <rPr>
        <sz val="8"/>
        <rFont val="Arial"/>
        <family val="2"/>
      </rPr>
      <t>beo</t>
    </r>
  </si>
  <si>
    <r>
      <t>A</t>
    </r>
    <r>
      <rPr>
        <sz val="8"/>
        <rFont val="Arial"/>
        <family val="2"/>
      </rPr>
      <t>bco</t>
    </r>
  </si>
  <si>
    <r>
      <t>A</t>
    </r>
    <r>
      <rPr>
        <sz val="8"/>
        <rFont val="Arial"/>
        <family val="2"/>
      </rPr>
      <t>bso</t>
    </r>
  </si>
  <si>
    <r>
      <t>A</t>
    </r>
    <r>
      <rPr>
        <sz val="8"/>
        <rFont val="Arial"/>
        <family val="2"/>
      </rPr>
      <t>b</t>
    </r>
    <r>
      <rPr>
        <sz val="10"/>
        <rFont val="Arial"/>
      </rPr>
      <t xml:space="preserve"> </t>
    </r>
    <r>
      <rPr>
        <sz val="8"/>
        <rFont val="Arial"/>
        <family val="2"/>
      </rPr>
      <t>total</t>
    </r>
  </si>
  <si>
    <t>D</t>
  </si>
  <si>
    <r>
      <t>A</t>
    </r>
    <r>
      <rPr>
        <sz val="8"/>
        <rFont val="Arial"/>
        <family val="2"/>
      </rPr>
      <t>t</t>
    </r>
    <r>
      <rPr>
        <sz val="10"/>
        <rFont val="Arial"/>
      </rPr>
      <t xml:space="preserve"> </t>
    </r>
  </si>
  <si>
    <r>
      <t>A</t>
    </r>
    <r>
      <rPr>
        <sz val="8"/>
        <rFont val="Arial"/>
        <family val="2"/>
      </rPr>
      <t>e</t>
    </r>
    <r>
      <rPr>
        <sz val="10"/>
        <rFont val="Arial"/>
      </rPr>
      <t>/A</t>
    </r>
    <r>
      <rPr>
        <sz val="8"/>
        <rFont val="Arial"/>
        <family val="2"/>
      </rPr>
      <t>t</t>
    </r>
  </si>
  <si>
    <r>
      <t xml:space="preserve">Kn </t>
    </r>
    <r>
      <rPr>
        <sz val="8"/>
        <color indexed="10"/>
        <rFont val="Arial"/>
        <family val="2"/>
      </rPr>
      <t>max</t>
    </r>
  </si>
  <si>
    <r>
      <t xml:space="preserve">Kn </t>
    </r>
    <r>
      <rPr>
        <sz val="8"/>
        <color indexed="10"/>
        <rFont val="Arial"/>
        <family val="2"/>
      </rPr>
      <t>min</t>
    </r>
  </si>
  <si>
    <r>
      <t xml:space="preserve">Kn </t>
    </r>
    <r>
      <rPr>
        <sz val="8"/>
        <color indexed="10"/>
        <rFont val="Arial"/>
        <family val="2"/>
      </rPr>
      <t>avg</t>
    </r>
  </si>
  <si>
    <t>Rocket Motor Classification</t>
  </si>
  <si>
    <t>Class</t>
  </si>
  <si>
    <t>Total Impulse</t>
  </si>
  <si>
    <t>(Newton-sec.)</t>
  </si>
  <si>
    <t>A</t>
  </si>
  <si>
    <t>-</t>
  </si>
  <si>
    <t>B</t>
  </si>
  <si>
    <t>C</t>
  </si>
  <si>
    <t>E</t>
  </si>
  <si>
    <t>F</t>
  </si>
  <si>
    <t>G</t>
  </si>
  <si>
    <t>H</t>
  </si>
  <si>
    <t>I</t>
  </si>
  <si>
    <t>J</t>
  </si>
  <si>
    <t>K</t>
  </si>
  <si>
    <t>M</t>
  </si>
  <si>
    <t>O</t>
  </si>
  <si>
    <t>P</t>
  </si>
  <si>
    <t>Q</t>
  </si>
  <si>
    <t>xi</t>
  </si>
  <si>
    <t>tweb</t>
  </si>
  <si>
    <t>a</t>
  </si>
  <si>
    <t>n</t>
  </si>
  <si>
    <t>Pressure, psia</t>
  </si>
  <si>
    <t>psi, in/sec</t>
  </si>
  <si>
    <t>Pressure, Mpa</t>
  </si>
  <si>
    <t>Mpa, mm/sec</t>
  </si>
  <si>
    <t>to</t>
  </si>
  <si>
    <t>Mpa</t>
  </si>
  <si>
    <t>r</t>
  </si>
  <si>
    <t>mm/s.</t>
  </si>
  <si>
    <t>t</t>
  </si>
  <si>
    <t>s.</t>
  </si>
  <si>
    <r>
      <t>A</t>
    </r>
    <r>
      <rPr>
        <sz val="7"/>
        <rFont val="Arial"/>
        <family val="2"/>
      </rPr>
      <t>DUCT</t>
    </r>
  </si>
  <si>
    <r>
      <t>k</t>
    </r>
    <r>
      <rPr>
        <sz val="8"/>
        <rFont val="Arial"/>
        <family val="2"/>
      </rPr>
      <t>v</t>
    </r>
  </si>
  <si>
    <t>G*</t>
  </si>
  <si>
    <r>
      <t>m</t>
    </r>
    <r>
      <rPr>
        <vertAlign val="subscript"/>
        <sz val="9"/>
        <rFont val="Arial"/>
        <family val="2"/>
      </rPr>
      <t xml:space="preserve"> </t>
    </r>
    <r>
      <rPr>
        <vertAlign val="subscript"/>
        <sz val="10"/>
        <rFont val="Arial"/>
        <family val="2"/>
      </rPr>
      <t>GRAIN</t>
    </r>
  </si>
  <si>
    <t>A*</t>
  </si>
  <si>
    <r>
      <t>m</t>
    </r>
    <r>
      <rPr>
        <vertAlign val="superscript"/>
        <sz val="10"/>
        <rFont val="Arial"/>
        <family val="2"/>
      </rPr>
      <t>2</t>
    </r>
  </si>
  <si>
    <t>At</t>
  </si>
  <si>
    <r>
      <t>A</t>
    </r>
    <r>
      <rPr>
        <sz val="7"/>
        <rFont val="Arial"/>
        <family val="2"/>
      </rPr>
      <t xml:space="preserve">DUCT </t>
    </r>
    <r>
      <rPr>
        <sz val="10"/>
        <rFont val="Arial"/>
      </rPr>
      <t>/A</t>
    </r>
    <r>
      <rPr>
        <sz val="8"/>
        <rFont val="Arial"/>
        <family val="2"/>
      </rPr>
      <t>t</t>
    </r>
  </si>
  <si>
    <r>
      <t xml:space="preserve">V </t>
    </r>
    <r>
      <rPr>
        <sz val="7"/>
        <rFont val="Arial"/>
        <family val="2"/>
      </rPr>
      <t>GRAIN</t>
    </r>
  </si>
  <si>
    <r>
      <t xml:space="preserve">V </t>
    </r>
    <r>
      <rPr>
        <sz val="7"/>
        <rFont val="Arial"/>
        <family val="2"/>
      </rPr>
      <t>FREE</t>
    </r>
  </si>
  <si>
    <r>
      <t>m</t>
    </r>
    <r>
      <rPr>
        <vertAlign val="superscript"/>
        <sz val="10"/>
        <rFont val="Arial"/>
        <family val="2"/>
      </rPr>
      <t>3</t>
    </r>
  </si>
  <si>
    <t>kg/s</t>
  </si>
  <si>
    <t>kg</t>
  </si>
  <si>
    <r>
      <t>m</t>
    </r>
    <r>
      <rPr>
        <vertAlign val="subscript"/>
        <sz val="9"/>
        <rFont val="Arial"/>
        <family val="2"/>
      </rPr>
      <t xml:space="preserve"> </t>
    </r>
    <r>
      <rPr>
        <vertAlign val="subscript"/>
        <sz val="10"/>
        <rFont val="Arial"/>
        <family val="2"/>
      </rPr>
      <t>GEN</t>
    </r>
  </si>
  <si>
    <r>
      <t>m</t>
    </r>
    <r>
      <rPr>
        <vertAlign val="subscript"/>
        <sz val="9"/>
        <rFont val="Arial"/>
        <family val="2"/>
      </rPr>
      <t xml:space="preserve"> </t>
    </r>
    <r>
      <rPr>
        <vertAlign val="subscript"/>
        <sz val="10"/>
        <rFont val="Arial"/>
        <family val="2"/>
      </rPr>
      <t>NOZ</t>
    </r>
  </si>
  <si>
    <r>
      <t>m</t>
    </r>
    <r>
      <rPr>
        <vertAlign val="subscript"/>
        <sz val="9"/>
        <rFont val="Arial"/>
        <family val="2"/>
      </rPr>
      <t xml:space="preserve"> </t>
    </r>
    <r>
      <rPr>
        <vertAlign val="subscript"/>
        <sz val="10"/>
        <rFont val="Arial"/>
        <family val="2"/>
      </rPr>
      <t>STO</t>
    </r>
  </si>
  <si>
    <r>
      <t>mass</t>
    </r>
    <r>
      <rPr>
        <vertAlign val="subscript"/>
        <sz val="9"/>
        <rFont val="Arial"/>
        <family val="2"/>
      </rPr>
      <t xml:space="preserve"> </t>
    </r>
    <r>
      <rPr>
        <vertAlign val="subscript"/>
        <sz val="10"/>
        <rFont val="Arial"/>
        <family val="2"/>
      </rPr>
      <t>STO</t>
    </r>
  </si>
  <si>
    <r>
      <t>Mpa</t>
    </r>
    <r>
      <rPr>
        <sz val="8"/>
        <rFont val="Arial"/>
        <family val="2"/>
      </rPr>
      <t xml:space="preserve"> (abs)</t>
    </r>
  </si>
  <si>
    <t>k</t>
  </si>
  <si>
    <t>Propellant type</t>
  </si>
  <si>
    <t>R</t>
  </si>
  <si>
    <t>R'</t>
  </si>
  <si>
    <t>J/mol-K</t>
  </si>
  <si>
    <t>kg/kmol</t>
  </si>
  <si>
    <t>J/kg-K</t>
  </si>
  <si>
    <t>To</t>
  </si>
  <si>
    <r>
      <t>h</t>
    </r>
    <r>
      <rPr>
        <sz val="9"/>
        <rFont val="Arial"/>
        <family val="2"/>
      </rPr>
      <t>c</t>
    </r>
  </si>
  <si>
    <t>Combustion efficiency</t>
  </si>
  <si>
    <t>Chamber temperature</t>
  </si>
  <si>
    <t>Effective molecular wt.</t>
  </si>
  <si>
    <t>Universal gas constant</t>
  </si>
  <si>
    <r>
      <t>To</t>
    </r>
    <r>
      <rPr>
        <sz val="8"/>
        <rFont val="Arial"/>
        <family val="2"/>
      </rPr>
      <t xml:space="preserve"> act</t>
    </r>
  </si>
  <si>
    <t>Ideal combustion temperature</t>
  </si>
  <si>
    <t>Actual chamber temperature</t>
  </si>
  <si>
    <r>
      <t>P</t>
    </r>
    <r>
      <rPr>
        <sz val="8"/>
        <rFont val="Arial"/>
        <family val="2"/>
      </rPr>
      <t>atm</t>
    </r>
  </si>
  <si>
    <t>MPa</t>
  </si>
  <si>
    <t>Ambient pressure</t>
  </si>
  <si>
    <t>Specific gas constant</t>
  </si>
  <si>
    <r>
      <t xml:space="preserve">r </t>
    </r>
    <r>
      <rPr>
        <sz val="8"/>
        <rFont val="Arial"/>
        <family val="2"/>
      </rPr>
      <t>prod</t>
    </r>
  </si>
  <si>
    <r>
      <t>kg/m</t>
    </r>
    <r>
      <rPr>
        <vertAlign val="superscript"/>
        <sz val="10"/>
        <rFont val="Arial"/>
        <family val="2"/>
      </rPr>
      <t>3</t>
    </r>
  </si>
  <si>
    <t>Grain ideal density</t>
  </si>
  <si>
    <t>Density ratio (actual/ideal)</t>
  </si>
  <si>
    <t>Grain actual density</t>
  </si>
  <si>
    <t>Propellant &amp; combustion products physical/thermochemical properties</t>
  </si>
  <si>
    <t>symb.</t>
  </si>
  <si>
    <t>units</t>
  </si>
  <si>
    <t>notes</t>
  </si>
  <si>
    <t>[2]</t>
  </si>
  <si>
    <t>[3]</t>
  </si>
  <si>
    <t>[4]</t>
  </si>
  <si>
    <t>[1]</t>
  </si>
  <si>
    <t>Propellant erosive burning velocity coefficient</t>
  </si>
  <si>
    <t>Propellant erosive burning area ratio threshold</t>
  </si>
  <si>
    <r>
      <t>x</t>
    </r>
    <r>
      <rPr>
        <sz val="8"/>
        <color indexed="23"/>
        <rFont val="Arial"/>
        <family val="2"/>
      </rPr>
      <t>inc</t>
    </r>
  </si>
  <si>
    <t>Rocket Motor chamber pressure</t>
  </si>
  <si>
    <r>
      <t>t</t>
    </r>
    <r>
      <rPr>
        <sz val="8"/>
        <color indexed="53"/>
        <rFont val="Arial"/>
        <family val="2"/>
      </rPr>
      <t xml:space="preserve">webo </t>
    </r>
    <r>
      <rPr>
        <sz val="10"/>
        <color indexed="53"/>
        <rFont val="Arial"/>
        <family val="2"/>
      </rPr>
      <t>-t</t>
    </r>
    <r>
      <rPr>
        <sz val="8"/>
        <color indexed="53"/>
        <rFont val="Arial"/>
        <family val="2"/>
      </rPr>
      <t>webf</t>
    </r>
    <r>
      <rPr>
        <sz val="10"/>
        <color indexed="53"/>
        <rFont val="Arial"/>
        <family val="2"/>
      </rPr>
      <t xml:space="preserve"> =</t>
    </r>
  </si>
  <si>
    <t>c*</t>
  </si>
  <si>
    <t>Characteristic exhaust velocity</t>
  </si>
  <si>
    <t>m/s</t>
  </si>
  <si>
    <t>Percent of Pmax:</t>
  </si>
  <si>
    <t>Pfinal =</t>
  </si>
  <si>
    <t>Pmax=</t>
  </si>
  <si>
    <r>
      <t>D</t>
    </r>
    <r>
      <rPr>
        <sz val="10"/>
        <rFont val="Arial"/>
      </rPr>
      <t>P =</t>
    </r>
  </si>
  <si>
    <t>tbinc =</t>
  </si>
  <si>
    <r>
      <t>P</t>
    </r>
    <r>
      <rPr>
        <sz val="8"/>
        <color indexed="10"/>
        <rFont val="Arial"/>
        <family val="2"/>
      </rPr>
      <t>max</t>
    </r>
    <r>
      <rPr>
        <sz val="10"/>
        <color indexed="10"/>
        <rFont val="Arial"/>
        <family val="2"/>
      </rPr>
      <t xml:space="preserve"> =</t>
    </r>
  </si>
  <si>
    <r>
      <t xml:space="preserve">t </t>
    </r>
    <r>
      <rPr>
        <sz val="8"/>
        <color indexed="10"/>
        <rFont val="Arial"/>
        <family val="2"/>
      </rPr>
      <t>burn</t>
    </r>
    <r>
      <rPr>
        <sz val="10"/>
        <color indexed="10"/>
        <rFont val="Arial"/>
        <family val="2"/>
      </rPr>
      <t xml:space="preserve"> =</t>
    </r>
  </si>
  <si>
    <r>
      <t xml:space="preserve">t </t>
    </r>
    <r>
      <rPr>
        <sz val="8"/>
        <color indexed="10"/>
        <rFont val="Arial"/>
        <family val="2"/>
      </rPr>
      <t>thrust</t>
    </r>
    <r>
      <rPr>
        <sz val="10"/>
        <color indexed="10"/>
        <rFont val="Arial"/>
        <family val="2"/>
      </rPr>
      <t xml:space="preserve"> =</t>
    </r>
  </si>
  <si>
    <r>
      <t>Pa</t>
    </r>
    <r>
      <rPr>
        <sz val="8"/>
        <rFont val="Arial"/>
        <family val="2"/>
      </rPr>
      <t xml:space="preserve"> (abs)</t>
    </r>
  </si>
  <si>
    <r>
      <t>MPa</t>
    </r>
    <r>
      <rPr>
        <sz val="8"/>
        <rFont val="Arial"/>
        <family val="2"/>
      </rPr>
      <t xml:space="preserve"> (abs)</t>
    </r>
  </si>
  <si>
    <r>
      <t>Mpa</t>
    </r>
    <r>
      <rPr>
        <sz val="8"/>
        <rFont val="Arial"/>
        <family val="2"/>
      </rPr>
      <t xml:space="preserve"> (gage)</t>
    </r>
  </si>
  <si>
    <t>psig</t>
  </si>
  <si>
    <t>Pe</t>
  </si>
  <si>
    <t>Pa (abs)</t>
  </si>
  <si>
    <r>
      <t>A</t>
    </r>
    <r>
      <rPr>
        <sz val="8"/>
        <rFont val="Arial"/>
        <family val="2"/>
      </rPr>
      <t>e</t>
    </r>
    <r>
      <rPr>
        <sz val="10"/>
        <rFont val="Arial"/>
      </rPr>
      <t/>
    </r>
  </si>
  <si>
    <t>Nozzle exit cross-section area</t>
  </si>
  <si>
    <r>
      <t>A</t>
    </r>
    <r>
      <rPr>
        <sz val="8"/>
        <rFont val="Arial"/>
        <family val="2"/>
      </rPr>
      <t>e</t>
    </r>
    <r>
      <rPr>
        <sz val="10"/>
        <rFont val="Arial"/>
      </rPr>
      <t>/A</t>
    </r>
    <r>
      <rPr>
        <sz val="8"/>
        <rFont val="Arial"/>
        <family val="2"/>
      </rPr>
      <t>t opt</t>
    </r>
  </si>
  <si>
    <t>N.</t>
  </si>
  <si>
    <t>sec.</t>
  </si>
  <si>
    <r>
      <t>Optimum Nozzle expansion ratio at P</t>
    </r>
    <r>
      <rPr>
        <sz val="8"/>
        <rFont val="Arial"/>
        <family val="2"/>
      </rPr>
      <t>o max</t>
    </r>
  </si>
  <si>
    <r>
      <t>C</t>
    </r>
    <r>
      <rPr>
        <sz val="8"/>
        <rFont val="Arial"/>
        <family val="2"/>
      </rPr>
      <t>Fmax</t>
    </r>
  </si>
  <si>
    <t>Thrust coefficient, maximum</t>
  </si>
  <si>
    <r>
      <t xml:space="preserve">I </t>
    </r>
    <r>
      <rPr>
        <sz val="8"/>
        <rFont val="Arial"/>
        <family val="2"/>
      </rPr>
      <t>t</t>
    </r>
  </si>
  <si>
    <t>N-sec.</t>
  </si>
  <si>
    <t>Maximum thrust</t>
  </si>
  <si>
    <t>Total impulse</t>
  </si>
  <si>
    <r>
      <t xml:space="preserve">h </t>
    </r>
    <r>
      <rPr>
        <sz val="8"/>
        <rFont val="Arial"/>
        <family val="2"/>
      </rPr>
      <t>noz</t>
    </r>
  </si>
  <si>
    <t>Nozzle  efficiency</t>
  </si>
  <si>
    <r>
      <t>C</t>
    </r>
    <r>
      <rPr>
        <sz val="7"/>
        <rFont val="Arial"/>
        <family val="2"/>
      </rPr>
      <t xml:space="preserve">F </t>
    </r>
    <r>
      <rPr>
        <sz val="10"/>
        <rFont val="symbol"/>
        <family val="1"/>
        <charset val="2"/>
      </rPr>
      <t>*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h</t>
    </r>
    <r>
      <rPr>
        <sz val="8"/>
        <rFont val="Arial"/>
        <family val="2"/>
      </rPr>
      <t>noz</t>
    </r>
  </si>
  <si>
    <t>Specific impulse, delivered</t>
  </si>
  <si>
    <t>Class:</t>
  </si>
  <si>
    <t>Motor classification</t>
  </si>
  <si>
    <t>Rocket Motor Performance</t>
  </si>
  <si>
    <r>
      <t>lb</t>
    </r>
    <r>
      <rPr>
        <sz val="8"/>
        <rFont val="Arial"/>
        <family val="2"/>
      </rPr>
      <t>f</t>
    </r>
  </si>
  <si>
    <r>
      <t xml:space="preserve">F </t>
    </r>
    <r>
      <rPr>
        <sz val="8"/>
        <color indexed="10"/>
        <rFont val="Arial"/>
        <family val="2"/>
      </rPr>
      <t>max</t>
    </r>
    <r>
      <rPr>
        <sz val="10"/>
        <color indexed="10"/>
        <rFont val="Arial"/>
        <family val="2"/>
      </rPr>
      <t xml:space="preserve"> =</t>
    </r>
  </si>
  <si>
    <r>
      <t xml:space="preserve">F </t>
    </r>
    <r>
      <rPr>
        <sz val="8"/>
        <color indexed="10"/>
        <rFont val="Arial"/>
        <family val="2"/>
      </rPr>
      <t>avg</t>
    </r>
    <r>
      <rPr>
        <sz val="10"/>
        <color indexed="10"/>
        <rFont val="Arial"/>
        <family val="2"/>
      </rPr>
      <t xml:space="preserve"> =</t>
    </r>
  </si>
  <si>
    <r>
      <t>lb</t>
    </r>
    <r>
      <rPr>
        <sz val="8"/>
        <color indexed="10"/>
        <rFont val="Arial"/>
        <family val="2"/>
      </rPr>
      <t>f</t>
    </r>
  </si>
  <si>
    <t>Avg. optimum nozzle expansion ratio</t>
  </si>
  <si>
    <t>psi</t>
  </si>
  <si>
    <t xml:space="preserve"> Written by:</t>
  </si>
  <si>
    <t xml:space="preserve"> Version:</t>
  </si>
  <si>
    <t xml:space="preserve"> Date:</t>
  </si>
  <si>
    <t>Introduction</t>
  </si>
  <si>
    <r>
      <t xml:space="preserve">F </t>
    </r>
    <r>
      <rPr>
        <sz val="8"/>
        <color indexed="10"/>
        <rFont val="Arial"/>
        <family val="2"/>
      </rPr>
      <t>max</t>
    </r>
  </si>
  <si>
    <r>
      <t>I</t>
    </r>
    <r>
      <rPr>
        <sz val="10"/>
        <color indexed="10"/>
        <rFont val="Arial"/>
        <family val="2"/>
      </rPr>
      <t xml:space="preserve"> </t>
    </r>
    <r>
      <rPr>
        <sz val="8"/>
        <color indexed="10"/>
        <rFont val="Arial"/>
        <family val="2"/>
      </rPr>
      <t>t</t>
    </r>
  </si>
  <si>
    <r>
      <t>I</t>
    </r>
    <r>
      <rPr>
        <sz val="8"/>
        <color indexed="10"/>
        <rFont val="Arial"/>
        <family val="2"/>
      </rPr>
      <t>sp</t>
    </r>
  </si>
  <si>
    <t>Effective molecular wt.of products</t>
  </si>
  <si>
    <r>
      <t>Basic Data and K</t>
    </r>
    <r>
      <rPr>
        <b/>
        <u/>
        <sz val="8"/>
        <color indexed="16"/>
        <rFont val="Arial"/>
        <family val="2"/>
      </rPr>
      <t>n</t>
    </r>
    <r>
      <rPr>
        <b/>
        <u/>
        <sz val="10"/>
        <color indexed="16"/>
        <rFont val="Arial"/>
        <family val="2"/>
      </rPr>
      <t xml:space="preserve"> Calculation</t>
    </r>
  </si>
  <si>
    <t>Propellant Data</t>
  </si>
  <si>
    <t>Propellant Burn Rate Empirical Data</t>
  </si>
  <si>
    <t>Po</t>
  </si>
  <si>
    <t>Title:</t>
  </si>
  <si>
    <r>
      <t>D</t>
    </r>
    <r>
      <rPr>
        <sz val="8"/>
        <rFont val="Arial"/>
        <family val="2"/>
      </rPr>
      <t>e</t>
    </r>
  </si>
  <si>
    <t>Nozzle exit diameter</t>
  </si>
  <si>
    <t>Pburst =</t>
  </si>
  <si>
    <t>MPa.</t>
  </si>
  <si>
    <t>inch -&gt;</t>
  </si>
  <si>
    <t>mm.</t>
  </si>
  <si>
    <t>cm.</t>
  </si>
  <si>
    <r>
      <t>lb(</t>
    </r>
    <r>
      <rPr>
        <sz val="8"/>
        <rFont val="Arial"/>
        <family val="2"/>
      </rPr>
      <t>mass)</t>
    </r>
    <r>
      <rPr>
        <sz val="10"/>
        <rFont val="Arial"/>
      </rPr>
      <t xml:space="preserve"> -&gt;</t>
    </r>
  </si>
  <si>
    <r>
      <t>lb(</t>
    </r>
    <r>
      <rPr>
        <sz val="8"/>
        <rFont val="Arial"/>
        <family val="2"/>
      </rPr>
      <t>force)</t>
    </r>
    <r>
      <rPr>
        <sz val="10"/>
        <rFont val="Arial"/>
      </rPr>
      <t xml:space="preserve"> -&gt;</t>
    </r>
  </si>
  <si>
    <r>
      <t>lb/in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-&gt;</t>
    </r>
  </si>
  <si>
    <t>Length</t>
  </si>
  <si>
    <t>Mass</t>
  </si>
  <si>
    <t>Force</t>
  </si>
  <si>
    <t>Density</t>
  </si>
  <si>
    <t>Pressure</t>
  </si>
  <si>
    <r>
      <t>lb/in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-&gt;</t>
    </r>
  </si>
  <si>
    <t>Area</t>
  </si>
  <si>
    <r>
      <t>in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-&gt;</t>
    </r>
  </si>
  <si>
    <r>
      <t>mm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-&gt;</t>
    </r>
  </si>
  <si>
    <r>
      <t>g/cm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-&gt;</t>
    </r>
  </si>
  <si>
    <t>Impulse</t>
  </si>
  <si>
    <t>lb-sec -&gt;</t>
  </si>
  <si>
    <t>Temperature</t>
  </si>
  <si>
    <t>R. -&gt;</t>
  </si>
  <si>
    <t>K.</t>
  </si>
  <si>
    <t>Abs. temperature</t>
  </si>
  <si>
    <t>deg.F. -&gt;</t>
  </si>
  <si>
    <t>deg.C.</t>
  </si>
  <si>
    <t>English -&gt; Metric Converter</t>
  </si>
  <si>
    <t>Metric -&gt; English Converter</t>
  </si>
  <si>
    <t>inch</t>
  </si>
  <si>
    <t xml:space="preserve">inch </t>
  </si>
  <si>
    <r>
      <t>lb(</t>
    </r>
    <r>
      <rPr>
        <sz val="8"/>
        <rFont val="Arial"/>
        <family val="2"/>
      </rPr>
      <t>mass)</t>
    </r>
  </si>
  <si>
    <r>
      <t>lb(</t>
    </r>
    <r>
      <rPr>
        <sz val="8"/>
        <rFont val="Arial"/>
        <family val="2"/>
      </rPr>
      <t>force)</t>
    </r>
  </si>
  <si>
    <r>
      <t>lb/in</t>
    </r>
    <r>
      <rPr>
        <vertAlign val="superscript"/>
        <sz val="10"/>
        <rFont val="Arial"/>
        <family val="2"/>
      </rPr>
      <t>3</t>
    </r>
  </si>
  <si>
    <r>
      <t>lb/in</t>
    </r>
    <r>
      <rPr>
        <vertAlign val="superscript"/>
        <sz val="10"/>
        <rFont val="Arial"/>
        <family val="2"/>
      </rPr>
      <t>2</t>
    </r>
  </si>
  <si>
    <r>
      <t>in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</t>
    </r>
  </si>
  <si>
    <t>lb-sec</t>
  </si>
  <si>
    <t>deg.F.</t>
  </si>
  <si>
    <t>R.</t>
  </si>
  <si>
    <t>mm. -&gt;</t>
  </si>
  <si>
    <t>cm. -&gt;</t>
  </si>
  <si>
    <t>kg. -&gt;</t>
  </si>
  <si>
    <t>N. -&gt;</t>
  </si>
  <si>
    <t>MPa. -&gt;</t>
  </si>
  <si>
    <t>N-sec. -&gt;</t>
  </si>
  <si>
    <t>deg.C.-&gt;</t>
  </si>
  <si>
    <t>K. -&gt;</t>
  </si>
  <si>
    <r>
      <t>g/cm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</t>
    </r>
  </si>
  <si>
    <r>
      <t>mm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</t>
    </r>
  </si>
  <si>
    <t>Kn Table</t>
  </si>
  <si>
    <r>
      <t>&lt;=</t>
    </r>
    <r>
      <rPr>
        <b/>
        <i/>
        <sz val="9"/>
        <rFont val="Arial"/>
        <family val="2"/>
      </rPr>
      <t>Note: In case of non-convergence to zero, change value in this cell to a small "seed" value (e.g. .01)</t>
    </r>
  </si>
  <si>
    <t>of actual performance difficult, it was felt that a reasonably close approximation</t>
  </si>
  <si>
    <t>to expected performance would be attainable, and be very useful for design purposes.</t>
  </si>
  <si>
    <t>In particular, erosive burning is difficult to model. This spreadsheet uses a simple</t>
  </si>
  <si>
    <t>Pressure and performance predictions are based upon standard thermodynamic</t>
  </si>
  <si>
    <t>relate propellant burn rate to pressure. These parameters (a,n) are provided for</t>
  </si>
  <si>
    <t>To provide guidance in use of this spreadsheet, and to clarify various terms,</t>
  </si>
  <si>
    <t>"pop up" text boxes will appear over cells with a red corner flag. These may be</t>
  </si>
  <si>
    <t>(including BATES). Any number of segments may be specified. The user can also</t>
  </si>
  <si>
    <t>specify which surfaces are to be inhibited from burning (if any).</t>
  </si>
  <si>
    <t>Please forward any comments, suggestions, or notice of problems to the author:</t>
  </si>
  <si>
    <t xml:space="preserve">and fluid flow equations, in conjunction with empirically obtained parameters that </t>
  </si>
  <si>
    <t>Note that this spreadsheet is solely intended for hollow-cylindrical propellant grains</t>
  </si>
  <si>
    <t>Richard A.Nakka</t>
  </si>
  <si>
    <t>utilizing KNDX propellant.</t>
  </si>
  <si>
    <t>The two most significant factors that will affect the actual (delivered) performance</t>
  </si>
  <si>
    <r>
      <t xml:space="preserve">compared to predicted are </t>
    </r>
    <r>
      <rPr>
        <i/>
        <sz val="10"/>
        <rFont val="Arial"/>
        <family val="2"/>
      </rPr>
      <t>propellant preparation</t>
    </r>
    <r>
      <rPr>
        <sz val="10"/>
        <rFont val="Arial"/>
      </rPr>
      <t xml:space="preserve"> and </t>
    </r>
    <r>
      <rPr>
        <i/>
        <sz val="10"/>
        <rFont val="Arial"/>
        <family val="2"/>
      </rPr>
      <t>nozzle construction</t>
    </r>
    <r>
      <rPr>
        <sz val="10"/>
        <rFont val="Arial"/>
      </rPr>
      <t>. Propellant</t>
    </r>
  </si>
  <si>
    <t>preparation affects the burn rate characteristics and combustion efficiency. Care must</t>
  </si>
  <si>
    <t>be taken to have propellant constituents well-blended and of consistent oxidizer particle</t>
  </si>
  <si>
    <t>erosive burning model, intended more for contemplative purpose than actual prediction.</t>
  </si>
  <si>
    <t>Blending time (powdered) 1hr/100g. typical</t>
  </si>
  <si>
    <t xml:space="preserve">Nozzle erosion    </t>
  </si>
  <si>
    <t>ignition of the propellant occurs on all surfaces immediately and simultaneously. As</t>
  </si>
  <si>
    <t>well, burnout of the propellant is assumed to occur instantaneously. In reality, burning</t>
  </si>
  <si>
    <t>would normally initiate on those surfaces directly exposed to the ignition flame only,</t>
  </si>
  <si>
    <t>and as the chamber pressure rises, ignition occurs then on the remaining exposed</t>
  </si>
  <si>
    <t>propellant surfaces. The net affect is that the actual pressure rise and tail-off occur</t>
  </si>
  <si>
    <t>less rapidly than predicted, resulting in a more "rounded" shape to the pressure/time</t>
  </si>
  <si>
    <t>Ae/At</t>
  </si>
  <si>
    <t>Nozzle expansion ratio (initial)</t>
  </si>
  <si>
    <t>Mach No. at nozzle exit (initial)</t>
  </si>
  <si>
    <t>Mach No. at nozzle exit (final)</t>
  </si>
  <si>
    <r>
      <t>M</t>
    </r>
    <r>
      <rPr>
        <sz val="8"/>
        <rFont val="Arial"/>
        <family val="2"/>
      </rPr>
      <t>eo</t>
    </r>
  </si>
  <si>
    <r>
      <t>A</t>
    </r>
    <r>
      <rPr>
        <sz val="8"/>
        <rFont val="Arial"/>
        <family val="2"/>
      </rPr>
      <t>to</t>
    </r>
  </si>
  <si>
    <r>
      <t>M</t>
    </r>
    <r>
      <rPr>
        <sz val="8"/>
        <rFont val="Arial"/>
        <family val="2"/>
      </rPr>
      <t>ef</t>
    </r>
  </si>
  <si>
    <t>Me</t>
  </si>
  <si>
    <t>Web fraction</t>
  </si>
  <si>
    <r>
      <t>w</t>
    </r>
    <r>
      <rPr>
        <sz val="6"/>
        <rFont val="Arial"/>
        <family val="2"/>
      </rPr>
      <t xml:space="preserve"> </t>
    </r>
    <r>
      <rPr>
        <sz val="8"/>
        <rFont val="Arial"/>
        <family val="2"/>
      </rPr>
      <t>f</t>
    </r>
  </si>
  <si>
    <r>
      <t>r</t>
    </r>
    <r>
      <rPr>
        <sz val="10"/>
        <rFont val="Arial"/>
        <family val="2"/>
      </rPr>
      <t>'</t>
    </r>
    <r>
      <rPr>
        <sz val="10"/>
        <rFont val="symbol"/>
        <family val="1"/>
        <charset val="2"/>
      </rPr>
      <t xml:space="preserve"> </t>
    </r>
    <r>
      <rPr>
        <sz val="8"/>
        <rFont val="Arial"/>
        <family val="2"/>
      </rPr>
      <t>grain</t>
    </r>
  </si>
  <si>
    <t>Volumetric loading fraction</t>
  </si>
  <si>
    <r>
      <t>V</t>
    </r>
    <r>
      <rPr>
        <sz val="6"/>
        <rFont val="Arial"/>
        <family val="2"/>
      </rPr>
      <t xml:space="preserve"> </t>
    </r>
    <r>
      <rPr>
        <sz val="10"/>
        <rFont val="Script"/>
        <family val="4"/>
        <charset val="255"/>
      </rPr>
      <t>l</t>
    </r>
  </si>
  <si>
    <t>Version</t>
  </si>
  <si>
    <t>Date</t>
  </si>
  <si>
    <t>Worksheet</t>
  </si>
  <si>
    <t>Changes</t>
  </si>
  <si>
    <t>Record of Revisions</t>
  </si>
  <si>
    <t>Beta</t>
  </si>
  <si>
    <t>1 Dec. 99</t>
  </si>
  <si>
    <t>Beta-1</t>
  </si>
  <si>
    <t>1 Sep. 00</t>
  </si>
  <si>
    <t>- Revised perfomance to take into account varying Ae/At due to throat erosion.</t>
  </si>
  <si>
    <t>- Original release.</t>
  </si>
  <si>
    <t xml:space="preserve"> - </t>
  </si>
  <si>
    <t>Performance</t>
  </si>
  <si>
    <t>- Added web fraction calculation.</t>
  </si>
  <si>
    <t>- Edited comment for nozzle efficiency.</t>
  </si>
  <si>
    <t>Data and Kn</t>
  </si>
  <si>
    <t>- Added volumetric loading fraction calculation.</t>
  </si>
  <si>
    <t>1.00</t>
  </si>
  <si>
    <r>
      <t>- Fixed bug wrt computing t</t>
    </r>
    <r>
      <rPr>
        <sz val="8"/>
        <rFont val="Arial"/>
        <family val="2"/>
      </rPr>
      <t>web</t>
    </r>
    <r>
      <rPr>
        <sz val="10"/>
        <rFont val="Arial"/>
      </rPr>
      <t xml:space="preserve"> with core inhibited.</t>
    </r>
  </si>
  <si>
    <t>Ratio of specific heats, mixture</t>
  </si>
  <si>
    <t>Notes:</t>
  </si>
  <si>
    <t>Additional Notes:</t>
  </si>
  <si>
    <t>Grain mass density, ideal</t>
  </si>
  <si>
    <t>Adiabatic flame temperature.</t>
  </si>
  <si>
    <r>
      <t xml:space="preserve">Given by </t>
    </r>
    <r>
      <rPr>
        <i/>
        <sz val="9"/>
        <rFont val="Arial"/>
        <family val="2"/>
      </rPr>
      <t>system mass</t>
    </r>
    <r>
      <rPr>
        <sz val="9"/>
        <rFont val="Arial"/>
        <family val="2"/>
      </rPr>
      <t xml:space="preserve"> divided by number of</t>
    </r>
    <r>
      <rPr>
        <i/>
        <sz val="9"/>
        <rFont val="Arial"/>
        <family val="2"/>
      </rPr>
      <t xml:space="preserve"> gas moles</t>
    </r>
    <r>
      <rPr>
        <sz val="9"/>
        <rFont val="Arial"/>
        <family val="2"/>
      </rPr>
      <t xml:space="preserve"> in system.</t>
    </r>
  </si>
  <si>
    <t>Propellant data</t>
  </si>
  <si>
    <t>(all)</t>
  </si>
  <si>
    <t>- Various font &amp; chart colours changed.</t>
  </si>
  <si>
    <t>Intro</t>
  </si>
  <si>
    <t>- URL added.</t>
  </si>
  <si>
    <t>- Hint added.</t>
  </si>
  <si>
    <r>
      <t xml:space="preserve">- </t>
    </r>
    <r>
      <rPr>
        <sz val="10"/>
        <rFont val="Arial"/>
        <family val="2"/>
      </rPr>
      <t>Note</t>
    </r>
    <r>
      <rPr>
        <sz val="10"/>
        <rFont val="Arial"/>
      </rPr>
      <t>s added.</t>
    </r>
  </si>
  <si>
    <r>
      <t xml:space="preserve">- </t>
    </r>
    <r>
      <rPr>
        <i/>
        <sz val="10"/>
        <rFont val="Arial"/>
        <family val="2"/>
      </rPr>
      <t>k</t>
    </r>
    <r>
      <rPr>
        <sz val="10"/>
        <rFont val="Arial"/>
      </rPr>
      <t xml:space="preserve"> for static mixture added.</t>
    </r>
  </si>
  <si>
    <r>
      <t>Instructions for use:</t>
    </r>
    <r>
      <rPr>
        <sz val="10"/>
        <rFont val="Arial"/>
      </rPr>
      <t xml:space="preserve"> </t>
    </r>
    <r>
      <rPr>
        <sz val="10"/>
        <color indexed="12"/>
        <rFont val="Arial"/>
        <family val="2"/>
      </rPr>
      <t>Enter required data in the blue-outlined cells (with blue text)</t>
    </r>
  </si>
  <si>
    <r>
      <t>Hint!</t>
    </r>
    <r>
      <rPr>
        <sz val="8"/>
        <rFont val="Arial"/>
        <family val="2"/>
      </rPr>
      <t xml:space="preserve"> </t>
    </r>
    <r>
      <rPr>
        <sz val="8"/>
        <color indexed="23"/>
        <rFont val="Arial"/>
        <family val="2"/>
      </rPr>
      <t>To directly convert inches to mm, simply type</t>
    </r>
    <r>
      <rPr>
        <sz val="8"/>
        <rFont val="Arial"/>
        <family val="2"/>
      </rPr>
      <t xml:space="preserve">  =25.4</t>
    </r>
    <r>
      <rPr>
        <sz val="9"/>
        <rFont val="Arial"/>
        <family val="2"/>
      </rPr>
      <t>*</t>
    </r>
    <r>
      <rPr>
        <i/>
        <sz val="8"/>
        <color indexed="12"/>
        <rFont val="Arial"/>
        <family val="2"/>
      </rPr>
      <t>number</t>
    </r>
    <r>
      <rPr>
        <sz val="8"/>
        <rFont val="Arial"/>
        <family val="2"/>
      </rPr>
      <t xml:space="preserve">  </t>
    </r>
    <r>
      <rPr>
        <sz val="8"/>
        <color indexed="23"/>
        <rFont val="Arial"/>
        <family val="2"/>
      </rPr>
      <t>where</t>
    </r>
    <r>
      <rPr>
        <sz val="8"/>
        <rFont val="Arial"/>
        <family val="2"/>
      </rPr>
      <t xml:space="preserve"> </t>
    </r>
    <r>
      <rPr>
        <i/>
        <sz val="8"/>
        <color indexed="12"/>
        <rFont val="Arial"/>
        <family val="2"/>
      </rPr>
      <t>number</t>
    </r>
    <r>
      <rPr>
        <sz val="8"/>
        <rFont val="Arial"/>
        <family val="2"/>
      </rPr>
      <t xml:space="preserve"> </t>
    </r>
    <r>
      <rPr>
        <sz val="8"/>
        <color indexed="23"/>
        <rFont val="Arial"/>
        <family val="2"/>
      </rPr>
      <t>is dimension in inches.</t>
    </r>
  </si>
  <si>
    <r>
      <t xml:space="preserve">This spreadsheet was created in order to predict the performance of a </t>
    </r>
    <r>
      <rPr>
        <b/>
        <sz val="10"/>
        <rFont val="Arial"/>
        <family val="2"/>
      </rPr>
      <t>Solid Rocket</t>
    </r>
  </si>
  <si>
    <r>
      <t xml:space="preserve">- </t>
    </r>
    <r>
      <rPr>
        <i/>
        <sz val="10"/>
        <rFont val="Arial"/>
        <family val="2"/>
      </rPr>
      <t>k</t>
    </r>
    <r>
      <rPr>
        <sz val="10"/>
        <rFont val="Arial"/>
      </rPr>
      <t xml:space="preserve"> for static mixture now used for pressure &amp; c* computation.</t>
    </r>
  </si>
  <si>
    <r>
      <t xml:space="preserve">- </t>
    </r>
    <r>
      <rPr>
        <i/>
        <sz val="10"/>
        <rFont val="Arial"/>
        <family val="2"/>
      </rPr>
      <t>k</t>
    </r>
    <r>
      <rPr>
        <sz val="10"/>
        <rFont val="Arial"/>
      </rPr>
      <t xml:space="preserve"> for 2-phase flow inserted.</t>
    </r>
  </si>
  <si>
    <t>Motor Output Data</t>
  </si>
  <si>
    <t>may be used in trajectory simulation software, such as SOAR.</t>
  </si>
  <si>
    <t>This page presents a summary of the key parameters of  motor performance, which</t>
  </si>
  <si>
    <t>Grain mass</t>
  </si>
  <si>
    <t>Specific Impulse</t>
  </si>
  <si>
    <t>lb.</t>
  </si>
  <si>
    <t>lb-sec.</t>
  </si>
  <si>
    <t>Average thrust</t>
  </si>
  <si>
    <t>Thrust time</t>
  </si>
  <si>
    <t>Data pt.</t>
  </si>
  <si>
    <t>Time</t>
  </si>
  <si>
    <t>(sec.)</t>
  </si>
  <si>
    <t>Thrust</t>
  </si>
  <si>
    <t>(N.)</t>
  </si>
  <si>
    <t>(lb.)</t>
  </si>
  <si>
    <r>
      <t xml:space="preserve">sec. </t>
    </r>
    <r>
      <rPr>
        <sz val="8"/>
        <rFont val="Arial"/>
        <family val="2"/>
      </rPr>
      <t>[see note2]</t>
    </r>
  </si>
  <si>
    <t>Time step</t>
  </si>
  <si>
    <r>
      <t>Thrust-time data</t>
    </r>
    <r>
      <rPr>
        <sz val="10"/>
        <rFont val="Arial"/>
      </rPr>
      <t xml:space="preserve"> </t>
    </r>
    <r>
      <rPr>
        <sz val="8"/>
        <rFont val="Arial"/>
        <family val="2"/>
      </rPr>
      <t xml:space="preserve"> [see note 1]</t>
    </r>
  </si>
  <si>
    <r>
      <t xml:space="preserve">[1 ] This table </t>
    </r>
    <r>
      <rPr>
        <i/>
        <sz val="9"/>
        <rFont val="Arial"/>
        <family val="2"/>
      </rPr>
      <t>approximates</t>
    </r>
    <r>
      <rPr>
        <sz val="9"/>
        <rFont val="Arial"/>
        <family val="2"/>
      </rPr>
      <t xml:space="preserve"> the actual thrust-time profile.</t>
    </r>
  </si>
  <si>
    <r>
      <t xml:space="preserve">[2]  The </t>
    </r>
    <r>
      <rPr>
        <i/>
        <sz val="9"/>
        <rFont val="Arial"/>
        <family val="2"/>
      </rPr>
      <t>effective</t>
    </r>
    <r>
      <rPr>
        <sz val="9"/>
        <rFont val="Arial"/>
        <family val="2"/>
      </rPr>
      <t xml:space="preserve"> time increment between data points.</t>
    </r>
  </si>
  <si>
    <t>Motor Classification</t>
  </si>
  <si>
    <t>Output</t>
  </si>
  <si>
    <t>- New worksheet</t>
  </si>
  <si>
    <r>
      <t xml:space="preserve">Then click on the </t>
    </r>
    <r>
      <rPr>
        <b/>
        <u/>
        <sz val="10"/>
        <color indexed="10"/>
        <rFont val="Arial"/>
        <family val="2"/>
      </rPr>
      <t>Solve</t>
    </r>
    <r>
      <rPr>
        <b/>
        <u/>
        <sz val="10"/>
        <color indexed="16"/>
        <rFont val="Arial"/>
        <family val="2"/>
      </rPr>
      <t xml:space="preserve"> buttons (1-3)</t>
    </r>
  </si>
  <si>
    <t>- Text modified</t>
  </si>
  <si>
    <t>- Solve buttons edited &amp; arrow added.</t>
  </si>
  <si>
    <t>6 April 02</t>
  </si>
  <si>
    <t xml:space="preserve">R </t>
  </si>
  <si>
    <t>S</t>
  </si>
  <si>
    <t>T</t>
  </si>
  <si>
    <t>U</t>
  </si>
  <si>
    <t>V</t>
  </si>
  <si>
    <t>KNSB</t>
  </si>
  <si>
    <t>KNDX</t>
  </si>
  <si>
    <t>KNSU</t>
  </si>
  <si>
    <t xml:space="preserve">Exposed </t>
  </si>
  <si>
    <t>Inhibited</t>
  </si>
  <si>
    <t>Core surface:</t>
  </si>
  <si>
    <t>Ends surface:</t>
  </si>
  <si>
    <t>KNSB coarse</t>
  </si>
  <si>
    <t>KNSB fine</t>
  </si>
  <si>
    <t>See Note [1] below</t>
  </si>
  <si>
    <t>Note [1]</t>
  </si>
  <si>
    <t>KNDX = potassium nitrate/dextrose, 65/35 O/F ratio, oxidizer finely milled</t>
  </si>
  <si>
    <t>Max =&gt;</t>
  </si>
  <si>
    <t>9 MPa</t>
  </si>
  <si>
    <t>8 MPa</t>
  </si>
  <si>
    <t>7 MPa</t>
  </si>
  <si>
    <t>6 MPa</t>
  </si>
  <si>
    <t>5 MPa</t>
  </si>
  <si>
    <t>4 MPa</t>
  </si>
  <si>
    <t>3 MPa</t>
  </si>
  <si>
    <t>2 MPa</t>
  </si>
  <si>
    <t>1200 psi</t>
  </si>
  <si>
    <t>1100 psi</t>
  </si>
  <si>
    <t>1000 psi</t>
  </si>
  <si>
    <t>900 psi</t>
  </si>
  <si>
    <t>800 psi</t>
  </si>
  <si>
    <t>700 psi</t>
  </si>
  <si>
    <t>600 psi</t>
  </si>
  <si>
    <t>500 psi</t>
  </si>
  <si>
    <t>400 psi</t>
  </si>
  <si>
    <t>300 psi</t>
  </si>
  <si>
    <t>200 psi</t>
  </si>
  <si>
    <r>
      <t xml:space="preserve">Nozzle:         </t>
    </r>
    <r>
      <rPr>
        <sz val="10"/>
        <rFont val="Arial"/>
        <family val="2"/>
      </rPr>
      <t xml:space="preserve"> At</t>
    </r>
    <r>
      <rPr>
        <sz val="8"/>
        <rFont val="Arial"/>
        <family val="2"/>
      </rPr>
      <t>o</t>
    </r>
  </si>
  <si>
    <t>Maximum chamber pressure (target)</t>
  </si>
  <si>
    <t>KNDX = Potassium Nitrate/Dextrose, 65/35 O/F ratio</t>
  </si>
  <si>
    <t>KNSB = Potassium Nitrate/Sorbitol, 65/35 O/F ratio</t>
  </si>
  <si>
    <t>KNSU = Potassium Nitrate/Sucrose, 65/35 O/F ratio</t>
  </si>
  <si>
    <t>KNSB Fine</t>
  </si>
  <si>
    <t>KNSB Coarse</t>
  </si>
  <si>
    <t>Grain temperature 20C.</t>
  </si>
  <si>
    <t>[1]  Milled in electric coffee grinder for approx. 40 sec.</t>
  </si>
  <si>
    <t xml:space="preserve">[2]  As obtained (fine granular) or prills milled in electric </t>
  </si>
  <si>
    <t>Conditions for applicability of burn rate parameters:</t>
  </si>
  <si>
    <t>8.5 MPa</t>
  </si>
  <si>
    <t>7.5 MPa</t>
  </si>
  <si>
    <t>6.5 MPa</t>
  </si>
  <si>
    <t>5.5 MPa</t>
  </si>
  <si>
    <t>4.5 MPa</t>
  </si>
  <si>
    <t>3.5 MPa</t>
  </si>
  <si>
    <t>2.5 MPa</t>
  </si>
  <si>
    <t>1.5 MPa</t>
  </si>
  <si>
    <t>1 MPa</t>
  </si>
  <si>
    <t>1300 psi</t>
  </si>
  <si>
    <t>1150 psi</t>
  </si>
  <si>
    <t>1050 psi</t>
  </si>
  <si>
    <t>950 psi</t>
  </si>
  <si>
    <t>850 psi</t>
  </si>
  <si>
    <t>750 psi</t>
  </si>
  <si>
    <t>650 psi</t>
  </si>
  <si>
    <t>550 psi</t>
  </si>
  <si>
    <t>450 psi</t>
  </si>
  <si>
    <t>350 psi</t>
  </si>
  <si>
    <t>250 psi</t>
  </si>
  <si>
    <t>150 psi</t>
  </si>
  <si>
    <t>1250 psi</t>
  </si>
  <si>
    <r>
      <t xml:space="preserve"> </t>
    </r>
    <r>
      <rPr>
        <b/>
        <sz val="14"/>
        <color indexed="60"/>
        <rFont val="Arial"/>
        <family val="2"/>
      </rPr>
      <t>S</t>
    </r>
    <r>
      <rPr>
        <b/>
        <sz val="11"/>
        <color indexed="60"/>
        <rFont val="Arial"/>
        <family val="2"/>
      </rPr>
      <t>olid</t>
    </r>
    <r>
      <rPr>
        <b/>
        <sz val="12"/>
        <color indexed="60"/>
        <rFont val="Arial"/>
        <family val="2"/>
      </rPr>
      <t xml:space="preserve"> </t>
    </r>
    <r>
      <rPr>
        <b/>
        <sz val="14"/>
        <color indexed="60"/>
        <rFont val="Arial"/>
        <family val="2"/>
      </rPr>
      <t>R</t>
    </r>
    <r>
      <rPr>
        <b/>
        <sz val="11"/>
        <color indexed="60"/>
        <rFont val="Arial"/>
        <family val="2"/>
      </rPr>
      <t>ocket</t>
    </r>
    <r>
      <rPr>
        <b/>
        <sz val="12"/>
        <color indexed="60"/>
        <rFont val="Arial"/>
        <family val="2"/>
      </rPr>
      <t xml:space="preserve"> </t>
    </r>
    <r>
      <rPr>
        <b/>
        <sz val="14"/>
        <color indexed="60"/>
        <rFont val="Arial"/>
        <family val="2"/>
      </rPr>
      <t>M</t>
    </r>
    <r>
      <rPr>
        <b/>
        <sz val="11"/>
        <color indexed="60"/>
        <rFont val="Arial"/>
        <family val="2"/>
      </rPr>
      <t>otor</t>
    </r>
    <r>
      <rPr>
        <b/>
        <sz val="12"/>
        <color indexed="60"/>
        <rFont val="Arial"/>
        <family val="2"/>
      </rPr>
      <t xml:space="preserve"> Performance </t>
    </r>
  </si>
  <si>
    <r>
      <t xml:space="preserve">size (see "Conditions for Applicability", </t>
    </r>
    <r>
      <rPr>
        <i/>
        <sz val="10"/>
        <color indexed="17"/>
        <rFont val="Arial"/>
        <family val="2"/>
      </rPr>
      <t>Burnrate</t>
    </r>
    <r>
      <rPr>
        <sz val="10"/>
        <rFont val="Arial"/>
      </rPr>
      <t xml:space="preserve"> worksheet).  Good nozzle performance</t>
    </r>
  </si>
  <si>
    <t>can be achieved with use of proper geometry and enhanced  through careful contouring</t>
  </si>
  <si>
    <t>and polishing of flow surfaces.</t>
  </si>
  <si>
    <t>A key factor that leads to inaccuracy in prediction is that the analysis assumes that</t>
  </si>
  <si>
    <t>propellants. Sugar propellants generate a large amount of condensed-phase</t>
  </si>
  <si>
    <t>combustion products. The resulting "two-phase flow" has a significant effect upon</t>
  </si>
  <si>
    <t>motor performance and cannot be ignored. This spreadsheet accounts for two-</t>
  </si>
  <si>
    <t>phase flow by using suitably modified parameters and flow equations.</t>
  </si>
  <si>
    <r>
      <t xml:space="preserve">Oxidizer particle size 60-125 </t>
    </r>
    <r>
      <rPr>
        <sz val="10"/>
        <color indexed="16"/>
        <rFont val="symbol"/>
        <family val="1"/>
        <charset val="2"/>
      </rPr>
      <t>m</t>
    </r>
    <r>
      <rPr>
        <sz val="10"/>
        <color indexed="16"/>
        <rFont val="Arial"/>
        <family val="2"/>
      </rPr>
      <t>m majority</t>
    </r>
    <r>
      <rPr>
        <sz val="10"/>
        <color indexed="36"/>
        <rFont val="Arial"/>
        <family val="2"/>
      </rPr>
      <t xml:space="preserve"> </t>
    </r>
    <r>
      <rPr>
        <sz val="10"/>
        <color indexed="18"/>
        <rFont val="Arial"/>
        <family val="2"/>
      </rPr>
      <t>[Note 1]</t>
    </r>
  </si>
  <si>
    <r>
      <t xml:space="preserve">Oxidizer particle size 150-250 </t>
    </r>
    <r>
      <rPr>
        <sz val="10"/>
        <color indexed="16"/>
        <rFont val="symbol"/>
        <family val="1"/>
        <charset val="2"/>
      </rPr>
      <t>m</t>
    </r>
    <r>
      <rPr>
        <sz val="10"/>
        <color indexed="16"/>
        <rFont val="Arial"/>
        <family val="2"/>
      </rPr>
      <t>m majority</t>
    </r>
    <r>
      <rPr>
        <sz val="10"/>
        <color indexed="18"/>
        <rFont val="Arial"/>
        <family val="2"/>
      </rPr>
      <t xml:space="preserve"> [Note 2]</t>
    </r>
  </si>
  <si>
    <t>- Propellant choices enhanced.</t>
  </si>
  <si>
    <t>b</t>
  </si>
  <si>
    <t>c</t>
  </si>
  <si>
    <t>order</t>
  </si>
  <si>
    <t>e</t>
  </si>
  <si>
    <t>f</t>
  </si>
  <si>
    <t>g</t>
  </si>
  <si>
    <t>Kn init</t>
  </si>
  <si>
    <t>Ratio of Burning area / throat area  (max)</t>
  </si>
  <si>
    <t>where units of P is "MPa"</t>
  </si>
  <si>
    <t>Kn versus Pressure for  propellants.</t>
  </si>
  <si>
    <t>Target MEOP:</t>
  </si>
  <si>
    <t>Kn max:</t>
  </si>
  <si>
    <t>150-400 psi</t>
  </si>
  <si>
    <t>900-1300 psi</t>
  </si>
  <si>
    <t>450-850 psi</t>
  </si>
  <si>
    <t>Polynomial coefficients for Least Squares Fit of Kn as fcn of Pressure data</t>
  </si>
  <si>
    <t>select</t>
  </si>
  <si>
    <t>calc Kn</t>
  </si>
  <si>
    <r>
      <t>Kn = a + b*P + c*P</t>
    </r>
    <r>
      <rPr>
        <vertAlign val="superscript"/>
        <sz val="10"/>
        <color indexed="23"/>
        <rFont val="Arial"/>
        <family val="2"/>
      </rPr>
      <t>2</t>
    </r>
    <r>
      <rPr>
        <sz val="10"/>
        <color indexed="23"/>
        <rFont val="Arial"/>
        <family val="2"/>
      </rPr>
      <t xml:space="preserve"> + d*P</t>
    </r>
    <r>
      <rPr>
        <vertAlign val="superscript"/>
        <sz val="10"/>
        <color indexed="23"/>
        <rFont val="Arial"/>
        <family val="2"/>
      </rPr>
      <t>3</t>
    </r>
    <r>
      <rPr>
        <sz val="10"/>
        <color indexed="23"/>
        <rFont val="Arial"/>
        <family val="2"/>
      </rPr>
      <t xml:space="preserve"> + e*P</t>
    </r>
    <r>
      <rPr>
        <vertAlign val="superscript"/>
        <sz val="10"/>
        <color indexed="23"/>
        <rFont val="Arial"/>
        <family val="2"/>
      </rPr>
      <t>4</t>
    </r>
    <r>
      <rPr>
        <sz val="10"/>
        <color indexed="23"/>
        <rFont val="Arial"/>
        <family val="2"/>
      </rPr>
      <t xml:space="preserve"> + f*P</t>
    </r>
    <r>
      <rPr>
        <vertAlign val="superscript"/>
        <sz val="10"/>
        <color indexed="23"/>
        <rFont val="Arial"/>
        <family val="2"/>
      </rPr>
      <t>5</t>
    </r>
    <r>
      <rPr>
        <sz val="10"/>
        <color indexed="23"/>
        <rFont val="Arial"/>
        <family val="2"/>
      </rPr>
      <t xml:space="preserve"> + g*P</t>
    </r>
    <r>
      <rPr>
        <vertAlign val="superscript"/>
        <sz val="10"/>
        <color indexed="23"/>
        <rFont val="Arial"/>
        <family val="2"/>
      </rPr>
      <t>6</t>
    </r>
  </si>
  <si>
    <r>
      <t>P</t>
    </r>
    <r>
      <rPr>
        <sz val="8"/>
        <color indexed="23"/>
        <rFont val="Arial"/>
        <family val="2"/>
      </rPr>
      <t>target</t>
    </r>
    <r>
      <rPr>
        <sz val="10"/>
        <color indexed="23"/>
        <rFont val="Arial"/>
        <family val="2"/>
      </rPr>
      <t>:</t>
    </r>
  </si>
  <si>
    <t>0-1300 psi</t>
  </si>
  <si>
    <t>Range incr</t>
  </si>
  <si>
    <t>fueltype</t>
  </si>
  <si>
    <t xml:space="preserve">     coffee grinder approx. 5 sec.</t>
  </si>
  <si>
    <t>Dec.2013</t>
  </si>
  <si>
    <t>Note that some data cells have drop-down lists</t>
  </si>
  <si>
    <t>website: www.nakka-rocketry.net</t>
  </si>
  <si>
    <t>e-mail: richard.rocketry@gmail.com</t>
  </si>
  <si>
    <t>KNER coarse</t>
  </si>
  <si>
    <t>KNMN coarse</t>
  </si>
  <si>
    <t>KNER</t>
  </si>
  <si>
    <t>KNMN</t>
  </si>
  <si>
    <t>KNMN = Potassium Nitrate/Mannitol, 65/35 O/F ratio</t>
  </si>
  <si>
    <t>KNER = Potassium Nitrate/Erythritol, 65/35 O/F ratio</t>
  </si>
  <si>
    <r>
      <t xml:space="preserve">KNSB Coarse, KNMN Coarse </t>
    </r>
    <r>
      <rPr>
        <sz val="9"/>
        <color indexed="12"/>
        <rFont val="Arial"/>
        <family val="2"/>
      </rPr>
      <t xml:space="preserve"> Note [3]</t>
    </r>
  </si>
  <si>
    <r>
      <t xml:space="preserve">KNER Coarse </t>
    </r>
    <r>
      <rPr>
        <sz val="9"/>
        <color indexed="12"/>
        <rFont val="Arial"/>
        <family val="2"/>
      </rPr>
      <t xml:space="preserve"> Note [3]</t>
    </r>
  </si>
  <si>
    <t>KNER coarse = potassium nitrate/erythritol 65/35 O/F ratio, oxidizer granular or lightly milled prills</t>
  </si>
  <si>
    <t>KNSB coarse = potassium nitrate/sorbitol 65/35 O/F ratio, oxidizer granular or lightly milled prills</t>
  </si>
  <si>
    <t>KNSU= potassium nitrate/sucrose 65/35 O/F ratio, oxidizer finely milled</t>
  </si>
  <si>
    <t>KNMN coarse = potassium nitrate/mannitol 65/35 O/F ratio, oxidizer granular or lightly milled prills</t>
  </si>
  <si>
    <t>KNSB fine = potassium nitrate/sorbitol 65/35 O/F ratio, oxidizer finely milled</t>
  </si>
  <si>
    <t>"coarse", KNER "coarse" &amp; KNMN "coarse"). Fine and coarse refer to the oxidizer</t>
  </si>
  <si>
    <r>
      <t xml:space="preserve">disabled, if desired, via the </t>
    </r>
    <r>
      <rPr>
        <sz val="10"/>
        <color indexed="17"/>
        <rFont val="Arial"/>
        <family val="2"/>
      </rPr>
      <t>Tools/Options/View/Comments</t>
    </r>
    <r>
      <rPr>
        <sz val="10"/>
        <rFont val="Arial"/>
      </rPr>
      <t xml:space="preserve"> menu.</t>
    </r>
  </si>
  <si>
    <r>
      <t xml:space="preserve">Motor </t>
    </r>
    <r>
      <rPr>
        <sz val="10"/>
        <rFont val="Arial"/>
      </rPr>
      <t>(SRM). Although there are many factors which make a precise prediction</t>
    </r>
  </si>
  <si>
    <t>curve and a longer overall burn time.</t>
  </si>
  <si>
    <t>Erosive burning may generally be neglected in the design of a new motor without serious</t>
  </si>
  <si>
    <t>consequence.</t>
  </si>
  <si>
    <t>This spreadsheet is dedicated to the design of rocket motors that use "sugar"</t>
  </si>
  <si>
    <t>Note on chamber pressure calculation:</t>
  </si>
  <si>
    <t xml:space="preserve">chamber pressure may differ from the user-selected TARGET maximum chamber </t>
  </si>
  <si>
    <t>pressure by +/- 0.3 MPa (50 psi).</t>
  </si>
  <si>
    <t xml:space="preserve">Due to the algorithm that is utilized to compute chamber pressure, the maximum </t>
  </si>
  <si>
    <r>
      <t>Dt</t>
    </r>
    <r>
      <rPr>
        <b/>
        <sz val="8"/>
        <rFont val="Arial"/>
        <family val="2"/>
      </rPr>
      <t>o</t>
    </r>
  </si>
  <si>
    <r>
      <t>Throat diameter</t>
    </r>
    <r>
      <rPr>
        <sz val="10"/>
        <rFont val="Arial"/>
        <family val="2"/>
      </rPr>
      <t xml:space="preserve"> (initial)</t>
    </r>
  </si>
  <si>
    <t>Pt.</t>
  </si>
  <si>
    <t>X</t>
  </si>
  <si>
    <t>Y</t>
  </si>
  <si>
    <t>-Y</t>
  </si>
  <si>
    <t>- Added Nozzle Design worksheet</t>
  </si>
  <si>
    <t>Nozzle Design</t>
  </si>
  <si>
    <t>Chamber inside diameter</t>
  </si>
  <si>
    <t>Nozzle throat diameter</t>
  </si>
  <si>
    <r>
      <t>D</t>
    </r>
    <r>
      <rPr>
        <sz val="8"/>
        <rFont val="Arial"/>
        <family val="2"/>
      </rPr>
      <t>e</t>
    </r>
    <r>
      <rPr>
        <sz val="8"/>
        <rFont val="Arial"/>
        <family val="2"/>
      </rPr>
      <t xml:space="preserve"> opt</t>
    </r>
  </si>
  <si>
    <t>Optimum nozzle exit diameter</t>
  </si>
  <si>
    <t>alpha</t>
  </si>
  <si>
    <t>beta</t>
  </si>
  <si>
    <t>degrees</t>
  </si>
  <si>
    <t>Nozzle divergence half-angle</t>
  </si>
  <si>
    <t>Nozzle convergence half-angle</t>
  </si>
  <si>
    <t>Graphing:</t>
  </si>
  <si>
    <t>Ld</t>
  </si>
  <si>
    <t>Convergence length</t>
  </si>
  <si>
    <t>Divergence length</t>
  </si>
  <si>
    <t>Overall length</t>
  </si>
  <si>
    <r>
      <t>D</t>
    </r>
    <r>
      <rPr>
        <sz val="8"/>
        <rFont val="Arial"/>
        <family val="2"/>
      </rPr>
      <t>t</t>
    </r>
  </si>
  <si>
    <t>- Multiple changes to user interface and formating</t>
  </si>
  <si>
    <t>Reference worksheets:</t>
  </si>
  <si>
    <t>- Fixed issue with calculation failure (#NUM) when selecting low chamber pressure (caused by negative mass storage rate)</t>
  </si>
  <si>
    <t>KNPSB</t>
  </si>
  <si>
    <t>KNPSB = Potassium Nitrate/Potassium Perchlorate/Sorbitol 35/30/35 O/O/F ratio</t>
  </si>
  <si>
    <t>Mar. 2023</t>
  </si>
  <si>
    <t>May 2020</t>
  </si>
  <si>
    <r>
      <t>SRM</t>
    </r>
    <r>
      <rPr>
        <b/>
        <sz val="12"/>
        <color indexed="60"/>
        <rFont val="Lucida Console"/>
        <family val="3"/>
      </rPr>
      <t xml:space="preserve"> </t>
    </r>
    <r>
      <rPr>
        <b/>
        <sz val="14"/>
        <color indexed="60"/>
        <rFont val="Lucida Console"/>
        <family val="3"/>
      </rPr>
      <t>2023</t>
    </r>
    <r>
      <rPr>
        <b/>
        <sz val="16"/>
        <color indexed="60"/>
        <rFont val="Lucida Console"/>
        <family val="3"/>
      </rPr>
      <t>.XLS</t>
    </r>
  </si>
  <si>
    <t>Changes incorporated into SRM 2023 version</t>
  </si>
  <si>
    <t>Ref. ProPEP</t>
  </si>
  <si>
    <t>For the  gas-particle mixture.</t>
  </si>
  <si>
    <t>particle size. Burn rate parameters for KNPSB were obtained through BEM static</t>
  </si>
  <si>
    <t>tests.</t>
  </si>
  <si>
    <t>KNPSB propellant should be produced using the process described in the</t>
  </si>
  <si>
    <t>www.nakka-rocketry.net/knpsb.html</t>
  </si>
  <si>
    <t xml:space="preserve">following web page: </t>
  </si>
  <si>
    <t>KNPSB= potassium nitrate/potassium perchlorate/sorbitol 35/30/35 O/O/F ratio, oxidizers finely milled</t>
  </si>
  <si>
    <t>2023 (for free distribution). Supercedes SRM_2014.XLS version 1.1 (2014)</t>
  </si>
  <si>
    <t>- Fixed minor error with fuel type selection of k and To.</t>
  </si>
  <si>
    <t>KNFR</t>
  </si>
  <si>
    <t>KNFR = Potassium Nitrate/Fructose, 65/35 OF ratio</t>
  </si>
  <si>
    <t>six "sugar" propellants: KNDX, KNSB, KNSU, KNER, KNFR and KNMN. These burn</t>
  </si>
  <si>
    <t>rate parameters were obtained through careful strand burner measurements conducted</t>
  </si>
  <si>
    <t>by Richard Nakka (KNSB "fine", KNDX, KNFR &amp; KNSU) and Magnus Gudnasen (KNSB</t>
  </si>
  <si>
    <t>KNPSB and KNFR have been added to the choice of propellants. All propellant properties have been</t>
  </si>
  <si>
    <t>- Removed 2-phase value for "k" (replaced with "k" for mixture)</t>
  </si>
  <si>
    <t>- Updated for revisions</t>
  </si>
  <si>
    <t>KNFR = potassium nitrate/fructose, 65/35 O/F ratio, oxidizer finely milled</t>
  </si>
  <si>
    <t>- Table expanded to "V-Class"</t>
  </si>
  <si>
    <t>overall effect of these updated property values is a small reduction in predicted performance (thrust, total</t>
  </si>
  <si>
    <t>impulse &amp; specific impulse) compared to SRM_2014. Motor performance up to "V" class is now supported.</t>
  </si>
  <si>
    <t>tweaked based on revised two-phase flow analysis. The value of "k" is corrected to a single value. The</t>
  </si>
  <si>
    <t>KNSB Fine, KNDX, KNFR and KNSU :</t>
  </si>
  <si>
    <t>KNSB Coarse, KNMN Coarse &amp; KNER Coarse :</t>
  </si>
  <si>
    <t>[3]  Coarse burn rate parameters courtesy Magnus Gudnasen.</t>
  </si>
  <si>
    <t>Burnrate</t>
  </si>
  <si>
    <t>- Added parameters for KNPSB and KNFR</t>
  </si>
  <si>
    <t>- Added KNFR and KNPSB propellants</t>
  </si>
  <si>
    <t>Example Rocket Motor (L-Class)</t>
  </si>
  <si>
    <t>- Updated graph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</si>
</sst>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0.0"/>
    <numFmt numFmtId="179" formatCode="0.000"/>
    <numFmt numFmtId="180" formatCode="0.0000"/>
    <numFmt numFmtId="181" formatCode="0.00000"/>
    <numFmt numFmtId="182" formatCode="0.000000"/>
    <numFmt numFmtId="207" formatCode="0.0000E+00"/>
    <numFmt numFmtId="208" formatCode="0.000E+00"/>
  </numFmts>
  <fonts count="97">
    <font>
      <sz val="10"/>
      <name val="Arial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b/>
      <sz val="10"/>
      <color indexed="16"/>
      <name val="Arial"/>
      <family val="2"/>
    </font>
    <font>
      <sz val="10"/>
      <color indexed="48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color indexed="48"/>
      <name val="Arial"/>
      <family val="2"/>
    </font>
    <font>
      <sz val="10"/>
      <color indexed="53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vertAlign val="subscript"/>
      <sz val="10"/>
      <name val="Arial"/>
      <family val="2"/>
    </font>
    <font>
      <vertAlign val="subscript"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23"/>
      <name val="Arial"/>
      <family val="2"/>
    </font>
    <font>
      <sz val="8"/>
      <color indexed="23"/>
      <name val="Arial"/>
      <family val="2"/>
    </font>
    <font>
      <sz val="8"/>
      <color indexed="53"/>
      <name val="Arial"/>
      <family val="2"/>
    </font>
    <font>
      <sz val="10"/>
      <color indexed="55"/>
      <name val="Arial"/>
      <family val="2"/>
    </font>
    <font>
      <sz val="10"/>
      <color indexed="15"/>
      <name val="Arial"/>
      <family val="2"/>
    </font>
    <font>
      <sz val="10"/>
      <color indexed="57"/>
      <name val="Arial"/>
      <family val="2"/>
    </font>
    <font>
      <sz val="10"/>
      <name val="Times New Roman"/>
      <family val="1"/>
    </font>
    <font>
      <b/>
      <sz val="10"/>
      <color indexed="10"/>
      <name val="Arial"/>
      <family val="2"/>
    </font>
    <font>
      <b/>
      <sz val="10"/>
      <color indexed="10"/>
      <name val="Times New Roman"/>
      <family val="1"/>
    </font>
    <font>
      <sz val="10"/>
      <color indexed="22"/>
      <name val="Arial"/>
      <family val="2"/>
    </font>
    <font>
      <sz val="9"/>
      <color indexed="54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10"/>
      <name val="Times New Roman"/>
      <family val="1"/>
    </font>
    <font>
      <b/>
      <u/>
      <sz val="10"/>
      <color indexed="16"/>
      <name val="Arial"/>
      <family val="2"/>
    </font>
    <font>
      <b/>
      <u/>
      <sz val="8"/>
      <color indexed="16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color indexed="16"/>
      <name val="Arial"/>
      <family val="2"/>
    </font>
    <font>
      <sz val="10"/>
      <color indexed="62"/>
      <name val="Arial"/>
      <family val="2"/>
    </font>
    <font>
      <u/>
      <sz val="10"/>
      <color indexed="16"/>
      <name val="Arial"/>
      <family val="2"/>
    </font>
    <font>
      <sz val="10"/>
      <color indexed="17"/>
      <name val="Arial"/>
      <family val="2"/>
    </font>
    <font>
      <i/>
      <sz val="10"/>
      <color indexed="16"/>
      <name val="Arial"/>
      <family val="2"/>
    </font>
    <font>
      <sz val="10"/>
      <color indexed="16"/>
      <name val="Arial"/>
      <family val="2"/>
    </font>
    <font>
      <sz val="10"/>
      <color indexed="16"/>
      <name val="symbol"/>
      <family val="1"/>
      <charset val="2"/>
    </font>
    <font>
      <i/>
      <sz val="10"/>
      <color indexed="17"/>
      <name val="Arial"/>
      <family val="2"/>
    </font>
    <font>
      <sz val="6"/>
      <name val="Arial"/>
      <family val="2"/>
    </font>
    <font>
      <sz val="10"/>
      <name val="Script"/>
      <family val="4"/>
      <charset val="255"/>
    </font>
    <font>
      <u/>
      <sz val="10"/>
      <name val="Arial"/>
      <family val="2"/>
    </font>
    <font>
      <i/>
      <sz val="9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b/>
      <sz val="11"/>
      <color indexed="10"/>
      <name val="motorclass"/>
    </font>
    <font>
      <u/>
      <sz val="10"/>
      <color indexed="12"/>
      <name val="Arial"/>
      <family val="2"/>
    </font>
    <font>
      <i/>
      <sz val="8"/>
      <color indexed="12"/>
      <name val="Arial"/>
      <family val="2"/>
    </font>
    <font>
      <sz val="10"/>
      <color indexed="20"/>
      <name val="Arial"/>
      <family val="2"/>
    </font>
    <font>
      <b/>
      <u/>
      <sz val="10"/>
      <color indexed="10"/>
      <name val="Arial"/>
      <family val="2"/>
    </font>
    <font>
      <i/>
      <u/>
      <sz val="10"/>
      <color indexed="12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b/>
      <i/>
      <sz val="10"/>
      <color indexed="16"/>
      <name val="Arial"/>
      <family val="2"/>
    </font>
    <font>
      <b/>
      <sz val="12"/>
      <color indexed="60"/>
      <name val="Arial"/>
      <family val="2"/>
    </font>
    <font>
      <b/>
      <sz val="14"/>
      <color indexed="60"/>
      <name val="Arial"/>
      <family val="2"/>
    </font>
    <font>
      <b/>
      <sz val="11"/>
      <color indexed="60"/>
      <name val="Arial"/>
      <family val="2"/>
    </font>
    <font>
      <sz val="10"/>
      <color indexed="36"/>
      <name val="Arial"/>
      <family val="2"/>
    </font>
    <font>
      <sz val="10"/>
      <color indexed="18"/>
      <name val="Arial"/>
      <family val="2"/>
    </font>
    <font>
      <sz val="10"/>
      <color indexed="23"/>
      <name val="Arial"/>
      <family val="2"/>
    </font>
    <font>
      <vertAlign val="superscript"/>
      <sz val="10"/>
      <color indexed="23"/>
      <name val="Arial"/>
      <family val="2"/>
    </font>
    <font>
      <sz val="8"/>
      <color indexed="23"/>
      <name val="Arial"/>
      <family val="2"/>
    </font>
    <font>
      <b/>
      <i/>
      <u/>
      <sz val="10"/>
      <color indexed="16"/>
      <name val="Arial"/>
      <family val="2"/>
    </font>
    <font>
      <b/>
      <sz val="14"/>
      <color indexed="60"/>
      <name val="Lucida Console"/>
      <family val="3"/>
    </font>
    <font>
      <b/>
      <sz val="16"/>
      <color indexed="60"/>
      <name val="Lucida Console"/>
      <family val="3"/>
    </font>
    <font>
      <b/>
      <sz val="12"/>
      <color indexed="60"/>
      <name val="Lucida Console"/>
      <family val="3"/>
    </font>
    <font>
      <b/>
      <sz val="8"/>
      <name val="Arial"/>
      <family val="2"/>
    </font>
    <font>
      <sz val="11"/>
      <color indexed="60"/>
      <name val="Lucida Console"/>
      <family val="3"/>
    </font>
    <font>
      <b/>
      <sz val="12"/>
      <color indexed="60"/>
      <name val="Arial"/>
      <family val="2"/>
    </font>
    <font>
      <sz val="9"/>
      <color indexed="18"/>
      <name val="Arial"/>
      <family val="2"/>
    </font>
    <font>
      <i/>
      <sz val="8"/>
      <color indexed="23"/>
      <name val="Arial"/>
      <family val="2"/>
    </font>
    <font>
      <sz val="10"/>
      <color indexed="23"/>
      <name val="Arial"/>
      <family val="2"/>
    </font>
    <font>
      <i/>
      <sz val="10"/>
      <color indexed="23"/>
      <name val="Arial"/>
      <family val="2"/>
    </font>
    <font>
      <sz val="10"/>
      <color indexed="12"/>
      <name val="Arial"/>
      <family val="2"/>
    </font>
    <font>
      <b/>
      <sz val="10"/>
      <color indexed="36"/>
      <name val="Arial"/>
      <family val="2"/>
    </font>
    <font>
      <sz val="9"/>
      <color indexed="22"/>
      <name val="Arial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55"/>
      <name val="Arial"/>
      <family val="2"/>
    </font>
    <font>
      <i/>
      <sz val="10"/>
      <color indexed="55"/>
      <name val="Arial"/>
      <family val="2"/>
    </font>
    <font>
      <i/>
      <sz val="10"/>
      <color indexed="53"/>
      <name val="Arial"/>
      <family val="2"/>
    </font>
    <font>
      <b/>
      <i/>
      <sz val="10"/>
      <color indexed="53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/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 style="thin">
        <color indexed="16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0"/>
      </bottom>
      <diagonal/>
    </border>
    <border>
      <left/>
      <right style="medium">
        <color indexed="64"/>
      </right>
      <top/>
      <bottom style="thin">
        <color indexed="6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6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36"/>
      </left>
      <right/>
      <top style="thin">
        <color indexed="36"/>
      </top>
      <bottom/>
      <diagonal/>
    </border>
    <border>
      <left/>
      <right/>
      <top style="thin">
        <color indexed="36"/>
      </top>
      <bottom/>
      <diagonal/>
    </border>
    <border>
      <left/>
      <right style="thin">
        <color indexed="36"/>
      </right>
      <top style="thin">
        <color indexed="36"/>
      </top>
      <bottom/>
      <diagonal/>
    </border>
    <border>
      <left style="thin">
        <color indexed="36"/>
      </left>
      <right/>
      <top/>
      <bottom/>
      <diagonal/>
    </border>
    <border>
      <left/>
      <right style="thin">
        <color indexed="36"/>
      </right>
      <top/>
      <bottom/>
      <diagonal/>
    </border>
    <border>
      <left style="thin">
        <color indexed="36"/>
      </left>
      <right/>
      <top/>
      <bottom style="thin">
        <color indexed="36"/>
      </bottom>
      <diagonal/>
    </border>
    <border>
      <left/>
      <right/>
      <top/>
      <bottom style="thin">
        <color indexed="36"/>
      </bottom>
      <diagonal/>
    </border>
    <border>
      <left/>
      <right style="thin">
        <color indexed="36"/>
      </right>
      <top/>
      <bottom style="thin">
        <color indexed="36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/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7" fillId="0" borderId="0" applyNumberFormat="0" applyFill="0" applyBorder="0" applyAlignment="0" applyProtection="0">
      <alignment vertical="top"/>
      <protection locked="0"/>
    </xf>
  </cellStyleXfs>
  <cellXfs count="46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78" fontId="0" fillId="0" borderId="0" xfId="0" applyNumberFormat="1"/>
    <xf numFmtId="1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" fontId="9" fillId="0" borderId="0" xfId="0" applyNumberFormat="1" applyFont="1"/>
    <xf numFmtId="179" fontId="0" fillId="0" borderId="0" xfId="0" applyNumberFormat="1"/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8" fontId="0" fillId="0" borderId="2" xfId="0" applyNumberFormat="1" applyBorder="1"/>
    <xf numFmtId="1" fontId="0" fillId="0" borderId="2" xfId="0" applyNumberFormat="1" applyBorder="1"/>
    <xf numFmtId="2" fontId="0" fillId="0" borderId="3" xfId="0" applyNumberFormat="1" applyBorder="1"/>
    <xf numFmtId="0" fontId="14" fillId="0" borderId="0" xfId="0" applyFont="1"/>
    <xf numFmtId="0" fontId="15" fillId="0" borderId="0" xfId="0" applyFont="1"/>
    <xf numFmtId="0" fontId="4" fillId="0" borderId="0" xfId="0" applyFont="1"/>
    <xf numFmtId="0" fontId="11" fillId="0" borderId="0" xfId="0" applyFont="1"/>
    <xf numFmtId="0" fontId="9" fillId="0" borderId="0" xfId="0" applyFont="1" applyProtection="1">
      <protection locked="0" hidden="1"/>
    </xf>
    <xf numFmtId="0" fontId="0" fillId="0" borderId="3" xfId="0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179" fontId="0" fillId="0" borderId="2" xfId="0" applyNumberFormat="1" applyBorder="1"/>
    <xf numFmtId="179" fontId="0" fillId="0" borderId="7" xfId="0" applyNumberFormat="1" applyBorder="1"/>
    <xf numFmtId="179" fontId="0" fillId="0" borderId="9" xfId="0" applyNumberFormat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179" fontId="0" fillId="0" borderId="3" xfId="0" applyNumberFormat="1" applyBorder="1"/>
    <xf numFmtId="179" fontId="0" fillId="0" borderId="10" xfId="0" applyNumberFormat="1" applyBorder="1"/>
    <xf numFmtId="179" fontId="0" fillId="0" borderId="12" xfId="0" applyNumberFormat="1" applyBorder="1"/>
    <xf numFmtId="2" fontId="0" fillId="0" borderId="9" xfId="0" applyNumberFormat="1" applyBorder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0" fontId="0" fillId="0" borderId="0" xfId="0" applyBorder="1"/>
    <xf numFmtId="181" fontId="0" fillId="0" borderId="0" xfId="0" applyNumberFormat="1"/>
    <xf numFmtId="180" fontId="0" fillId="0" borderId="0" xfId="0" applyNumberFormat="1"/>
    <xf numFmtId="0" fontId="0" fillId="0" borderId="1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" fillId="0" borderId="0" xfId="0" applyFont="1"/>
    <xf numFmtId="0" fontId="21" fillId="0" borderId="0" xfId="0" applyFont="1"/>
    <xf numFmtId="0" fontId="21" fillId="0" borderId="0" xfId="0" applyFont="1" applyAlignment="1">
      <alignment horizontal="right"/>
    </xf>
    <xf numFmtId="179" fontId="21" fillId="0" borderId="11" xfId="0" applyNumberFormat="1" applyFont="1" applyBorder="1" applyProtection="1">
      <protection locked="0"/>
    </xf>
    <xf numFmtId="0" fontId="21" fillId="0" borderId="12" xfId="0" applyFont="1" applyBorder="1"/>
    <xf numFmtId="0" fontId="21" fillId="0" borderId="10" xfId="0" applyFont="1" applyBorder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 applyAlignment="1">
      <alignment horizontal="right"/>
    </xf>
    <xf numFmtId="0" fontId="24" fillId="0" borderId="0" xfId="0" applyFont="1"/>
    <xf numFmtId="180" fontId="25" fillId="0" borderId="0" xfId="0" applyNumberFormat="1" applyFont="1"/>
    <xf numFmtId="179" fontId="26" fillId="0" borderId="0" xfId="0" applyNumberFormat="1" applyFont="1"/>
    <xf numFmtId="178" fontId="26" fillId="0" borderId="0" xfId="0" applyNumberFormat="1" applyFo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4" xfId="0" applyFont="1" applyBorder="1" applyProtection="1">
      <protection locked="0"/>
    </xf>
    <xf numFmtId="178" fontId="3" fillId="0" borderId="14" xfId="0" applyNumberFormat="1" applyFont="1" applyBorder="1" applyProtection="1">
      <protection locked="0"/>
    </xf>
    <xf numFmtId="1" fontId="28" fillId="0" borderId="0" xfId="0" applyNumberFormat="1" applyFont="1"/>
    <xf numFmtId="178" fontId="28" fillId="0" borderId="0" xfId="0" applyNumberFormat="1" applyFont="1"/>
    <xf numFmtId="0" fontId="9" fillId="0" borderId="0" xfId="0" applyFont="1" applyBorder="1"/>
    <xf numFmtId="0" fontId="8" fillId="0" borderId="3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ill="1" applyBorder="1"/>
    <xf numFmtId="0" fontId="32" fillId="0" borderId="0" xfId="0" applyFont="1" applyBorder="1"/>
    <xf numFmtId="0" fontId="33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3" fillId="0" borderId="0" xfId="0" applyFont="1"/>
    <xf numFmtId="0" fontId="35" fillId="0" borderId="0" xfId="0" applyFont="1" applyAlignment="1">
      <alignment horizontal="left"/>
    </xf>
    <xf numFmtId="0" fontId="35" fillId="0" borderId="0" xfId="0" applyFont="1"/>
    <xf numFmtId="2" fontId="0" fillId="0" borderId="2" xfId="0" applyNumberFormat="1" applyBorder="1"/>
    <xf numFmtId="182" fontId="0" fillId="0" borderId="0" xfId="0" applyNumberFormat="1"/>
    <xf numFmtId="182" fontId="25" fillId="0" borderId="0" xfId="0" applyNumberFormat="1" applyFont="1"/>
    <xf numFmtId="182" fontId="26" fillId="0" borderId="0" xfId="0" applyNumberFormat="1" applyFont="1"/>
    <xf numFmtId="0" fontId="7" fillId="0" borderId="14" xfId="0" applyFont="1" applyBorder="1" applyProtection="1">
      <protection locked="0"/>
    </xf>
    <xf numFmtId="0" fontId="3" fillId="0" borderId="15" xfId="0" applyFont="1" applyBorder="1" applyProtection="1">
      <protection locked="0"/>
    </xf>
    <xf numFmtId="179" fontId="0" fillId="0" borderId="0" xfId="0" applyNumberFormat="1" applyProtection="1">
      <protection locked="0"/>
    </xf>
    <xf numFmtId="180" fontId="21" fillId="0" borderId="0" xfId="0" applyNumberFormat="1" applyFont="1" applyProtection="1">
      <protection locked="0"/>
    </xf>
    <xf numFmtId="2" fontId="3" fillId="0" borderId="15" xfId="0" applyNumberFormat="1" applyFont="1" applyBorder="1" applyProtection="1">
      <protection locked="0"/>
    </xf>
    <xf numFmtId="0" fontId="16" fillId="0" borderId="15" xfId="0" applyFont="1" applyBorder="1" applyProtection="1">
      <protection locked="0"/>
    </xf>
    <xf numFmtId="2" fontId="3" fillId="0" borderId="14" xfId="0" applyNumberFormat="1" applyFont="1" applyBorder="1" applyProtection="1">
      <protection locked="0"/>
    </xf>
    <xf numFmtId="0" fontId="0" fillId="0" borderId="3" xfId="0" applyBorder="1"/>
    <xf numFmtId="0" fontId="24" fillId="0" borderId="0" xfId="0" applyFont="1" applyAlignment="1">
      <alignment horizontal="right"/>
    </xf>
    <xf numFmtId="179" fontId="24" fillId="0" borderId="0" xfId="0" applyNumberFormat="1" applyFont="1"/>
    <xf numFmtId="0" fontId="29" fillId="0" borderId="0" xfId="0" applyFont="1" applyAlignment="1">
      <alignment horizontal="center"/>
    </xf>
    <xf numFmtId="0" fontId="24" fillId="0" borderId="0" xfId="0" applyFont="1" applyProtection="1">
      <protection hidden="1"/>
    </xf>
    <xf numFmtId="0" fontId="0" fillId="0" borderId="0" xfId="0" applyProtection="1">
      <protection hidden="1"/>
    </xf>
    <xf numFmtId="180" fontId="24" fillId="0" borderId="0" xfId="0" applyNumberFormat="1" applyFont="1"/>
    <xf numFmtId="0" fontId="40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4" fillId="0" borderId="20" xfId="0" applyFont="1" applyBorder="1"/>
    <xf numFmtId="0" fontId="43" fillId="0" borderId="0" xfId="0" applyFont="1" applyBorder="1"/>
    <xf numFmtId="0" fontId="0" fillId="0" borderId="21" xfId="0" applyBorder="1"/>
    <xf numFmtId="0" fontId="20" fillId="0" borderId="0" xfId="0" applyFont="1"/>
    <xf numFmtId="0" fontId="0" fillId="0" borderId="8" xfId="0" applyBorder="1"/>
    <xf numFmtId="0" fontId="0" fillId="0" borderId="0" xfId="0" applyBorder="1" applyAlignment="1">
      <alignment horizontal="right"/>
    </xf>
    <xf numFmtId="179" fontId="9" fillId="0" borderId="0" xfId="0" applyNumberFormat="1" applyFont="1" applyBorder="1"/>
    <xf numFmtId="181" fontId="9" fillId="0" borderId="0" xfId="0" applyNumberFormat="1" applyFont="1" applyBorder="1"/>
    <xf numFmtId="1" fontId="9" fillId="0" borderId="0" xfId="0" applyNumberFormat="1" applyFont="1" applyBorder="1"/>
    <xf numFmtId="178" fontId="9" fillId="0" borderId="0" xfId="0" applyNumberFormat="1" applyFont="1" applyBorder="1"/>
    <xf numFmtId="0" fontId="9" fillId="0" borderId="0" xfId="0" applyFont="1" applyFill="1"/>
    <xf numFmtId="2" fontId="30" fillId="2" borderId="3" xfId="0" applyNumberFormat="1" applyFont="1" applyFill="1" applyBorder="1" applyAlignment="1">
      <alignment horizontal="center"/>
    </xf>
    <xf numFmtId="2" fontId="30" fillId="2" borderId="3" xfId="0" applyNumberFormat="1" applyFont="1" applyFill="1" applyBorder="1" applyAlignment="1" applyProtection="1">
      <alignment horizontal="center"/>
      <protection locked="0"/>
    </xf>
    <xf numFmtId="2" fontId="30" fillId="2" borderId="3" xfId="0" applyNumberFormat="1" applyFont="1" applyFill="1" applyBorder="1" applyAlignment="1" applyProtection="1">
      <alignment horizontal="left"/>
      <protection locked="0"/>
    </xf>
    <xf numFmtId="2" fontId="25" fillId="0" borderId="0" xfId="0" applyNumberFormat="1" applyFont="1"/>
    <xf numFmtId="2" fontId="11" fillId="0" borderId="0" xfId="0" applyNumberFormat="1" applyFont="1"/>
    <xf numFmtId="179" fontId="11" fillId="0" borderId="0" xfId="0" applyNumberFormat="1" applyFont="1"/>
    <xf numFmtId="1" fontId="25" fillId="0" borderId="0" xfId="0" applyNumberFormat="1" applyFont="1"/>
    <xf numFmtId="179" fontId="11" fillId="0" borderId="3" xfId="0" applyNumberFormat="1" applyFont="1" applyBorder="1"/>
    <xf numFmtId="0" fontId="0" fillId="0" borderId="22" xfId="0" applyBorder="1"/>
    <xf numFmtId="17" fontId="0" fillId="0" borderId="13" xfId="0" applyNumberFormat="1" applyBorder="1"/>
    <xf numFmtId="0" fontId="0" fillId="0" borderId="23" xfId="0" applyBorder="1"/>
    <xf numFmtId="0" fontId="52" fillId="0" borderId="22" xfId="0" applyFont="1" applyBorder="1" applyAlignment="1">
      <alignment horizontal="right"/>
    </xf>
    <xf numFmtId="0" fontId="52" fillId="0" borderId="13" xfId="0" applyFont="1" applyBorder="1" applyAlignment="1">
      <alignment horizontal="right"/>
    </xf>
    <xf numFmtId="0" fontId="52" fillId="0" borderId="13" xfId="0" applyFont="1" applyBorder="1" applyAlignment="1">
      <alignment horizontal="center"/>
    </xf>
    <xf numFmtId="0" fontId="52" fillId="0" borderId="24" xfId="0" applyFont="1" applyBorder="1" applyAlignment="1">
      <alignment horizontal="center"/>
    </xf>
    <xf numFmtId="0" fontId="0" fillId="0" borderId="24" xfId="0" quotePrefix="1" applyBorder="1"/>
    <xf numFmtId="0" fontId="0" fillId="0" borderId="25" xfId="0" quotePrefix="1" applyBorder="1"/>
    <xf numFmtId="0" fontId="0" fillId="0" borderId="9" xfId="0" quotePrefix="1" applyBorder="1"/>
    <xf numFmtId="17" fontId="0" fillId="0" borderId="11" xfId="0" applyNumberFormat="1" applyBorder="1"/>
    <xf numFmtId="0" fontId="0" fillId="0" borderId="12" xfId="0" quotePrefix="1" applyBorder="1"/>
    <xf numFmtId="0" fontId="0" fillId="0" borderId="25" xfId="0" quotePrefix="1" applyFill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0" xfId="0" applyFont="1" applyAlignment="1">
      <alignment horizontal="right"/>
    </xf>
    <xf numFmtId="0" fontId="11" fillId="3" borderId="22" xfId="0" applyFont="1" applyFill="1" applyBorder="1" applyAlignment="1">
      <alignment horizontal="right"/>
    </xf>
    <xf numFmtId="1" fontId="11" fillId="3" borderId="13" xfId="0" applyNumberFormat="1" applyFont="1" applyFill="1" applyBorder="1"/>
    <xf numFmtId="0" fontId="11" fillId="3" borderId="24" xfId="0" applyFont="1" applyFill="1" applyBorder="1"/>
    <xf numFmtId="0" fontId="11" fillId="3" borderId="23" xfId="0" applyFont="1" applyFill="1" applyBorder="1" applyAlignment="1">
      <alignment horizontal="right"/>
    </xf>
    <xf numFmtId="1" fontId="11" fillId="3" borderId="0" xfId="0" applyNumberFormat="1" applyFont="1" applyFill="1" applyBorder="1"/>
    <xf numFmtId="0" fontId="11" fillId="3" borderId="25" xfId="0" applyFont="1" applyFill="1" applyBorder="1"/>
    <xf numFmtId="0" fontId="11" fillId="3" borderId="7" xfId="0" applyFont="1" applyFill="1" applyBorder="1" applyAlignment="1">
      <alignment horizontal="right"/>
    </xf>
    <xf numFmtId="179" fontId="11" fillId="3" borderId="8" xfId="0" applyNumberFormat="1" applyFont="1" applyFill="1" applyBorder="1"/>
    <xf numFmtId="0" fontId="11" fillId="3" borderId="9" xfId="0" applyFont="1" applyFill="1" applyBorder="1"/>
    <xf numFmtId="2" fontId="11" fillId="3" borderId="13" xfId="0" applyNumberFormat="1" applyFont="1" applyFill="1" applyBorder="1"/>
    <xf numFmtId="179" fontId="11" fillId="3" borderId="0" xfId="0" applyNumberFormat="1" applyFont="1" applyFill="1" applyBorder="1"/>
    <xf numFmtId="0" fontId="0" fillId="3" borderId="0" xfId="0" applyFill="1"/>
    <xf numFmtId="0" fontId="57" fillId="0" borderId="0" xfId="1" applyAlignment="1" applyProtection="1"/>
    <xf numFmtId="0" fontId="15" fillId="3" borderId="0" xfId="0" applyFont="1" applyFill="1"/>
    <xf numFmtId="0" fontId="11" fillId="3" borderId="22" xfId="0" applyFont="1" applyFill="1" applyBorder="1" applyAlignment="1">
      <alignment horizontal="center"/>
    </xf>
    <xf numFmtId="1" fontId="11" fillId="3" borderId="24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/>
    </xf>
    <xf numFmtId="1" fontId="11" fillId="3" borderId="25" xfId="0" applyNumberFormat="1" applyFont="1" applyFill="1" applyBorder="1" applyAlignment="1">
      <alignment horizontal="left"/>
    </xf>
    <xf numFmtId="0" fontId="11" fillId="3" borderId="7" xfId="0" applyFont="1" applyFill="1" applyBorder="1" applyAlignment="1">
      <alignment horizontal="center"/>
    </xf>
    <xf numFmtId="1" fontId="11" fillId="3" borderId="9" xfId="0" applyNumberFormat="1" applyFont="1" applyFill="1" applyBorder="1" applyAlignment="1">
      <alignment horizontal="left"/>
    </xf>
    <xf numFmtId="0" fontId="19" fillId="0" borderId="0" xfId="0" applyFont="1" applyBorder="1"/>
    <xf numFmtId="0" fontId="0" fillId="0" borderId="22" xfId="0" quotePrefix="1" applyBorder="1"/>
    <xf numFmtId="0" fontId="0" fillId="0" borderId="13" xfId="0" quotePrefix="1" applyBorder="1"/>
    <xf numFmtId="0" fontId="0" fillId="0" borderId="24" xfId="0" quotePrefix="1" applyFill="1" applyBorder="1"/>
    <xf numFmtId="0" fontId="0" fillId="0" borderId="9" xfId="0" quotePrefix="1" applyFill="1" applyBorder="1"/>
    <xf numFmtId="0" fontId="3" fillId="0" borderId="26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8" xfId="0" applyFont="1" applyBorder="1" applyProtection="1">
      <protection locked="0"/>
    </xf>
    <xf numFmtId="0" fontId="3" fillId="0" borderId="29" xfId="0" applyFont="1" applyBorder="1" applyProtection="1">
      <protection locked="0"/>
    </xf>
    <xf numFmtId="0" fontId="3" fillId="0" borderId="30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0" fillId="0" borderId="32" xfId="0" applyBorder="1"/>
    <xf numFmtId="0" fontId="0" fillId="0" borderId="33" xfId="0" applyBorder="1" applyAlignment="1">
      <alignment horizontal="right"/>
    </xf>
    <xf numFmtId="179" fontId="19" fillId="0" borderId="33" xfId="0" applyNumberFormat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 applyAlignment="1">
      <alignment horizontal="right"/>
    </xf>
    <xf numFmtId="179" fontId="19" fillId="0" borderId="36" xfId="0" applyNumberFormat="1" applyFont="1" applyBorder="1"/>
    <xf numFmtId="0" fontId="0" fillId="0" borderId="37" xfId="0" applyBorder="1"/>
    <xf numFmtId="178" fontId="19" fillId="0" borderId="33" xfId="0" applyNumberFormat="1" applyFont="1" applyBorder="1"/>
    <xf numFmtId="178" fontId="19" fillId="0" borderId="36" xfId="0" applyNumberFormat="1" applyFont="1" applyBorder="1"/>
    <xf numFmtId="0" fontId="0" fillId="0" borderId="36" xfId="0" applyBorder="1"/>
    <xf numFmtId="0" fontId="0" fillId="0" borderId="38" xfId="0" applyBorder="1"/>
    <xf numFmtId="0" fontId="0" fillId="0" borderId="39" xfId="0" applyBorder="1" applyAlignment="1">
      <alignment horizontal="right"/>
    </xf>
    <xf numFmtId="179" fontId="19" fillId="0" borderId="39" xfId="0" applyNumberFormat="1" applyFont="1" applyBorder="1"/>
    <xf numFmtId="0" fontId="0" fillId="0" borderId="40" xfId="0" applyBorder="1"/>
    <xf numFmtId="178" fontId="19" fillId="0" borderId="39" xfId="0" applyNumberFormat="1" applyFont="1" applyBorder="1"/>
    <xf numFmtId="0" fontId="9" fillId="0" borderId="41" xfId="0" applyFont="1" applyBorder="1" applyAlignment="1">
      <alignment horizontal="right"/>
    </xf>
    <xf numFmtId="0" fontId="9" fillId="0" borderId="42" xfId="0" applyFont="1" applyBorder="1" applyAlignment="1">
      <alignment horizontal="right"/>
    </xf>
    <xf numFmtId="0" fontId="11" fillId="0" borderId="41" xfId="0" applyFont="1" applyBorder="1" applyAlignment="1">
      <alignment horizontal="right"/>
    </xf>
    <xf numFmtId="0" fontId="11" fillId="0" borderId="42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3" fillId="0" borderId="42" xfId="0" applyFont="1" applyBorder="1" applyAlignment="1">
      <alignment horizontal="right"/>
    </xf>
    <xf numFmtId="0" fontId="59" fillId="0" borderId="41" xfId="0" applyFont="1" applyBorder="1" applyAlignment="1">
      <alignment horizontal="right"/>
    </xf>
    <xf numFmtId="0" fontId="59" fillId="0" borderId="42" xfId="0" applyFont="1" applyBorder="1" applyAlignment="1">
      <alignment horizontal="right"/>
    </xf>
    <xf numFmtId="0" fontId="9" fillId="0" borderId="1" xfId="0" applyFont="1" applyBorder="1"/>
    <xf numFmtId="179" fontId="11" fillId="0" borderId="1" xfId="0" applyNumberFormat="1" applyFont="1" applyBorder="1"/>
    <xf numFmtId="1" fontId="3" fillId="0" borderId="1" xfId="0" applyNumberFormat="1" applyFont="1" applyBorder="1"/>
    <xf numFmtId="1" fontId="59" fillId="0" borderId="1" xfId="0" applyNumberFormat="1" applyFont="1" applyBorder="1"/>
    <xf numFmtId="0" fontId="0" fillId="0" borderId="43" xfId="0" applyBorder="1" applyAlignment="1">
      <alignment horizontal="right"/>
    </xf>
    <xf numFmtId="180" fontId="19" fillId="0" borderId="0" xfId="0" applyNumberFormat="1" applyFont="1" applyBorder="1"/>
    <xf numFmtId="0" fontId="0" fillId="0" borderId="44" xfId="0" applyBorder="1"/>
    <xf numFmtId="0" fontId="0" fillId="0" borderId="45" xfId="0" applyBorder="1" applyAlignment="1">
      <alignment horizontal="right"/>
    </xf>
    <xf numFmtId="0" fontId="0" fillId="0" borderId="46" xfId="0" applyBorder="1"/>
    <xf numFmtId="0" fontId="0" fillId="0" borderId="47" xfId="0" applyBorder="1"/>
    <xf numFmtId="0" fontId="46" fillId="0" borderId="0" xfId="0" applyFont="1"/>
    <xf numFmtId="0" fontId="0" fillId="0" borderId="33" xfId="0" applyBorder="1"/>
    <xf numFmtId="0" fontId="37" fillId="0" borderId="32" xfId="0" applyFont="1" applyBorder="1"/>
    <xf numFmtId="0" fontId="9" fillId="0" borderId="33" xfId="0" applyFont="1" applyBorder="1"/>
    <xf numFmtId="0" fontId="37" fillId="0" borderId="35" xfId="0" applyFont="1" applyBorder="1"/>
    <xf numFmtId="0" fontId="9" fillId="0" borderId="36" xfId="0" applyFont="1" applyBorder="1"/>
    <xf numFmtId="178" fontId="19" fillId="0" borderId="39" xfId="0" applyNumberFormat="1" applyFont="1" applyBorder="1" applyAlignment="1">
      <alignment horizontal="right"/>
    </xf>
    <xf numFmtId="1" fontId="19" fillId="0" borderId="40" xfId="0" applyNumberFormat="1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35" fillId="0" borderId="48" xfId="0" applyFont="1" applyBorder="1"/>
    <xf numFmtId="0" fontId="9" fillId="0" borderId="0" xfId="0" applyFont="1" applyAlignment="1">
      <alignment horizontal="right"/>
    </xf>
    <xf numFmtId="0" fontId="37" fillId="0" borderId="0" xfId="0" applyFont="1"/>
    <xf numFmtId="0" fontId="61" fillId="0" borderId="0" xfId="1" applyFont="1" applyAlignment="1" applyProtection="1"/>
    <xf numFmtId="1" fontId="0" fillId="0" borderId="49" xfId="0" applyNumberFormat="1" applyBorder="1"/>
    <xf numFmtId="1" fontId="19" fillId="0" borderId="50" xfId="0" applyNumberFormat="1" applyFont="1" applyBorder="1"/>
    <xf numFmtId="0" fontId="9" fillId="0" borderId="0" xfId="0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9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62" fillId="0" borderId="0" xfId="0" applyFont="1"/>
    <xf numFmtId="0" fontId="0" fillId="0" borderId="51" xfId="0" applyBorder="1"/>
    <xf numFmtId="0" fontId="6" fillId="0" borderId="52" xfId="0" applyFont="1" applyBorder="1"/>
    <xf numFmtId="0" fontId="0" fillId="0" borderId="53" xfId="0" applyBorder="1"/>
    <xf numFmtId="0" fontId="42" fillId="0" borderId="52" xfId="0" applyFont="1" applyBorder="1"/>
    <xf numFmtId="0" fontId="47" fillId="0" borderId="52" xfId="0" applyFont="1" applyBorder="1"/>
    <xf numFmtId="0" fontId="42" fillId="0" borderId="54" xfId="0" applyFont="1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64" fillId="0" borderId="58" xfId="0" applyFont="1" applyBorder="1"/>
    <xf numFmtId="0" fontId="19" fillId="0" borderId="59" xfId="0" applyFont="1" applyBorder="1"/>
    <xf numFmtId="0" fontId="19" fillId="0" borderId="60" xfId="0" applyFont="1" applyBorder="1"/>
    <xf numFmtId="0" fontId="24" fillId="0" borderId="0" xfId="0" applyFont="1" applyAlignment="1" applyProtection="1">
      <alignment horizontal="right"/>
      <protection hidden="1"/>
    </xf>
    <xf numFmtId="0" fontId="78" fillId="0" borderId="0" xfId="0" applyFont="1"/>
    <xf numFmtId="0" fontId="79" fillId="4" borderId="61" xfId="0" applyFont="1" applyFill="1" applyBorder="1"/>
    <xf numFmtId="0" fontId="9" fillId="0" borderId="0" xfId="0" applyFont="1" applyFill="1" applyBorder="1"/>
    <xf numFmtId="0" fontId="31" fillId="0" borderId="22" xfId="0" applyFont="1" applyFill="1" applyBorder="1"/>
    <xf numFmtId="0" fontId="31" fillId="0" borderId="23" xfId="0" applyFont="1" applyFill="1" applyBorder="1"/>
    <xf numFmtId="0" fontId="31" fillId="0" borderId="7" xfId="0" applyFont="1" applyFill="1" applyBorder="1"/>
    <xf numFmtId="0" fontId="80" fillId="0" borderId="52" xfId="0" applyFont="1" applyBorder="1"/>
    <xf numFmtId="0" fontId="80" fillId="0" borderId="62" xfId="0" applyFont="1" applyBorder="1"/>
    <xf numFmtId="0" fontId="9" fillId="0" borderId="7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78" fontId="0" fillId="0" borderId="49" xfId="0" applyNumberFormat="1" applyBorder="1"/>
    <xf numFmtId="178" fontId="19" fillId="0" borderId="50" xfId="0" applyNumberFormat="1" applyFont="1" applyFill="1" applyBorder="1"/>
    <xf numFmtId="2" fontId="3" fillId="5" borderId="14" xfId="0" applyNumberFormat="1" applyFont="1" applyFill="1" applyBorder="1" applyAlignment="1" applyProtection="1">
      <alignment horizontal="right"/>
      <protection locked="0"/>
    </xf>
    <xf numFmtId="2" fontId="3" fillId="5" borderId="14" xfId="0" applyNumberFormat="1" applyFont="1" applyFill="1" applyBorder="1" applyAlignment="1" applyProtection="1">
      <alignment horizontal="center"/>
      <protection locked="0"/>
    </xf>
    <xf numFmtId="0" fontId="3" fillId="5" borderId="14" xfId="0" applyFont="1" applyFill="1" applyBorder="1" applyAlignment="1" applyProtection="1">
      <alignment horizontal="center"/>
      <protection locked="0"/>
    </xf>
    <xf numFmtId="1" fontId="9" fillId="0" borderId="0" xfId="0" applyNumberFormat="1" applyFont="1" applyBorder="1" applyProtection="1">
      <protection locked="0"/>
    </xf>
    <xf numFmtId="0" fontId="81" fillId="0" borderId="0" xfId="0" applyFont="1"/>
    <xf numFmtId="0" fontId="82" fillId="0" borderId="3" xfId="0" applyFont="1" applyBorder="1" applyAlignment="1">
      <alignment horizontal="center"/>
    </xf>
    <xf numFmtId="179" fontId="82" fillId="0" borderId="3" xfId="0" applyNumberFormat="1" applyFont="1" applyBorder="1" applyAlignment="1">
      <alignment horizontal="right"/>
    </xf>
    <xf numFmtId="181" fontId="82" fillId="0" borderId="3" xfId="0" applyNumberFormat="1" applyFont="1" applyBorder="1" applyAlignment="1">
      <alignment horizontal="right"/>
    </xf>
    <xf numFmtId="180" fontId="82" fillId="0" borderId="3" xfId="0" applyNumberFormat="1" applyFont="1" applyBorder="1" applyAlignment="1">
      <alignment horizontal="right"/>
    </xf>
    <xf numFmtId="207" fontId="82" fillId="0" borderId="3" xfId="0" applyNumberFormat="1" applyFont="1" applyBorder="1" applyAlignment="1">
      <alignment horizontal="right"/>
    </xf>
    <xf numFmtId="2" fontId="82" fillId="0" borderId="3" xfId="0" applyNumberFormat="1" applyFont="1" applyBorder="1" applyAlignment="1">
      <alignment horizontal="right"/>
    </xf>
    <xf numFmtId="182" fontId="82" fillId="0" borderId="3" xfId="0" applyNumberFormat="1" applyFont="1" applyBorder="1" applyAlignment="1">
      <alignment horizontal="right"/>
    </xf>
    <xf numFmtId="0" fontId="82" fillId="0" borderId="3" xfId="0" applyFont="1" applyBorder="1" applyAlignment="1">
      <alignment horizontal="right"/>
    </xf>
    <xf numFmtId="178" fontId="82" fillId="0" borderId="3" xfId="0" applyNumberFormat="1" applyFont="1" applyBorder="1" applyAlignment="1">
      <alignment horizontal="right"/>
    </xf>
    <xf numFmtId="11" fontId="82" fillId="0" borderId="3" xfId="0" applyNumberFormat="1" applyFont="1" applyBorder="1" applyAlignment="1">
      <alignment horizontal="right"/>
    </xf>
    <xf numFmtId="0" fontId="82" fillId="0" borderId="0" xfId="0" applyFont="1"/>
    <xf numFmtId="0" fontId="83" fillId="0" borderId="0" xfId="0" applyFont="1"/>
    <xf numFmtId="0" fontId="82" fillId="0" borderId="3" xfId="0" applyFont="1" applyBorder="1"/>
    <xf numFmtId="0" fontId="82" fillId="0" borderId="10" xfId="0" applyFont="1" applyBorder="1"/>
    <xf numFmtId="0" fontId="82" fillId="0" borderId="11" xfId="0" applyFont="1" applyBorder="1"/>
    <xf numFmtId="0" fontId="82" fillId="0" borderId="12" xfId="0" applyFont="1" applyBorder="1"/>
    <xf numFmtId="0" fontId="82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1" fontId="82" fillId="0" borderId="3" xfId="0" applyNumberFormat="1" applyFont="1" applyBorder="1"/>
    <xf numFmtId="0" fontId="82" fillId="0" borderId="3" xfId="0" quotePrefix="1" applyFont="1" applyBorder="1"/>
    <xf numFmtId="0" fontId="82" fillId="0" borderId="4" xfId="0" applyFont="1" applyBorder="1"/>
    <xf numFmtId="1" fontId="82" fillId="0" borderId="2" xfId="0" applyNumberFormat="1" applyFont="1" applyBorder="1"/>
    <xf numFmtId="179" fontId="82" fillId="0" borderId="0" xfId="0" applyNumberFormat="1" applyFont="1"/>
    <xf numFmtId="0" fontId="82" fillId="0" borderId="0" xfId="0" applyFont="1" applyBorder="1"/>
    <xf numFmtId="208" fontId="82" fillId="0" borderId="3" xfId="0" applyNumberFormat="1" applyFont="1" applyBorder="1" applyAlignment="1">
      <alignment horizontal="right"/>
    </xf>
    <xf numFmtId="1" fontId="82" fillId="0" borderId="3" xfId="0" applyNumberFormat="1" applyFont="1" applyBorder="1" applyAlignment="1">
      <alignment horizontal="right"/>
    </xf>
    <xf numFmtId="0" fontId="84" fillId="0" borderId="63" xfId="0" applyFont="1" applyBorder="1"/>
    <xf numFmtId="0" fontId="0" fillId="0" borderId="13" xfId="0" applyBorder="1"/>
    <xf numFmtId="0" fontId="0" fillId="0" borderId="24" xfId="0" applyBorder="1"/>
    <xf numFmtId="0" fontId="0" fillId="0" borderId="25" xfId="0" applyBorder="1"/>
    <xf numFmtId="0" fontId="85" fillId="0" borderId="0" xfId="0" applyFont="1" applyBorder="1"/>
    <xf numFmtId="0" fontId="3" fillId="0" borderId="64" xfId="0" applyFont="1" applyBorder="1" applyAlignment="1" applyProtection="1">
      <alignment horizontal="center"/>
      <protection locked="0"/>
    </xf>
    <xf numFmtId="0" fontId="9" fillId="0" borderId="4" xfId="0" applyFont="1" applyBorder="1"/>
    <xf numFmtId="0" fontId="9" fillId="0" borderId="49" xfId="0" applyFont="1" applyBorder="1"/>
    <xf numFmtId="0" fontId="0" fillId="0" borderId="49" xfId="0" applyBorder="1"/>
    <xf numFmtId="0" fontId="13" fillId="0" borderId="65" xfId="0" applyFont="1" applyBorder="1" applyAlignment="1" applyProtection="1">
      <alignment horizontal="center"/>
      <protection locked="0"/>
    </xf>
    <xf numFmtId="0" fontId="9" fillId="0" borderId="66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9" fontId="82" fillId="0" borderId="0" xfId="0" applyNumberFormat="1" applyFont="1" applyBorder="1" applyAlignment="1">
      <alignment horizontal="right"/>
    </xf>
    <xf numFmtId="2" fontId="82" fillId="0" borderId="0" xfId="0" applyNumberFormat="1" applyFont="1" applyBorder="1" applyAlignment="1">
      <alignment horizontal="right"/>
    </xf>
    <xf numFmtId="178" fontId="82" fillId="0" borderId="0" xfId="0" applyNumberFormat="1" applyFont="1" applyBorder="1" applyAlignment="1">
      <alignment horizontal="right"/>
    </xf>
    <xf numFmtId="0" fontId="0" fillId="0" borderId="67" xfId="0" applyBorder="1" applyAlignment="1">
      <alignment horizontal="right"/>
    </xf>
    <xf numFmtId="0" fontId="0" fillId="0" borderId="68" xfId="0" applyBorder="1" applyAlignment="1">
      <alignment horizontal="right"/>
    </xf>
    <xf numFmtId="0" fontId="9" fillId="0" borderId="69" xfId="0" applyFont="1" applyBorder="1" applyAlignment="1">
      <alignment horizontal="center"/>
    </xf>
    <xf numFmtId="0" fontId="0" fillId="0" borderId="70" xfId="0" applyBorder="1" applyAlignment="1">
      <alignment horizontal="right"/>
    </xf>
    <xf numFmtId="0" fontId="9" fillId="0" borderId="71" xfId="0" applyFont="1" applyBorder="1" applyAlignment="1">
      <alignment horizontal="center"/>
    </xf>
    <xf numFmtId="0" fontId="0" fillId="0" borderId="72" xfId="0" applyBorder="1" applyAlignment="1">
      <alignment horizontal="right"/>
    </xf>
    <xf numFmtId="0" fontId="0" fillId="0" borderId="73" xfId="0" applyBorder="1" applyAlignment="1">
      <alignment horizontal="right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179" fontId="9" fillId="0" borderId="7" xfId="0" applyNumberFormat="1" applyFont="1" applyBorder="1" applyAlignment="1">
      <alignment horizontal="center"/>
    </xf>
    <xf numFmtId="179" fontId="0" fillId="0" borderId="71" xfId="0" applyNumberFormat="1" applyBorder="1" applyAlignment="1">
      <alignment horizontal="center"/>
    </xf>
    <xf numFmtId="179" fontId="0" fillId="0" borderId="10" xfId="0" applyNumberFormat="1" applyBorder="1" applyAlignment="1">
      <alignment horizontal="center"/>
    </xf>
    <xf numFmtId="179" fontId="0" fillId="0" borderId="3" xfId="0" applyNumberFormat="1" applyBorder="1" applyAlignment="1">
      <alignment horizontal="center"/>
    </xf>
    <xf numFmtId="2" fontId="0" fillId="0" borderId="71" xfId="0" applyNumberFormat="1" applyBorder="1" applyAlignment="1">
      <alignment horizontal="center"/>
    </xf>
    <xf numFmtId="0" fontId="24" fillId="0" borderId="0" xfId="0" applyFont="1" applyBorder="1"/>
    <xf numFmtId="178" fontId="21" fillId="0" borderId="0" xfId="0" applyNumberFormat="1" applyFont="1" applyBorder="1"/>
    <xf numFmtId="0" fontId="21" fillId="0" borderId="0" xfId="0" applyFont="1" applyBorder="1" applyAlignment="1">
      <alignment horizontal="center"/>
    </xf>
    <xf numFmtId="2" fontId="21" fillId="0" borderId="0" xfId="0" applyNumberFormat="1" applyFont="1" applyBorder="1"/>
    <xf numFmtId="179" fontId="21" fillId="0" borderId="0" xfId="0" applyNumberFormat="1" applyFont="1" applyBorder="1"/>
    <xf numFmtId="179" fontId="0" fillId="0" borderId="0" xfId="0" applyNumberFormat="1" applyBorder="1"/>
    <xf numFmtId="179" fontId="3" fillId="0" borderId="0" xfId="0" applyNumberFormat="1" applyFont="1" applyBorder="1" applyProtection="1">
      <protection locked="0"/>
    </xf>
    <xf numFmtId="0" fontId="0" fillId="0" borderId="76" xfId="0" applyBorder="1"/>
    <xf numFmtId="0" fontId="0" fillId="0" borderId="77" xfId="0" applyBorder="1" applyAlignment="1">
      <alignment horizontal="center"/>
    </xf>
    <xf numFmtId="0" fontId="0" fillId="0" borderId="78" xfId="0" applyBorder="1"/>
    <xf numFmtId="179" fontId="0" fillId="0" borderId="79" xfId="0" applyNumberFormat="1" applyBorder="1"/>
    <xf numFmtId="179" fontId="0" fillId="0" borderId="76" xfId="0" applyNumberFormat="1" applyBorder="1"/>
    <xf numFmtId="179" fontId="0" fillId="0" borderId="78" xfId="0" applyNumberFormat="1" applyBorder="1"/>
    <xf numFmtId="0" fontId="3" fillId="0" borderId="0" xfId="0" applyFont="1" applyFill="1" applyBorder="1" applyProtection="1">
      <protection locked="0"/>
    </xf>
    <xf numFmtId="180" fontId="3" fillId="0" borderId="0" xfId="0" applyNumberFormat="1" applyFont="1" applyFill="1" applyBorder="1" applyProtection="1">
      <protection locked="0"/>
    </xf>
    <xf numFmtId="179" fontId="3" fillId="0" borderId="0" xfId="0" applyNumberFormat="1" applyFont="1" applyFill="1" applyBorder="1" applyProtection="1">
      <protection locked="0"/>
    </xf>
    <xf numFmtId="1" fontId="9" fillId="0" borderId="0" xfId="0" applyNumberFormat="1" applyFont="1" applyFill="1" applyBorder="1"/>
    <xf numFmtId="1" fontId="3" fillId="0" borderId="0" xfId="0" applyNumberFormat="1" applyFont="1" applyFill="1" applyBorder="1" applyProtection="1">
      <protection locked="0"/>
    </xf>
    <xf numFmtId="180" fontId="0" fillId="0" borderId="79" xfId="0" applyNumberFormat="1" applyBorder="1"/>
    <xf numFmtId="180" fontId="0" fillId="0" borderId="2" xfId="0" applyNumberFormat="1" applyBorder="1"/>
    <xf numFmtId="180" fontId="0" fillId="0" borderId="3" xfId="0" applyNumberFormat="1" applyBorder="1"/>
    <xf numFmtId="2" fontId="86" fillId="0" borderId="0" xfId="0" applyNumberFormat="1" applyFont="1" applyAlignment="1" applyProtection="1">
      <alignment horizontal="left"/>
    </xf>
    <xf numFmtId="0" fontId="31" fillId="0" borderId="0" xfId="0" applyFont="1" applyFill="1" applyBorder="1"/>
    <xf numFmtId="0" fontId="31" fillId="0" borderId="13" xfId="0" applyFont="1" applyFill="1" applyBorder="1"/>
    <xf numFmtId="0" fontId="0" fillId="0" borderId="22" xfId="0" applyBorder="1" applyAlignment="1">
      <alignment horizontal="left"/>
    </xf>
    <xf numFmtId="0" fontId="9" fillId="0" borderId="13" xfId="0" applyFont="1" applyBorder="1"/>
    <xf numFmtId="0" fontId="9" fillId="0" borderId="9" xfId="0" quotePrefix="1" applyFont="1" applyFill="1" applyBorder="1"/>
    <xf numFmtId="0" fontId="0" fillId="0" borderId="0" xfId="0" applyFont="1" applyFill="1" applyBorder="1"/>
    <xf numFmtId="0" fontId="19" fillId="0" borderId="0" xfId="0" applyFont="1" applyAlignment="1">
      <alignment horizontal="right"/>
    </xf>
    <xf numFmtId="179" fontId="19" fillId="0" borderId="0" xfId="0" applyNumberFormat="1" applyFont="1"/>
    <xf numFmtId="0" fontId="19" fillId="0" borderId="0" xfId="0" applyFont="1"/>
    <xf numFmtId="180" fontId="87" fillId="0" borderId="0" xfId="0" applyNumberFormat="1" applyFont="1"/>
    <xf numFmtId="180" fontId="87" fillId="0" borderId="0" xfId="0" applyNumberFormat="1" applyFont="1" applyProtection="1">
      <protection hidden="1"/>
    </xf>
    <xf numFmtId="180" fontId="88" fillId="0" borderId="0" xfId="0" applyNumberFormat="1" applyFont="1" applyProtection="1">
      <protection hidden="1"/>
    </xf>
    <xf numFmtId="0" fontId="0" fillId="0" borderId="23" xfId="0" applyBorder="1" applyAlignment="1">
      <alignment horizontal="left"/>
    </xf>
    <xf numFmtId="0" fontId="9" fillId="0" borderId="25" xfId="0" quotePrefix="1" applyFont="1" applyFill="1" applyBorder="1"/>
    <xf numFmtId="178" fontId="3" fillId="0" borderId="15" xfId="0" applyNumberFormat="1" applyFont="1" applyBorder="1" applyProtection="1">
      <protection locked="0"/>
    </xf>
    <xf numFmtId="0" fontId="0" fillId="0" borderId="0" xfId="0" applyProtection="1"/>
    <xf numFmtId="0" fontId="35" fillId="0" borderId="0" xfId="0" applyFont="1" applyAlignment="1" applyProtection="1">
      <alignment horizontal="left"/>
    </xf>
    <xf numFmtId="0" fontId="9" fillId="0" borderId="0" xfId="0" applyFont="1" applyProtection="1"/>
    <xf numFmtId="0" fontId="0" fillId="0" borderId="0" xfId="0" applyAlignment="1" applyProtection="1">
      <alignment horizontal="right"/>
    </xf>
    <xf numFmtId="0" fontId="9" fillId="0" borderId="0" xfId="0" applyFont="1" applyAlignment="1" applyProtection="1">
      <alignment horizontal="right"/>
    </xf>
    <xf numFmtId="0" fontId="89" fillId="0" borderId="32" xfId="0" applyFont="1" applyBorder="1" applyProtection="1"/>
    <xf numFmtId="180" fontId="89" fillId="0" borderId="33" xfId="0" applyNumberFormat="1" applyFont="1" applyBorder="1" applyProtection="1"/>
    <xf numFmtId="0" fontId="90" fillId="0" borderId="33" xfId="0" applyFont="1" applyBorder="1" applyProtection="1"/>
    <xf numFmtId="0" fontId="89" fillId="0" borderId="34" xfId="0" applyFont="1" applyBorder="1" applyProtection="1"/>
    <xf numFmtId="0" fontId="89" fillId="0" borderId="0" xfId="0" applyFont="1" applyProtection="1"/>
    <xf numFmtId="2" fontId="0" fillId="0" borderId="0" xfId="0" applyNumberFormat="1" applyProtection="1"/>
    <xf numFmtId="0" fontId="89" fillId="0" borderId="80" xfId="0" applyFont="1" applyBorder="1" applyProtection="1"/>
    <xf numFmtId="180" fontId="89" fillId="0" borderId="0" xfId="0" applyNumberFormat="1" applyFont="1" applyBorder="1" applyProtection="1"/>
    <xf numFmtId="0" fontId="90" fillId="0" borderId="0" xfId="0" applyFont="1" applyBorder="1" applyProtection="1"/>
    <xf numFmtId="0" fontId="89" fillId="0" borderId="81" xfId="0" applyFont="1" applyBorder="1" applyProtection="1"/>
    <xf numFmtId="0" fontId="0" fillId="0" borderId="0" xfId="0" applyBorder="1" applyProtection="1"/>
    <xf numFmtId="0" fontId="89" fillId="0" borderId="0" xfId="0" applyFont="1" applyBorder="1" applyProtection="1"/>
    <xf numFmtId="0" fontId="89" fillId="0" borderId="80" xfId="0" applyFont="1" applyBorder="1" applyAlignment="1" applyProtection="1">
      <alignment horizontal="right"/>
    </xf>
    <xf numFmtId="0" fontId="89" fillId="0" borderId="0" xfId="0" applyFont="1" applyBorder="1" applyAlignment="1" applyProtection="1">
      <alignment horizontal="right"/>
    </xf>
    <xf numFmtId="0" fontId="89" fillId="0" borderId="81" xfId="0" quotePrefix="1" applyFont="1" applyBorder="1" applyAlignment="1" applyProtection="1">
      <alignment horizontal="right"/>
    </xf>
    <xf numFmtId="0" fontId="89" fillId="0" borderId="0" xfId="0" applyFont="1" applyAlignment="1" applyProtection="1">
      <alignment horizontal="right"/>
    </xf>
    <xf numFmtId="2" fontId="89" fillId="0" borderId="0" xfId="0" applyNumberFormat="1" applyFont="1" applyBorder="1" applyProtection="1"/>
    <xf numFmtId="2" fontId="89" fillId="0" borderId="81" xfId="0" applyNumberFormat="1" applyFont="1" applyBorder="1" applyProtection="1"/>
    <xf numFmtId="0" fontId="89" fillId="0" borderId="35" xfId="0" applyFont="1" applyBorder="1" applyProtection="1"/>
    <xf numFmtId="2" fontId="89" fillId="0" borderId="36" xfId="0" applyNumberFormat="1" applyFont="1" applyBorder="1" applyProtection="1"/>
    <xf numFmtId="0" fontId="89" fillId="0" borderId="36" xfId="0" applyFont="1" applyBorder="1" applyProtection="1"/>
    <xf numFmtId="0" fontId="89" fillId="0" borderId="37" xfId="0" applyFont="1" applyBorder="1" applyProtection="1"/>
    <xf numFmtId="0" fontId="9" fillId="0" borderId="24" xfId="0" quotePrefix="1" applyFont="1" applyFill="1" applyBorder="1"/>
    <xf numFmtId="0" fontId="73" fillId="0" borderId="82" xfId="0" applyFont="1" applyBorder="1" applyAlignment="1">
      <alignment horizontal="left"/>
    </xf>
    <xf numFmtId="0" fontId="0" fillId="0" borderId="83" xfId="0" applyBorder="1"/>
    <xf numFmtId="0" fontId="0" fillId="0" borderId="84" xfId="0" applyBorder="1"/>
    <xf numFmtId="0" fontId="35" fillId="0" borderId="85" xfId="0" applyFont="1" applyBorder="1" applyAlignment="1">
      <alignment horizontal="left"/>
    </xf>
    <xf numFmtId="0" fontId="0" fillId="0" borderId="86" xfId="0" applyBorder="1"/>
    <xf numFmtId="0" fontId="85" fillId="0" borderId="85" xfId="0" applyFont="1" applyBorder="1"/>
    <xf numFmtId="0" fontId="85" fillId="0" borderId="86" xfId="0" applyFont="1" applyBorder="1"/>
    <xf numFmtId="0" fontId="85" fillId="0" borderId="87" xfId="0" applyFont="1" applyBorder="1"/>
    <xf numFmtId="0" fontId="85" fillId="0" borderId="88" xfId="0" applyFont="1" applyBorder="1"/>
    <xf numFmtId="0" fontId="85" fillId="0" borderId="89" xfId="0" applyFont="1" applyBorder="1"/>
    <xf numFmtId="178" fontId="3" fillId="0" borderId="0" xfId="0" applyNumberFormat="1" applyFont="1" applyBorder="1" applyProtection="1">
      <protection locked="0"/>
    </xf>
    <xf numFmtId="0" fontId="91" fillId="0" borderId="0" xfId="0" applyFont="1" applyBorder="1" applyProtection="1"/>
    <xf numFmtId="0" fontId="92" fillId="0" borderId="90" xfId="0" applyFont="1" applyBorder="1" applyProtection="1"/>
    <xf numFmtId="0" fontId="91" fillId="0" borderId="91" xfId="0" applyFont="1" applyBorder="1" applyProtection="1"/>
    <xf numFmtId="0" fontId="19" fillId="0" borderId="0" xfId="0" applyFont="1" applyAlignment="1" applyProtection="1">
      <alignment horizontal="right"/>
    </xf>
    <xf numFmtId="2" fontId="19" fillId="0" borderId="0" xfId="0" applyNumberFormat="1" applyFont="1" applyProtection="1"/>
    <xf numFmtId="0" fontId="19" fillId="0" borderId="0" xfId="0" applyFont="1" applyProtection="1"/>
    <xf numFmtId="0" fontId="0" fillId="0" borderId="12" xfId="0" quotePrefix="1" applyBorder="1" applyAlignment="1">
      <alignment horizontal="left" wrapText="1"/>
    </xf>
    <xf numFmtId="0" fontId="0" fillId="0" borderId="22" xfId="0" applyBorder="1" applyAlignment="1">
      <alignment horizontal="center"/>
    </xf>
    <xf numFmtId="0" fontId="0" fillId="0" borderId="92" xfId="0" applyBorder="1" applyAlignment="1">
      <alignment horizontal="center"/>
    </xf>
    <xf numFmtId="0" fontId="54" fillId="0" borderId="93" xfId="0" applyFont="1" applyFill="1" applyBorder="1" applyAlignment="1">
      <alignment horizontal="right"/>
    </xf>
    <xf numFmtId="0" fontId="54" fillId="0" borderId="67" xfId="0" applyFont="1" applyFill="1" applyBorder="1" applyAlignment="1">
      <alignment horizontal="right"/>
    </xf>
    <xf numFmtId="0" fontId="30" fillId="0" borderId="0" xfId="0" applyFont="1" applyFill="1" applyProtection="1">
      <protection locked="0" hidden="1"/>
    </xf>
    <xf numFmtId="0" fontId="56" fillId="0" borderId="72" xfId="0" applyFont="1" applyFill="1" applyBorder="1" applyAlignment="1">
      <alignment horizontal="center"/>
    </xf>
    <xf numFmtId="0" fontId="54" fillId="0" borderId="3" xfId="0" applyFont="1" applyFill="1" applyBorder="1" applyAlignment="1">
      <alignment horizontal="right"/>
    </xf>
    <xf numFmtId="0" fontId="54" fillId="0" borderId="3" xfId="0" applyFont="1" applyFill="1" applyBorder="1" applyAlignment="1">
      <alignment horizontal="center"/>
    </xf>
    <xf numFmtId="0" fontId="54" fillId="0" borderId="71" xfId="0" applyFont="1" applyFill="1" applyBorder="1" applyAlignment="1">
      <alignment horizontal="left"/>
    </xf>
    <xf numFmtId="1" fontId="0" fillId="0" borderId="0" xfId="0" applyNumberFormat="1" applyFill="1"/>
    <xf numFmtId="0" fontId="56" fillId="0" borderId="73" xfId="0" applyFont="1" applyFill="1" applyBorder="1" applyAlignment="1">
      <alignment horizontal="center"/>
    </xf>
    <xf numFmtId="0" fontId="54" fillId="0" borderId="6" xfId="0" applyFont="1" applyFill="1" applyBorder="1" applyAlignment="1">
      <alignment horizontal="right"/>
    </xf>
    <xf numFmtId="0" fontId="54" fillId="0" borderId="6" xfId="0" applyFont="1" applyFill="1" applyBorder="1" applyAlignment="1">
      <alignment horizontal="center"/>
    </xf>
    <xf numFmtId="0" fontId="54" fillId="0" borderId="75" xfId="0" applyFont="1" applyFill="1" applyBorder="1" applyAlignment="1">
      <alignment horizontal="left"/>
    </xf>
    <xf numFmtId="0" fontId="75" fillId="4" borderId="94" xfId="0" applyFont="1" applyFill="1" applyBorder="1"/>
    <xf numFmtId="0" fontId="57" fillId="0" borderId="0" xfId="1" applyFill="1" applyBorder="1" applyAlignment="1" applyProtection="1"/>
    <xf numFmtId="0" fontId="21" fillId="0" borderId="3" xfId="0" applyFont="1" applyBorder="1"/>
    <xf numFmtId="0" fontId="95" fillId="0" borderId="3" xfId="0" applyFont="1" applyFill="1" applyBorder="1" applyAlignment="1">
      <alignment horizontal="center"/>
    </xf>
    <xf numFmtId="11" fontId="82" fillId="0" borderId="3" xfId="0" applyNumberFormat="1" applyFont="1" applyBorder="1"/>
    <xf numFmtId="0" fontId="96" fillId="0" borderId="0" xfId="0" applyFont="1"/>
    <xf numFmtId="0" fontId="96" fillId="0" borderId="0" xfId="0" applyFont="1" applyAlignment="1">
      <alignment horizontal="right"/>
    </xf>
    <xf numFmtId="179" fontId="96" fillId="0" borderId="0" xfId="0" applyNumberFormat="1" applyFont="1"/>
    <xf numFmtId="15" fontId="31" fillId="0" borderId="8" xfId="0" quotePrefix="1" applyNumberFormat="1" applyFont="1" applyFill="1" applyBorder="1" applyAlignment="1">
      <alignment horizontal="left"/>
    </xf>
    <xf numFmtId="0" fontId="0" fillId="0" borderId="23" xfId="0" applyBorder="1" applyAlignment="1">
      <alignment horizontal="right"/>
    </xf>
    <xf numFmtId="0" fontId="0" fillId="0" borderId="7" xfId="0" applyBorder="1" applyAlignment="1">
      <alignment horizontal="right"/>
    </xf>
    <xf numFmtId="0" fontId="16" fillId="0" borderId="95" xfId="0" applyFont="1" applyBorder="1" applyProtection="1">
      <protection locked="0"/>
    </xf>
    <xf numFmtId="1" fontId="9" fillId="0" borderId="8" xfId="0" applyNumberFormat="1" applyFont="1" applyBorder="1"/>
    <xf numFmtId="0" fontId="0" fillId="0" borderId="8" xfId="0" applyBorder="1" applyAlignment="1">
      <alignment horizontal="right"/>
    </xf>
    <xf numFmtId="16" fontId="0" fillId="0" borderId="13" xfId="0" quotePrefix="1" applyNumberFormat="1" applyBorder="1"/>
    <xf numFmtId="0" fontId="0" fillId="0" borderId="10" xfId="0" applyBorder="1" applyAlignment="1">
      <alignment horizontal="left" vertical="top"/>
    </xf>
    <xf numFmtId="17" fontId="0" fillId="0" borderId="11" xfId="0" quotePrefix="1" applyNumberFormat="1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19" fillId="0" borderId="96" xfId="0" applyFont="1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98" xfId="0" applyBorder="1" applyAlignment="1">
      <alignment horizontal="center"/>
    </xf>
    <xf numFmtId="0" fontId="19" fillId="0" borderId="99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5" fillId="0" borderId="104" xfId="0" applyFont="1" applyFill="1" applyBorder="1" applyAlignment="1">
      <alignment horizontal="center"/>
    </xf>
    <xf numFmtId="0" fontId="55" fillId="0" borderId="105" xfId="0" applyFont="1" applyFill="1" applyBorder="1" applyAlignment="1">
      <alignment horizontal="center"/>
    </xf>
    <xf numFmtId="0" fontId="55" fillId="0" borderId="106" xfId="0" applyFont="1" applyFill="1" applyBorder="1" applyAlignment="1">
      <alignment horizontal="center"/>
    </xf>
    <xf numFmtId="0" fontId="54" fillId="0" borderId="22" xfId="0" applyFont="1" applyFill="1" applyBorder="1" applyAlignment="1">
      <alignment horizontal="center"/>
    </xf>
    <xf numFmtId="0" fontId="54" fillId="0" borderId="13" xfId="0" applyFont="1" applyFill="1" applyBorder="1" applyAlignment="1">
      <alignment horizontal="center"/>
    </xf>
    <xf numFmtId="0" fontId="54" fillId="0" borderId="107" xfId="0" applyFont="1" applyFill="1" applyBorder="1" applyAlignment="1">
      <alignment horizontal="center"/>
    </xf>
    <xf numFmtId="0" fontId="54" fillId="0" borderId="23" xfId="0" applyFont="1" applyFill="1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0" fontId="54" fillId="0" borderId="53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2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993300"/>
                </a:solidFill>
                <a:latin typeface="Arial"/>
                <a:ea typeface="Arial"/>
                <a:cs typeface="Arial"/>
              </a:defRPr>
            </a:pPr>
            <a:r>
              <a:rPr lang="pt-PT"/>
              <a:t>Kn  vs  Web Regression         </a:t>
            </a:r>
          </a:p>
        </c:rich>
      </c:tx>
      <c:layout>
        <c:manualLayout>
          <c:xMode val="edge"/>
          <c:yMode val="edge"/>
          <c:x val="0.25108345461556641"/>
          <c:y val="0.1369230563736784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17654154976201"/>
          <c:y val="0.24000013020840397"/>
          <c:w val="0.59608042880811585"/>
          <c:h val="0.48888915412823031"/>
        </c:manualLayout>
      </c:layout>
      <c:scatterChart>
        <c:scatterStyle val="smoothMarker"/>
        <c:varyColors val="0"/>
        <c:ser>
          <c:idx val="1"/>
          <c:order val="1"/>
          <c:tx>
            <c:v>Kn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'Data and Kn'!$C$45:$C$95</c:f>
              <c:numCache>
                <c:formatCode>0.00</c:formatCode>
                <c:ptCount val="51"/>
                <c:pt idx="0">
                  <c:v>0</c:v>
                </c:pt>
                <c:pt idx="1">
                  <c:v>0.49</c:v>
                </c:pt>
                <c:pt idx="2">
                  <c:v>0.98</c:v>
                </c:pt>
                <c:pt idx="3">
                  <c:v>1.47</c:v>
                </c:pt>
                <c:pt idx="4">
                  <c:v>1.96</c:v>
                </c:pt>
                <c:pt idx="5">
                  <c:v>2.4500000000000002</c:v>
                </c:pt>
                <c:pt idx="6">
                  <c:v>2.9400000000000004</c:v>
                </c:pt>
                <c:pt idx="7">
                  <c:v>3.4300000000000006</c:v>
                </c:pt>
                <c:pt idx="8">
                  <c:v>3.9200000000000008</c:v>
                </c:pt>
                <c:pt idx="9">
                  <c:v>4.410000000000001</c:v>
                </c:pt>
                <c:pt idx="10">
                  <c:v>4.9000000000000012</c:v>
                </c:pt>
                <c:pt idx="11">
                  <c:v>5.3900000000000015</c:v>
                </c:pt>
                <c:pt idx="12">
                  <c:v>5.8800000000000017</c:v>
                </c:pt>
                <c:pt idx="13">
                  <c:v>6.3700000000000019</c:v>
                </c:pt>
                <c:pt idx="14">
                  <c:v>6.8600000000000021</c:v>
                </c:pt>
                <c:pt idx="15">
                  <c:v>7.3500000000000023</c:v>
                </c:pt>
                <c:pt idx="16">
                  <c:v>7.8400000000000025</c:v>
                </c:pt>
                <c:pt idx="17">
                  <c:v>8.3300000000000018</c:v>
                </c:pt>
                <c:pt idx="18">
                  <c:v>8.8200000000000021</c:v>
                </c:pt>
                <c:pt idx="19">
                  <c:v>9.3100000000000023</c:v>
                </c:pt>
                <c:pt idx="20">
                  <c:v>9.8000000000000025</c:v>
                </c:pt>
                <c:pt idx="21">
                  <c:v>10.290000000000003</c:v>
                </c:pt>
                <c:pt idx="22">
                  <c:v>10.780000000000003</c:v>
                </c:pt>
                <c:pt idx="23">
                  <c:v>11.270000000000003</c:v>
                </c:pt>
                <c:pt idx="24">
                  <c:v>11.760000000000003</c:v>
                </c:pt>
                <c:pt idx="25">
                  <c:v>12.250000000000004</c:v>
                </c:pt>
                <c:pt idx="26">
                  <c:v>12.740000000000004</c:v>
                </c:pt>
                <c:pt idx="27">
                  <c:v>13.230000000000004</c:v>
                </c:pt>
                <c:pt idx="28">
                  <c:v>13.720000000000004</c:v>
                </c:pt>
                <c:pt idx="29">
                  <c:v>14.210000000000004</c:v>
                </c:pt>
                <c:pt idx="30">
                  <c:v>14.700000000000005</c:v>
                </c:pt>
                <c:pt idx="31">
                  <c:v>15.190000000000005</c:v>
                </c:pt>
                <c:pt idx="32">
                  <c:v>15.680000000000005</c:v>
                </c:pt>
                <c:pt idx="33">
                  <c:v>16.170000000000005</c:v>
                </c:pt>
                <c:pt idx="34">
                  <c:v>16.660000000000004</c:v>
                </c:pt>
                <c:pt idx="35">
                  <c:v>17.150000000000002</c:v>
                </c:pt>
                <c:pt idx="36">
                  <c:v>17.64</c:v>
                </c:pt>
                <c:pt idx="37">
                  <c:v>18.13</c:v>
                </c:pt>
                <c:pt idx="38">
                  <c:v>18.619999999999997</c:v>
                </c:pt>
                <c:pt idx="39">
                  <c:v>19.109999999999996</c:v>
                </c:pt>
                <c:pt idx="40">
                  <c:v>19.599999999999994</c:v>
                </c:pt>
                <c:pt idx="41">
                  <c:v>20.089999999999993</c:v>
                </c:pt>
                <c:pt idx="42">
                  <c:v>20.579999999999991</c:v>
                </c:pt>
                <c:pt idx="43">
                  <c:v>21.06999999999999</c:v>
                </c:pt>
                <c:pt idx="44">
                  <c:v>21.559999999999988</c:v>
                </c:pt>
                <c:pt idx="45">
                  <c:v>22.049999999999986</c:v>
                </c:pt>
                <c:pt idx="46">
                  <c:v>22.539999999999985</c:v>
                </c:pt>
                <c:pt idx="47">
                  <c:v>23.029999999999983</c:v>
                </c:pt>
                <c:pt idx="48">
                  <c:v>23.519999999999982</c:v>
                </c:pt>
                <c:pt idx="49">
                  <c:v>24.00999999999998</c:v>
                </c:pt>
                <c:pt idx="50">
                  <c:v>24.499999999999979</c:v>
                </c:pt>
              </c:numCache>
            </c:numRef>
          </c:xVal>
          <c:yVal>
            <c:numRef>
              <c:f>'Data and Kn'!$M$45:$M$95</c:f>
              <c:numCache>
                <c:formatCode>0.0</c:formatCode>
                <c:ptCount val="51"/>
                <c:pt idx="0">
                  <c:v>254.22370038874197</c:v>
                </c:pt>
                <c:pt idx="1">
                  <c:v>258.31235284177012</c:v>
                </c:pt>
                <c:pt idx="2">
                  <c:v>262.23752592295131</c:v>
                </c:pt>
                <c:pt idx="3">
                  <c:v>265.99921963228564</c:v>
                </c:pt>
                <c:pt idx="4">
                  <c:v>269.59743396977302</c:v>
                </c:pt>
                <c:pt idx="5">
                  <c:v>273.03216893541361</c:v>
                </c:pt>
                <c:pt idx="6">
                  <c:v>276.30342452920723</c:v>
                </c:pt>
                <c:pt idx="7">
                  <c:v>279.4112007511539</c:v>
                </c:pt>
                <c:pt idx="8">
                  <c:v>282.35549760125372</c:v>
                </c:pt>
                <c:pt idx="9">
                  <c:v>285.13631507950663</c:v>
                </c:pt>
                <c:pt idx="10">
                  <c:v>287.7536531859127</c:v>
                </c:pt>
                <c:pt idx="11">
                  <c:v>290.20751192047175</c:v>
                </c:pt>
                <c:pt idx="12">
                  <c:v>292.49789128318395</c:v>
                </c:pt>
                <c:pt idx="13">
                  <c:v>294.62479127404919</c:v>
                </c:pt>
                <c:pt idx="14">
                  <c:v>296.58821189306764</c:v>
                </c:pt>
                <c:pt idx="15">
                  <c:v>298.38815314023913</c:v>
                </c:pt>
                <c:pt idx="16">
                  <c:v>300.02461501556377</c:v>
                </c:pt>
                <c:pt idx="17">
                  <c:v>301.49759751904139</c:v>
                </c:pt>
                <c:pt idx="18">
                  <c:v>302.80710065067223</c:v>
                </c:pt>
                <c:pt idx="19">
                  <c:v>303.9531244104561</c:v>
                </c:pt>
                <c:pt idx="20">
                  <c:v>304.93566879839312</c:v>
                </c:pt>
                <c:pt idx="21">
                  <c:v>305.75473381448319</c:v>
                </c:pt>
                <c:pt idx="22">
                  <c:v>306.41031945872635</c:v>
                </c:pt>
                <c:pt idx="23">
                  <c:v>306.90242573112266</c:v>
                </c:pt>
                <c:pt idx="24">
                  <c:v>307.23105263167201</c:v>
                </c:pt>
                <c:pt idx="25">
                  <c:v>307.39620016037452</c:v>
                </c:pt>
                <c:pt idx="26">
                  <c:v>307.39786831723018</c:v>
                </c:pt>
                <c:pt idx="27">
                  <c:v>307.23605710223882</c:v>
                </c:pt>
                <c:pt idx="28">
                  <c:v>306.91076651540055</c:v>
                </c:pt>
                <c:pt idx="29">
                  <c:v>306.42199655671544</c:v>
                </c:pt>
                <c:pt idx="30">
                  <c:v>305.76974722618337</c:v>
                </c:pt>
                <c:pt idx="31">
                  <c:v>304.95401852380451</c:v>
                </c:pt>
                <c:pt idx="32">
                  <c:v>303.97481044957868</c:v>
                </c:pt>
                <c:pt idx="33">
                  <c:v>302.83212300350601</c:v>
                </c:pt>
                <c:pt idx="34">
                  <c:v>301.52595618558627</c:v>
                </c:pt>
                <c:pt idx="35">
                  <c:v>300.05630999581973</c:v>
                </c:pt>
                <c:pt idx="36">
                  <c:v>298.42318443420635</c:v>
                </c:pt>
                <c:pt idx="37">
                  <c:v>296.626579500746</c:v>
                </c:pt>
                <c:pt idx="38">
                  <c:v>294.66649519543876</c:v>
                </c:pt>
                <c:pt idx="39">
                  <c:v>292.5429315182846</c:v>
                </c:pt>
                <c:pt idx="40">
                  <c:v>290.2558884692836</c:v>
                </c:pt>
                <c:pt idx="41">
                  <c:v>287.8053660484357</c:v>
                </c:pt>
                <c:pt idx="42">
                  <c:v>285.19136425574078</c:v>
                </c:pt>
                <c:pt idx="43">
                  <c:v>282.41388309119907</c:v>
                </c:pt>
                <c:pt idx="44">
                  <c:v>279.47292255481045</c:v>
                </c:pt>
                <c:pt idx="45">
                  <c:v>276.36848264657493</c:v>
                </c:pt>
                <c:pt idx="46">
                  <c:v>273.10056336649251</c:v>
                </c:pt>
                <c:pt idx="47">
                  <c:v>269.66916471456312</c:v>
                </c:pt>
                <c:pt idx="48">
                  <c:v>266.07428669078695</c:v>
                </c:pt>
                <c:pt idx="49">
                  <c:v>262.31592929516376</c:v>
                </c:pt>
                <c:pt idx="50">
                  <c:v>258.39409252769372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2B-4E8D-AF63-89E44167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77535"/>
        <c:axId val="1"/>
      </c:scatterChart>
      <c:scatterChart>
        <c:scatterStyle val="lineMarker"/>
        <c:varyColors val="0"/>
        <c:ser>
          <c:idx val="0"/>
          <c:order val="0"/>
          <c:tx>
            <c:v>web thickness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'Data and Kn'!$C$45:$C$95</c:f>
              <c:numCache>
                <c:formatCode>0.00</c:formatCode>
                <c:ptCount val="51"/>
                <c:pt idx="0">
                  <c:v>0</c:v>
                </c:pt>
                <c:pt idx="1">
                  <c:v>0.49</c:v>
                </c:pt>
                <c:pt idx="2">
                  <c:v>0.98</c:v>
                </c:pt>
                <c:pt idx="3">
                  <c:v>1.47</c:v>
                </c:pt>
                <c:pt idx="4">
                  <c:v>1.96</c:v>
                </c:pt>
                <c:pt idx="5">
                  <c:v>2.4500000000000002</c:v>
                </c:pt>
                <c:pt idx="6">
                  <c:v>2.9400000000000004</c:v>
                </c:pt>
                <c:pt idx="7">
                  <c:v>3.4300000000000006</c:v>
                </c:pt>
                <c:pt idx="8">
                  <c:v>3.9200000000000008</c:v>
                </c:pt>
                <c:pt idx="9">
                  <c:v>4.410000000000001</c:v>
                </c:pt>
                <c:pt idx="10">
                  <c:v>4.9000000000000012</c:v>
                </c:pt>
                <c:pt idx="11">
                  <c:v>5.3900000000000015</c:v>
                </c:pt>
                <c:pt idx="12">
                  <c:v>5.8800000000000017</c:v>
                </c:pt>
                <c:pt idx="13">
                  <c:v>6.3700000000000019</c:v>
                </c:pt>
                <c:pt idx="14">
                  <c:v>6.8600000000000021</c:v>
                </c:pt>
                <c:pt idx="15">
                  <c:v>7.3500000000000023</c:v>
                </c:pt>
                <c:pt idx="16">
                  <c:v>7.8400000000000025</c:v>
                </c:pt>
                <c:pt idx="17">
                  <c:v>8.3300000000000018</c:v>
                </c:pt>
                <c:pt idx="18">
                  <c:v>8.8200000000000021</c:v>
                </c:pt>
                <c:pt idx="19">
                  <c:v>9.3100000000000023</c:v>
                </c:pt>
                <c:pt idx="20">
                  <c:v>9.8000000000000025</c:v>
                </c:pt>
                <c:pt idx="21">
                  <c:v>10.290000000000003</c:v>
                </c:pt>
                <c:pt idx="22">
                  <c:v>10.780000000000003</c:v>
                </c:pt>
                <c:pt idx="23">
                  <c:v>11.270000000000003</c:v>
                </c:pt>
                <c:pt idx="24">
                  <c:v>11.760000000000003</c:v>
                </c:pt>
                <c:pt idx="25">
                  <c:v>12.250000000000004</c:v>
                </c:pt>
                <c:pt idx="26">
                  <c:v>12.740000000000004</c:v>
                </c:pt>
                <c:pt idx="27">
                  <c:v>13.230000000000004</c:v>
                </c:pt>
                <c:pt idx="28">
                  <c:v>13.720000000000004</c:v>
                </c:pt>
                <c:pt idx="29">
                  <c:v>14.210000000000004</c:v>
                </c:pt>
                <c:pt idx="30">
                  <c:v>14.700000000000005</c:v>
                </c:pt>
                <c:pt idx="31">
                  <c:v>15.190000000000005</c:v>
                </c:pt>
                <c:pt idx="32">
                  <c:v>15.680000000000005</c:v>
                </c:pt>
                <c:pt idx="33">
                  <c:v>16.170000000000005</c:v>
                </c:pt>
                <c:pt idx="34">
                  <c:v>16.660000000000004</c:v>
                </c:pt>
                <c:pt idx="35">
                  <c:v>17.150000000000002</c:v>
                </c:pt>
                <c:pt idx="36">
                  <c:v>17.64</c:v>
                </c:pt>
                <c:pt idx="37">
                  <c:v>18.13</c:v>
                </c:pt>
                <c:pt idx="38">
                  <c:v>18.619999999999997</c:v>
                </c:pt>
                <c:pt idx="39">
                  <c:v>19.109999999999996</c:v>
                </c:pt>
                <c:pt idx="40">
                  <c:v>19.599999999999994</c:v>
                </c:pt>
                <c:pt idx="41">
                  <c:v>20.089999999999993</c:v>
                </c:pt>
                <c:pt idx="42">
                  <c:v>20.579999999999991</c:v>
                </c:pt>
                <c:pt idx="43">
                  <c:v>21.06999999999999</c:v>
                </c:pt>
                <c:pt idx="44">
                  <c:v>21.559999999999988</c:v>
                </c:pt>
                <c:pt idx="45">
                  <c:v>22.049999999999986</c:v>
                </c:pt>
                <c:pt idx="46">
                  <c:v>22.539999999999985</c:v>
                </c:pt>
                <c:pt idx="47">
                  <c:v>23.029999999999983</c:v>
                </c:pt>
                <c:pt idx="48">
                  <c:v>23.519999999999982</c:v>
                </c:pt>
                <c:pt idx="49">
                  <c:v>24.00999999999998</c:v>
                </c:pt>
                <c:pt idx="50">
                  <c:v>24.499999999999979</c:v>
                </c:pt>
              </c:numCache>
            </c:numRef>
          </c:xVal>
          <c:yVal>
            <c:numRef>
              <c:f>'Data and Kn'!$G$45:$G$95</c:f>
              <c:numCache>
                <c:formatCode>0.00</c:formatCode>
                <c:ptCount val="51"/>
                <c:pt idx="0">
                  <c:v>24.5</c:v>
                </c:pt>
                <c:pt idx="1">
                  <c:v>24.009999999999998</c:v>
                </c:pt>
                <c:pt idx="2">
                  <c:v>23.52</c:v>
                </c:pt>
                <c:pt idx="3">
                  <c:v>23.03</c:v>
                </c:pt>
                <c:pt idx="4">
                  <c:v>22.54</c:v>
                </c:pt>
                <c:pt idx="5">
                  <c:v>22.05</c:v>
                </c:pt>
                <c:pt idx="6">
                  <c:v>21.56</c:v>
                </c:pt>
                <c:pt idx="7">
                  <c:v>21.07</c:v>
                </c:pt>
                <c:pt idx="8">
                  <c:v>20.58</c:v>
                </c:pt>
                <c:pt idx="9">
                  <c:v>20.09</c:v>
                </c:pt>
                <c:pt idx="10">
                  <c:v>19.599999999999998</c:v>
                </c:pt>
                <c:pt idx="11">
                  <c:v>19.11</c:v>
                </c:pt>
                <c:pt idx="12">
                  <c:v>18.619999999999997</c:v>
                </c:pt>
                <c:pt idx="13">
                  <c:v>18.13</c:v>
                </c:pt>
                <c:pt idx="14">
                  <c:v>17.639999999999997</c:v>
                </c:pt>
                <c:pt idx="15">
                  <c:v>17.149999999999999</c:v>
                </c:pt>
                <c:pt idx="16">
                  <c:v>16.659999999999997</c:v>
                </c:pt>
                <c:pt idx="17">
                  <c:v>16.169999999999998</c:v>
                </c:pt>
                <c:pt idx="18">
                  <c:v>15.68</c:v>
                </c:pt>
                <c:pt idx="19">
                  <c:v>15.189999999999998</c:v>
                </c:pt>
                <c:pt idx="20">
                  <c:v>14.699999999999996</c:v>
                </c:pt>
                <c:pt idx="21">
                  <c:v>14.209999999999997</c:v>
                </c:pt>
                <c:pt idx="22">
                  <c:v>13.719999999999999</c:v>
                </c:pt>
                <c:pt idx="23">
                  <c:v>13.229999999999997</c:v>
                </c:pt>
                <c:pt idx="24">
                  <c:v>12.739999999999995</c:v>
                </c:pt>
                <c:pt idx="25">
                  <c:v>12.249999999999996</c:v>
                </c:pt>
                <c:pt idx="26">
                  <c:v>11.759999999999998</c:v>
                </c:pt>
                <c:pt idx="27">
                  <c:v>11.269999999999996</c:v>
                </c:pt>
                <c:pt idx="28">
                  <c:v>10.779999999999994</c:v>
                </c:pt>
                <c:pt idx="29">
                  <c:v>10.289999999999996</c:v>
                </c:pt>
                <c:pt idx="30">
                  <c:v>9.7999999999999972</c:v>
                </c:pt>
                <c:pt idx="31">
                  <c:v>9.3099999999999952</c:v>
                </c:pt>
                <c:pt idx="32">
                  <c:v>8.8199999999999932</c:v>
                </c:pt>
                <c:pt idx="33">
                  <c:v>8.3299999999999947</c:v>
                </c:pt>
                <c:pt idx="34">
                  <c:v>7.8399999999999963</c:v>
                </c:pt>
                <c:pt idx="35">
                  <c:v>7.3499999999999979</c:v>
                </c:pt>
                <c:pt idx="36">
                  <c:v>6.8599999999999994</c:v>
                </c:pt>
                <c:pt idx="37">
                  <c:v>6.370000000000001</c:v>
                </c:pt>
                <c:pt idx="38">
                  <c:v>5.8800000000000026</c:v>
                </c:pt>
                <c:pt idx="39">
                  <c:v>5.3900000000000041</c:v>
                </c:pt>
                <c:pt idx="40">
                  <c:v>4.9000000000000057</c:v>
                </c:pt>
                <c:pt idx="41">
                  <c:v>4.4100000000000072</c:v>
                </c:pt>
                <c:pt idx="42">
                  <c:v>3.9200000000000088</c:v>
                </c:pt>
                <c:pt idx="43">
                  <c:v>3.4300000000000104</c:v>
                </c:pt>
                <c:pt idx="44">
                  <c:v>2.9400000000000119</c:v>
                </c:pt>
                <c:pt idx="45">
                  <c:v>2.4500000000000171</c:v>
                </c:pt>
                <c:pt idx="46">
                  <c:v>1.9600000000000151</c:v>
                </c:pt>
                <c:pt idx="47">
                  <c:v>1.4700000000000131</c:v>
                </c:pt>
                <c:pt idx="48">
                  <c:v>0.98000000000001819</c:v>
                </c:pt>
                <c:pt idx="49">
                  <c:v>0.49000000000002331</c:v>
                </c:pt>
                <c:pt idx="50">
                  <c:v>2.1316282072803006E-14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2B-4E8D-AF63-89E44167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60277535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Web Regression  (mm)</a:t>
                </a:r>
              </a:p>
            </c:rich>
          </c:tx>
          <c:layout>
            <c:manualLayout>
              <c:xMode val="edge"/>
              <c:yMode val="edge"/>
              <c:x val="0.28503594929780696"/>
              <c:y val="0.78717984679395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pt-PT" sz="1200" b="1" i="0" u="none" strike="noStrike" baseline="0">
                    <a:solidFill>
                      <a:srgbClr val="FF0000"/>
                    </a:solidFill>
                    <a:latin typeface="Arial"/>
                    <a:cs typeface="Arial"/>
                  </a:rPr>
                  <a:t>K</a:t>
                </a:r>
                <a:r>
                  <a:rPr lang="pt-PT" sz="900" b="1" i="0" u="none" strike="noStrike" baseline="0">
                    <a:solidFill>
                      <a:srgbClr val="FF0000"/>
                    </a:solidFill>
                    <a:latin typeface="Arial"/>
                    <a:cs typeface="Arial"/>
                  </a:rPr>
                  <a:t>n</a:t>
                </a:r>
              </a:p>
            </c:rich>
          </c:tx>
          <c:layout>
            <c:manualLayout>
              <c:xMode val="edge"/>
              <c:yMode val="edge"/>
              <c:x val="3.3254344391785151E-2"/>
              <c:y val="0.42820553919309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027753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33339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web thickness</a:t>
                </a:r>
              </a:p>
            </c:rich>
          </c:tx>
          <c:layout>
            <c:manualLayout>
              <c:xMode val="edge"/>
              <c:yMode val="edge"/>
              <c:x val="0.88123608364120365"/>
              <c:y val="0.32307707719741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3"/>
        <c:crosses val="max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7252117774377727"/>
          <c:y val="0.90079207656294868"/>
          <c:w val="0.73936199325795182"/>
          <c:h val="0.966951840943546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993300"/>
                </a:solidFill>
                <a:latin typeface="Arial"/>
                <a:ea typeface="Arial"/>
                <a:cs typeface="Arial"/>
              </a:defRPr>
            </a:pPr>
            <a:r>
              <a:rPr lang="pt-PT"/>
              <a:t>Chamber Pressure vs time</a:t>
            </a:r>
          </a:p>
        </c:rich>
      </c:tx>
      <c:layout>
        <c:manualLayout>
          <c:xMode val="edge"/>
          <c:yMode val="edge"/>
          <c:x val="0.27114099576838613"/>
          <c:y val="0.1551115667328287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3125"/>
          <c:y val="0.25181598062953997"/>
          <c:w val="0.74513379153876946"/>
          <c:h val="0.5617433414043583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Pressure!$Q$28:$Q$910</c:f>
              <c:numCache>
                <c:formatCode>0.0000</c:formatCode>
                <c:ptCount val="883"/>
                <c:pt idx="0" formatCode="General">
                  <c:v>0</c:v>
                </c:pt>
                <c:pt idx="1">
                  <c:v>1.3690952744175942E-2</c:v>
                </c:pt>
                <c:pt idx="2">
                  <c:v>1.7603502742996727E-2</c:v>
                </c:pt>
                <c:pt idx="3">
                  <c:v>2.1482688517604476E-2</c:v>
                </c:pt>
                <c:pt idx="4">
                  <c:v>2.5101691753813781E-2</c:v>
                </c:pt>
                <c:pt idx="5">
                  <c:v>2.8540497141026907E-2</c:v>
                </c:pt>
                <c:pt idx="6" formatCode="0.00000">
                  <c:v>3.1847400549835231E-2</c:v>
                </c:pt>
                <c:pt idx="7" formatCode="0.00000">
                  <c:v>3.505398044593093E-2</c:v>
                </c:pt>
                <c:pt idx="8">
                  <c:v>3.8182062527316811E-2</c:v>
                </c:pt>
                <c:pt idx="9">
                  <c:v>4.1247358195279173E-2</c:v>
                </c:pt>
                <c:pt idx="10">
                  <c:v>4.4261532609196852E-2</c:v>
                </c:pt>
                <c:pt idx="11">
                  <c:v>4.7233458299545526E-2</c:v>
                </c:pt>
                <c:pt idx="12">
                  <c:v>5.0170014749963202E-2</c:v>
                </c:pt>
                <c:pt idx="13">
                  <c:v>5.3076619871607132E-2</c:v>
                </c:pt>
                <c:pt idx="14">
                  <c:v>5.5957595527643941E-2</c:v>
                </c:pt>
                <c:pt idx="15">
                  <c:v>5.8816426223393073E-2</c:v>
                </c:pt>
                <c:pt idx="16">
                  <c:v>6.1655946687005456E-2</c:v>
                </c:pt>
                <c:pt idx="17">
                  <c:v>6.447848074263067E-2</c:v>
                </c:pt>
                <c:pt idx="18">
                  <c:v>6.7285945979161821E-2</c:v>
                </c:pt>
                <c:pt idx="19">
                  <c:v>7.0079933869475156E-2</c:v>
                </c:pt>
                <c:pt idx="20">
                  <c:v>7.2861771927823435E-2</c:v>
                </c:pt>
                <c:pt idx="21">
                  <c:v>7.5632572499824011E-2</c:v>
                </c:pt>
                <c:pt idx="22">
                  <c:v>7.8393271452929084E-2</c:v>
                </c:pt>
                <c:pt idx="23">
                  <c:v>8.1144659133212921E-2</c:v>
                </c:pt>
                <c:pt idx="24">
                  <c:v>8.388740532889101E-2</c:v>
                </c:pt>
                <c:pt idx="25">
                  <c:v>8.6622079539594929E-2</c:v>
                </c:pt>
                <c:pt idx="26">
                  <c:v>8.9349167533829196E-2</c:v>
                </c:pt>
                <c:pt idx="27">
                  <c:v>9.2069084946529559E-2</c:v>
                </c:pt>
                <c:pt idx="28">
                  <c:v>9.4782188498493264E-2</c:v>
                </c:pt>
                <c:pt idx="29">
                  <c:v>9.7488785292256686E-2</c:v>
                </c:pt>
                <c:pt idx="30">
                  <c:v>0.10018914054278401</c:v>
                </c:pt>
                <c:pt idx="31">
                  <c:v>0.10288348402777035</c:v>
                </c:pt>
                <c:pt idx="32">
                  <c:v>0.10557201548555165</c:v>
                </c:pt>
                <c:pt idx="33">
                  <c:v>0.10825490914433769</c:v>
                </c:pt>
                <c:pt idx="34">
                  <c:v>0.11093231753168455</c:v>
                </c:pt>
                <c:pt idx="35">
                  <c:v>0.11360437468556009</c:v>
                </c:pt>
                <c:pt idx="36">
                  <c:v>0.11627119886636905</c:v>
                </c:pt>
                <c:pt idx="37">
                  <c:v>0.11893289485165438</c:v>
                </c:pt>
                <c:pt idx="38">
                  <c:v>0.12158955588093497</c:v>
                </c:pt>
                <c:pt idx="39">
                  <c:v>0.12424126530657287</c:v>
                </c:pt>
                <c:pt idx="40">
                  <c:v>0.12688809799711875</c:v>
                </c:pt>
                <c:pt idx="41">
                  <c:v>0.12953012153185386</c:v>
                </c:pt>
                <c:pt idx="42">
                  <c:v>0.13216739721887991</c:v>
                </c:pt>
                <c:pt idx="43">
                  <c:v>0.13479998096386012</c:v>
                </c:pt>
                <c:pt idx="44">
                  <c:v>0.13742792401215989</c:v>
                </c:pt>
                <c:pt idx="45">
                  <c:v>0.14005127358352346</c:v>
                </c:pt>
                <c:pt idx="46">
                  <c:v>0.14267007341541077</c:v>
                </c:pt>
                <c:pt idx="47">
                  <c:v>0.14528436422860522</c:v>
                </c:pt>
                <c:pt idx="48">
                  <c:v>0.14789418412659722</c:v>
                </c:pt>
                <c:pt idx="49">
                  <c:v>0.15049956893848515</c:v>
                </c:pt>
                <c:pt idx="50">
                  <c:v>0.15310055251365182</c:v>
                </c:pt>
                <c:pt idx="51">
                  <c:v>0.15569716697522437</c:v>
                </c:pt>
                <c:pt idx="52">
                  <c:v>0.15828944293827713</c:v>
                </c:pt>
                <c:pt idx="53">
                  <c:v>0.16087740969784278</c:v>
                </c:pt>
                <c:pt idx="54">
                  <c:v>0.16346109539105047</c:v>
                </c:pt>
                <c:pt idx="55">
                  <c:v>0.16604052713707076</c:v>
                </c:pt>
                <c:pt idx="56">
                  <c:v>0.16861573115800763</c:v>
                </c:pt>
                <c:pt idx="57">
                  <c:v>0.17118673288342171</c:v>
                </c:pt>
                <c:pt idx="58">
                  <c:v>0.17375355704077683</c:v>
                </c:pt>
                <c:pt idx="59">
                  <c:v>0.176316227733776</c:v>
                </c:pt>
                <c:pt idx="60">
                  <c:v>0.17887476851026521</c:v>
                </c:pt>
                <c:pt idx="61">
                  <c:v>0.18142920242114741</c:v>
                </c:pt>
                <c:pt idx="62">
                  <c:v>0.18397955207154371</c:v>
                </c:pt>
                <c:pt idx="63">
                  <c:v>0.18652583966526221</c:v>
                </c:pt>
                <c:pt idx="64">
                  <c:v>0.18906808704348699</c:v>
                </c:pt>
                <c:pt idx="65">
                  <c:v>0.19160631571847109</c:v>
                </c:pt>
                <c:pt idx="66">
                  <c:v>0.19414054690290869</c:v>
                </c:pt>
                <c:pt idx="67">
                  <c:v>0.19667080153556757</c:v>
                </c:pt>
                <c:pt idx="68">
                  <c:v>0.19919710030368101</c:v>
                </c:pt>
                <c:pt idx="69">
                  <c:v>0.20171946366253329</c:v>
                </c:pt>
                <c:pt idx="70">
                  <c:v>0.20423791185260956</c:v>
                </c:pt>
                <c:pt idx="71">
                  <c:v>0.2067524649146322</c:v>
                </c:pt>
                <c:pt idx="72">
                  <c:v>0.20926314270276122</c:v>
                </c:pt>
                <c:pt idx="73">
                  <c:v>0.21176996489620026</c:v>
                </c:pt>
                <c:pt idx="74">
                  <c:v>0.2142729510094141</c:v>
                </c:pt>
                <c:pt idx="75">
                  <c:v>0.21677212040113999</c:v>
                </c:pt>
                <c:pt idx="76">
                  <c:v>0.21926749228234643</c:v>
                </c:pt>
                <c:pt idx="77">
                  <c:v>0.22175908572327607</c:v>
                </c:pt>
                <c:pt idx="78">
                  <c:v>0.22424691965968988</c:v>
                </c:pt>
                <c:pt idx="79">
                  <c:v>0.22673101289841333</c:v>
                </c:pt>
                <c:pt idx="80">
                  <c:v>0.22921138412227382</c:v>
                </c:pt>
                <c:pt idx="81">
                  <c:v>0.23168805189450636</c:v>
                </c:pt>
                <c:pt idx="82">
                  <c:v>0.23416103466269333</c:v>
                </c:pt>
                <c:pt idx="83">
                  <c:v>0.23663035076229727</c:v>
                </c:pt>
                <c:pt idx="84">
                  <c:v>0.23909601841983627</c:v>
                </c:pt>
                <c:pt idx="85">
                  <c:v>0.24155805575574746</c:v>
                </c:pt>
                <c:pt idx="86">
                  <c:v>0.24401648078697602</c:v>
                </c:pt>
                <c:pt idx="87">
                  <c:v>0.24647131142932335</c:v>
                </c:pt>
                <c:pt idx="88">
                  <c:v>0.24892256549958292</c:v>
                </c:pt>
                <c:pt idx="89">
                  <c:v>0.25137026071749147</c:v>
                </c:pt>
                <c:pt idx="90">
                  <c:v>0.25381441470751515</c:v>
                </c:pt>
                <c:pt idx="91">
                  <c:v>0.25625504500049234</c:v>
                </c:pt>
                <c:pt idx="92">
                  <c:v>0.25869216903514841</c:v>
                </c:pt>
                <c:pt idx="93">
                  <c:v>0.26112580415949871</c:v>
                </c:pt>
                <c:pt idx="94">
                  <c:v>0.26355596763215211</c:v>
                </c:pt>
                <c:pt idx="95">
                  <c:v>0.2659826766235267</c:v>
                </c:pt>
                <c:pt idx="96">
                  <c:v>0.26840594821698782</c:v>
                </c:pt>
                <c:pt idx="97">
                  <c:v>0.27082579940991708</c:v>
                </c:pt>
                <c:pt idx="98">
                  <c:v>0.27324224711472</c:v>
                </c:pt>
                <c:pt idx="99">
                  <c:v>0.27565530815977929</c:v>
                </c:pt>
                <c:pt idx="100">
                  <c:v>0.27806499929035977</c:v>
                </c:pt>
                <c:pt idx="101">
                  <c:v>0.28047133716946987</c:v>
                </c:pt>
                <c:pt idx="102">
                  <c:v>0.28287433837868459</c:v>
                </c:pt>
                <c:pt idx="103">
                  <c:v>0.28527401941893377</c:v>
                </c:pt>
                <c:pt idx="104">
                  <c:v>0.2876703967112591</c:v>
                </c:pt>
                <c:pt idx="105">
                  <c:v>0.2900634865975445</c:v>
                </c:pt>
                <c:pt idx="106">
                  <c:v>0.29245330534121977</c:v>
                </c:pt>
                <c:pt idx="107">
                  <c:v>0.29483986912794291</c:v>
                </c:pt>
                <c:pt idx="108">
                  <c:v>0.29722319406626124</c:v>
                </c:pt>
                <c:pt idx="109">
                  <c:v>0.29960329618825465</c:v>
                </c:pt>
                <c:pt idx="110">
                  <c:v>0.30198019145016158</c:v>
                </c:pt>
                <c:pt idx="111">
                  <c:v>0.30435389573298993</c:v>
                </c:pt>
                <c:pt idx="112">
                  <c:v>0.3067244248431138</c:v>
                </c:pt>
                <c:pt idx="113">
                  <c:v>0.30909179451285762</c:v>
                </c:pt>
                <c:pt idx="114">
                  <c:v>0.31145602040106835</c:v>
                </c:pt>
                <c:pt idx="115">
                  <c:v>0.31381711809367718</c:v>
                </c:pt>
                <c:pt idx="116">
                  <c:v>0.31617510310425095</c:v>
                </c:pt>
                <c:pt idx="117">
                  <c:v>0.31852999087453426</c:v>
                </c:pt>
                <c:pt idx="118">
                  <c:v>0.32088179677498324</c:v>
                </c:pt>
                <c:pt idx="119">
                  <c:v>0.32323053610529101</c:v>
                </c:pt>
                <c:pt idx="120">
                  <c:v>0.325576224094906</c:v>
                </c:pt>
                <c:pt idx="121">
                  <c:v>0.32791887590354307</c:v>
                </c:pt>
                <c:pt idx="122">
                  <c:v>0.33025850662168765</c:v>
                </c:pt>
                <c:pt idx="123">
                  <c:v>0.33259513127109436</c:v>
                </c:pt>
                <c:pt idx="124">
                  <c:v>0.33492876480527894</c:v>
                </c:pt>
                <c:pt idx="125">
                  <c:v>0.33725942211000526</c:v>
                </c:pt>
                <c:pt idx="126">
                  <c:v>0.33958711800376656</c:v>
                </c:pt>
                <c:pt idx="127">
                  <c:v>0.34191186723826184</c:v>
                </c:pt>
                <c:pt idx="128">
                  <c:v>0.34423368449886693</c:v>
                </c:pt>
                <c:pt idx="129">
                  <c:v>0.3465525844051015</c:v>
                </c:pt>
                <c:pt idx="130">
                  <c:v>0.34886858151109112</c:v>
                </c:pt>
                <c:pt idx="131">
                  <c:v>0.3511816903060252</c:v>
                </c:pt>
                <c:pt idx="132">
                  <c:v>0.35349192521461054</c:v>
                </c:pt>
                <c:pt idx="133">
                  <c:v>0.35579930059752107</c:v>
                </c:pt>
                <c:pt idx="134">
                  <c:v>0.35810383075184349</c:v>
                </c:pt>
                <c:pt idx="135">
                  <c:v>0.36040552991151903</c:v>
                </c:pt>
                <c:pt idx="136">
                  <c:v>0.36270441224778166</c:v>
                </c:pt>
                <c:pt idx="137">
                  <c:v>0.36500049186959271</c:v>
                </c:pt>
                <c:pt idx="138">
                  <c:v>0.36729378282407166</c:v>
                </c:pt>
                <c:pt idx="139">
                  <c:v>0.36958429909692375</c:v>
                </c:pt>
                <c:pt idx="140">
                  <c:v>0.37187205461286399</c:v>
                </c:pt>
                <c:pt idx="141">
                  <c:v>0.37415706323603803</c:v>
                </c:pt>
                <c:pt idx="142">
                  <c:v>0.37643933877043978</c:v>
                </c:pt>
                <c:pt idx="143">
                  <c:v>0.37871889496032579</c:v>
                </c:pt>
                <c:pt idx="144">
                  <c:v>0.38099574549062643</c:v>
                </c:pt>
                <c:pt idx="145">
                  <c:v>0.38326990398735394</c:v>
                </c:pt>
                <c:pt idx="146">
                  <c:v>0.38554138401800758</c:v>
                </c:pt>
                <c:pt idx="147">
                  <c:v>0.387810199091976</c:v>
                </c:pt>
                <c:pt idx="148">
                  <c:v>0.39007636266093615</c:v>
                </c:pt>
                <c:pt idx="149">
                  <c:v>0.39233988811924969</c:v>
                </c:pt>
                <c:pt idx="150">
                  <c:v>0.39460078880435623</c:v>
                </c:pt>
                <c:pt idx="151">
                  <c:v>0.3968590779971643</c:v>
                </c:pt>
                <c:pt idx="152">
                  <c:v>0.39911476892243869</c:v>
                </c:pt>
                <c:pt idx="153">
                  <c:v>0.40136787474918584</c:v>
                </c:pt>
                <c:pt idx="154">
                  <c:v>0.40361840859103615</c:v>
                </c:pt>
                <c:pt idx="155">
                  <c:v>0.40586638350662335</c:v>
                </c:pt>
                <c:pt idx="156">
                  <c:v>0.4080892321846642</c:v>
                </c:pt>
                <c:pt idx="157">
                  <c:v>0.41031336577271849</c:v>
                </c:pt>
                <c:pt idx="158">
                  <c:v>0.41253848282651479</c:v>
                </c:pt>
                <c:pt idx="159">
                  <c:v>0.4147643628986073</c:v>
                </c:pt>
                <c:pt idx="160">
                  <c:v>0.41699084445127033</c:v>
                </c:pt>
                <c:pt idx="161">
                  <c:v>0.4192178088938775</c:v>
                </c:pt>
                <c:pt idx="162">
                  <c:v>0.42144516900686885</c:v>
                </c:pt>
                <c:pt idx="163">
                  <c:v>0.42367286052384107</c:v>
                </c:pt>
                <c:pt idx="164">
                  <c:v>0.42590083599651141</c:v>
                </c:pt>
                <c:pt idx="165">
                  <c:v>0.42812906031514847</c:v>
                </c:pt>
                <c:pt idx="166">
                  <c:v>0.4303575074325825</c:v>
                </c:pt>
                <c:pt idx="167">
                  <c:v>0.43258615796510774</c:v>
                </c:pt>
                <c:pt idx="168">
                  <c:v>0.43481499743339447</c:v>
                </c:pt>
                <c:pt idx="169">
                  <c:v>0.43704401497123102</c:v>
                </c:pt>
                <c:pt idx="170">
                  <c:v>0.43927320237669365</c:v>
                </c:pt>
                <c:pt idx="171">
                  <c:v>0.44150255341425659</c:v>
                </c:pt>
                <c:pt idx="172">
                  <c:v>0.44373206330099896</c:v>
                </c:pt>
                <c:pt idx="173">
                  <c:v>0.44596172832800757</c:v>
                </c:pt>
                <c:pt idx="174">
                  <c:v>0.44819154558115992</c:v>
                </c:pt>
                <c:pt idx="175">
                  <c:v>0.45042151273502645</c:v>
                </c:pt>
                <c:pt idx="176">
                  <c:v>0.45265162790061758</c:v>
                </c:pt>
                <c:pt idx="177">
                  <c:v>0.45488188951281694</c:v>
                </c:pt>
                <c:pt idx="178">
                  <c:v>0.45711229624708849</c:v>
                </c:pt>
                <c:pt idx="179">
                  <c:v>0.45934284695779565</c:v>
                </c:pt>
                <c:pt idx="180">
                  <c:v>0.46157354063248845</c:v>
                </c:pt>
                <c:pt idx="181">
                  <c:v>0.46380437635799843</c:v>
                </c:pt>
                <c:pt idx="182">
                  <c:v>0.4660353532952709</c:v>
                </c:pt>
                <c:pt idx="183">
                  <c:v>0.46826647066066923</c:v>
                </c:pt>
                <c:pt idx="184">
                  <c:v>0.47049772771207488</c:v>
                </c:pt>
                <c:pt idx="185">
                  <c:v>0.47272912373854575</c:v>
                </c:pt>
                <c:pt idx="186">
                  <c:v>0.47496065805261545</c:v>
                </c:pt>
                <c:pt idx="187">
                  <c:v>0.47719232998455441</c:v>
                </c:pt>
                <c:pt idx="188">
                  <c:v>0.47942413887808971</c:v>
                </c:pt>
                <c:pt idx="189">
                  <c:v>0.48165608408721039</c:v>
                </c:pt>
                <c:pt idx="190">
                  <c:v>0.48388816497378029</c:v>
                </c:pt>
                <c:pt idx="191">
                  <c:v>0.4861203809057536</c:v>
                </c:pt>
                <c:pt idx="192">
                  <c:v>0.48835273125583895</c:v>
                </c:pt>
                <c:pt idx="193">
                  <c:v>0.4905852154004986</c:v>
                </c:pt>
                <c:pt idx="194">
                  <c:v>0.49281783271919816</c:v>
                </c:pt>
                <c:pt idx="195">
                  <c:v>0.49505058259384266</c:v>
                </c:pt>
                <c:pt idx="196">
                  <c:v>0.49728346440835325</c:v>
                </c:pt>
                <c:pt idx="197">
                  <c:v>0.49951647754834777</c:v>
                </c:pt>
                <c:pt idx="198">
                  <c:v>0.5017496214009004</c:v>
                </c:pt>
                <c:pt idx="199">
                  <c:v>0.50398289535435947</c:v>
                </c:pt>
                <c:pt idx="200">
                  <c:v>0.50621629879820973</c:v>
                </c:pt>
                <c:pt idx="201">
                  <c:v>0.50844983112296782</c:v>
                </c:pt>
                <c:pt idx="202">
                  <c:v>0.51068349172010208</c:v>
                </c:pt>
                <c:pt idx="203">
                  <c:v>0.51291727998197134</c:v>
                </c:pt>
                <c:pt idx="204">
                  <c:v>0.51515119530177778</c:v>
                </c:pt>
                <c:pt idx="205">
                  <c:v>0.51738523707353046</c:v>
                </c:pt>
                <c:pt idx="206">
                  <c:v>0.51961940469201662</c:v>
                </c:pt>
                <c:pt idx="207">
                  <c:v>0.52185369755277911</c:v>
                </c:pt>
                <c:pt idx="208">
                  <c:v>0.52408811505209818</c:v>
                </c:pt>
                <c:pt idx="209">
                  <c:v>0.52632265658697697</c:v>
                </c:pt>
                <c:pt idx="210">
                  <c:v>0.52855732155512936</c:v>
                </c:pt>
                <c:pt idx="211">
                  <c:v>0.53079210935497012</c:v>
                </c:pt>
                <c:pt idx="212">
                  <c:v>0.53302701938560626</c:v>
                </c:pt>
                <c:pt idx="213">
                  <c:v>0.53526205104682922</c:v>
                </c:pt>
                <c:pt idx="214">
                  <c:v>0.5374972037391087</c:v>
                </c:pt>
                <c:pt idx="215">
                  <c:v>0.5397324768635865</c:v>
                </c:pt>
                <c:pt idx="216">
                  <c:v>0.54196786982207101</c:v>
                </c:pt>
                <c:pt idx="217">
                  <c:v>0.54420338201703244</c:v>
                </c:pt>
                <c:pt idx="218">
                  <c:v>0.54643901285159768</c:v>
                </c:pt>
                <c:pt idx="219">
                  <c:v>0.54867476172954599</c:v>
                </c:pt>
                <c:pt idx="220">
                  <c:v>0.55091062805530444</c:v>
                </c:pt>
                <c:pt idx="221">
                  <c:v>0.55314661123394393</c:v>
                </c:pt>
                <c:pt idx="222">
                  <c:v>0.55538271067117484</c:v>
                </c:pt>
                <c:pt idx="223">
                  <c:v>0.55761892577334293</c:v>
                </c:pt>
                <c:pt idx="224">
                  <c:v>0.55985525594742569</c:v>
                </c:pt>
                <c:pt idx="225">
                  <c:v>0.56209170060102798</c:v>
                </c:pt>
                <c:pt idx="226">
                  <c:v>0.56432825914237861</c:v>
                </c:pt>
                <c:pt idx="227">
                  <c:v>0.56656493098032601</c:v>
                </c:pt>
                <c:pt idx="228">
                  <c:v>0.56880171552433478</c:v>
                </c:pt>
                <c:pt idx="229">
                  <c:v>0.57103861218448182</c:v>
                </c:pt>
                <c:pt idx="230">
                  <c:v>0.57327562037145252</c:v>
                </c:pt>
                <c:pt idx="231">
                  <c:v>0.57551273949653692</c:v>
                </c:pt>
                <c:pt idx="232">
                  <c:v>0.57774996897162612</c:v>
                </c:pt>
                <c:pt idx="233">
                  <c:v>0.57998730820920863</c:v>
                </c:pt>
                <c:pt idx="234">
                  <c:v>0.5822247566223665</c:v>
                </c:pt>
                <c:pt idx="235">
                  <c:v>0.58446231362477163</c:v>
                </c:pt>
                <c:pt idx="236">
                  <c:v>0.58669997863068235</c:v>
                </c:pt>
                <c:pt idx="237">
                  <c:v>0.58893775105493962</c:v>
                </c:pt>
                <c:pt idx="238">
                  <c:v>0.59117563031296327</c:v>
                </c:pt>
                <c:pt idx="239">
                  <c:v>0.59341361582074847</c:v>
                </c:pt>
                <c:pt idx="240">
                  <c:v>0.59565170699486236</c:v>
                </c:pt>
                <c:pt idx="241">
                  <c:v>0.59788990325244007</c:v>
                </c:pt>
                <c:pt idx="242">
                  <c:v>0.60012820401118128</c:v>
                </c:pt>
                <c:pt idx="243">
                  <c:v>0.60236660868934655</c:v>
                </c:pt>
                <c:pt idx="244">
                  <c:v>0.60460511670575412</c:v>
                </c:pt>
                <c:pt idx="245">
                  <c:v>0.60684372747977589</c:v>
                </c:pt>
                <c:pt idx="246">
                  <c:v>0.60908244043133397</c:v>
                </c:pt>
                <c:pt idx="247">
                  <c:v>0.61132125498089751</c:v>
                </c:pt>
                <c:pt idx="248">
                  <c:v>0.61356017054947876</c:v>
                </c:pt>
                <c:pt idx="249">
                  <c:v>0.61579918655862964</c:v>
                </c:pt>
                <c:pt idx="250">
                  <c:v>0.61803830243043845</c:v>
                </c:pt>
                <c:pt idx="251">
                  <c:v>0.62027751758752614</c:v>
                </c:pt>
                <c:pt idx="252">
                  <c:v>0.62251683145304293</c:v>
                </c:pt>
                <c:pt idx="253">
                  <c:v>0.62475624345066483</c:v>
                </c:pt>
                <c:pt idx="254">
                  <c:v>0.62699575300459032</c:v>
                </c:pt>
                <c:pt idx="255">
                  <c:v>0.62923535953953647</c:v>
                </c:pt>
                <c:pt idx="256">
                  <c:v>0.63147506248073593</c:v>
                </c:pt>
                <c:pt idx="257">
                  <c:v>0.6337148612539335</c:v>
                </c:pt>
                <c:pt idx="258">
                  <c:v>0.63595475528538237</c:v>
                </c:pt>
                <c:pt idx="259">
                  <c:v>0.63819474400184095</c:v>
                </c:pt>
                <c:pt idx="260">
                  <c:v>0.64043482683056951</c:v>
                </c:pt>
                <c:pt idx="261">
                  <c:v>0.64267500319932658</c:v>
                </c:pt>
                <c:pt idx="262">
                  <c:v>0.64491527253636582</c:v>
                </c:pt>
                <c:pt idx="263">
                  <c:v>0.64715563427043243</c:v>
                </c:pt>
                <c:pt idx="264">
                  <c:v>0.64939608783075997</c:v>
                </c:pt>
                <c:pt idx="265">
                  <c:v>0.65163663264706673</c:v>
                </c:pt>
                <c:pt idx="266">
                  <c:v>0.65387726814955283</c:v>
                </c:pt>
                <c:pt idx="267">
                  <c:v>0.65611799376889635</c:v>
                </c:pt>
                <c:pt idx="268">
                  <c:v>0.65835880893625054</c:v>
                </c:pt>
                <c:pt idx="269">
                  <c:v>0.66059971308324006</c:v>
                </c:pt>
                <c:pt idx="270">
                  <c:v>0.66284070564195796</c:v>
                </c:pt>
                <c:pt idx="271">
                  <c:v>0.66508178604496215</c:v>
                </c:pt>
                <c:pt idx="272">
                  <c:v>0.66732295372527239</c:v>
                </c:pt>
                <c:pt idx="273">
                  <c:v>0.66956420811636685</c:v>
                </c:pt>
                <c:pt idx="274">
                  <c:v>0.67180554865217879</c:v>
                </c:pt>
                <c:pt idx="275">
                  <c:v>0.6740469747670933</c:v>
                </c:pt>
                <c:pt idx="276">
                  <c:v>0.67628848589594426</c:v>
                </c:pt>
                <c:pt idx="277">
                  <c:v>0.67853008147401084</c:v>
                </c:pt>
                <c:pt idx="278">
                  <c:v>0.6807717609370143</c:v>
                </c:pt>
                <c:pt idx="279">
                  <c:v>0.68301352372111479</c:v>
                </c:pt>
                <c:pt idx="280">
                  <c:v>0.68525536926290831</c:v>
                </c:pt>
                <c:pt idx="281">
                  <c:v>0.6874972969994233</c:v>
                </c:pt>
                <c:pt idx="282">
                  <c:v>0.68973930636811742</c:v>
                </c:pt>
                <c:pt idx="283">
                  <c:v>0.69198139680687443</c:v>
                </c:pt>
                <c:pt idx="284">
                  <c:v>0.69422356775400107</c:v>
                </c:pt>
                <c:pt idx="285">
                  <c:v>0.69646581864822354</c:v>
                </c:pt>
                <c:pt idx="286">
                  <c:v>0.69870814892868494</c:v>
                </c:pt>
                <c:pt idx="287">
                  <c:v>0.70095055803494144</c:v>
                </c:pt>
                <c:pt idx="288">
                  <c:v>0.70319304540695948</c:v>
                </c:pt>
                <c:pt idx="289">
                  <c:v>0.70543561048511272</c:v>
                </c:pt>
                <c:pt idx="290">
                  <c:v>0.7076782527101787</c:v>
                </c:pt>
                <c:pt idx="291">
                  <c:v>0.70992097152333566</c:v>
                </c:pt>
                <c:pt idx="292">
                  <c:v>0.71216376636615952</c:v>
                </c:pt>
                <c:pt idx="293">
                  <c:v>0.71440663668062088</c:v>
                </c:pt>
                <c:pt idx="294">
                  <c:v>0.71664958190908157</c:v>
                </c:pt>
                <c:pt idx="295">
                  <c:v>0.71889260149429191</c:v>
                </c:pt>
                <c:pt idx="296">
                  <c:v>0.72113569487938733</c:v>
                </c:pt>
                <c:pt idx="297">
                  <c:v>0.72337886150788555</c:v>
                </c:pt>
                <c:pt idx="298">
                  <c:v>0.72562210082368328</c:v>
                </c:pt>
                <c:pt idx="299">
                  <c:v>0.72786541227105317</c:v>
                </c:pt>
                <c:pt idx="300">
                  <c:v>0.73010879529464079</c:v>
                </c:pt>
                <c:pt idx="301">
                  <c:v>0.73235224933946164</c:v>
                </c:pt>
                <c:pt idx="302">
                  <c:v>0.73459577385089792</c:v>
                </c:pt>
                <c:pt idx="303">
                  <c:v>0.73683936827469565</c:v>
                </c:pt>
                <c:pt idx="304">
                  <c:v>0.73908303205696158</c:v>
                </c:pt>
                <c:pt idx="305">
                  <c:v>0.74132676464416003</c:v>
                </c:pt>
                <c:pt idx="306">
                  <c:v>0.74357056548310996</c:v>
                </c:pt>
                <c:pt idx="307">
                  <c:v>0.74581443402098213</c:v>
                </c:pt>
                <c:pt idx="308">
                  <c:v>0.74805836970529571</c:v>
                </c:pt>
                <c:pt idx="309">
                  <c:v>0.75030237198391558</c:v>
                </c:pt>
                <c:pt idx="310">
                  <c:v>0.75254644030504914</c:v>
                </c:pt>
                <c:pt idx="311">
                  <c:v>0.75479057411724337</c:v>
                </c:pt>
                <c:pt idx="312">
                  <c:v>0.75703477286938203</c:v>
                </c:pt>
                <c:pt idx="313">
                  <c:v>0.75927903601068225</c:v>
                </c:pt>
                <c:pt idx="314">
                  <c:v>0.76152336299069201</c:v>
                </c:pt>
                <c:pt idx="315">
                  <c:v>0.76376775325928692</c:v>
                </c:pt>
                <c:pt idx="316">
                  <c:v>0.76601220626666722</c:v>
                </c:pt>
                <c:pt idx="317">
                  <c:v>0.768256721463355</c:v>
                </c:pt>
                <c:pt idx="318">
                  <c:v>0.7705012983001911</c:v>
                </c:pt>
                <c:pt idx="319">
                  <c:v>0.7727459362283321</c:v>
                </c:pt>
                <c:pt idx="320">
                  <c:v>0.77499063469924767</c:v>
                </c:pt>
                <c:pt idx="321">
                  <c:v>0.77723539316471735</c:v>
                </c:pt>
                <c:pt idx="322">
                  <c:v>0.77948021107682774</c:v>
                </c:pt>
                <c:pt idx="323">
                  <c:v>0.78172508788796946</c:v>
                </c:pt>
                <c:pt idx="324">
                  <c:v>0.78397002305083452</c:v>
                </c:pt>
                <c:pt idx="325">
                  <c:v>0.78621501601841304</c:v>
                </c:pt>
                <c:pt idx="326">
                  <c:v>0.78846006624399056</c:v>
                </c:pt>
                <c:pt idx="327">
                  <c:v>0.79070517318114508</c:v>
                </c:pt>
                <c:pt idx="328">
                  <c:v>0.79295033628374412</c:v>
                </c:pt>
                <c:pt idx="329">
                  <c:v>0.79519555500594197</c:v>
                </c:pt>
                <c:pt idx="330">
                  <c:v>0.7974408288021767</c:v>
                </c:pt>
                <c:pt idx="331">
                  <c:v>0.79968615712716729</c:v>
                </c:pt>
                <c:pt idx="332">
                  <c:v>0.80193153943591056</c:v>
                </c:pt>
                <c:pt idx="333">
                  <c:v>0.8041769751836787</c:v>
                </c:pt>
                <c:pt idx="334">
                  <c:v>0.80642246382601612</c:v>
                </c:pt>
                <c:pt idx="335">
                  <c:v>0.80866800481873657</c:v>
                </c:pt>
                <c:pt idx="336">
                  <c:v>0.81091359761792048</c:v>
                </c:pt>
                <c:pt idx="337">
                  <c:v>0.81315924167991194</c:v>
                </c:pt>
                <c:pt idx="338">
                  <c:v>0.81540493646131595</c:v>
                </c:pt>
                <c:pt idx="339">
                  <c:v>0.81765068141899555</c:v>
                </c:pt>
                <c:pt idx="340">
                  <c:v>0.81989647601006876</c:v>
                </c:pt>
                <c:pt idx="341">
                  <c:v>0.82214231969190621</c:v>
                </c:pt>
                <c:pt idx="342">
                  <c:v>0.82438821192212797</c:v>
                </c:pt>
                <c:pt idx="343">
                  <c:v>0.8266341521586007</c:v>
                </c:pt>
                <c:pt idx="344">
                  <c:v>0.82888013985943498</c:v>
                </c:pt>
                <c:pt idx="345">
                  <c:v>0.83112617448298254</c:v>
                </c:pt>
                <c:pt idx="346">
                  <c:v>0.83337225548783322</c:v>
                </c:pt>
                <c:pt idx="347">
                  <c:v>0.83561838233281238</c:v>
                </c:pt>
                <c:pt idx="348">
                  <c:v>0.83786455447697794</c:v>
                </c:pt>
                <c:pt idx="349">
                  <c:v>0.84011077137961776</c:v>
                </c:pt>
                <c:pt idx="350">
                  <c:v>0.84235703250024674</c:v>
                </c:pt>
                <c:pt idx="351">
                  <c:v>0.84460333729860393</c:v>
                </c:pt>
                <c:pt idx="352">
                  <c:v>0.84684968523464987</c:v>
                </c:pt>
                <c:pt idx="353">
                  <c:v>0.84909607576856383</c:v>
                </c:pt>
                <c:pt idx="354">
                  <c:v>0.85134250836074088</c:v>
                </c:pt>
                <c:pt idx="355">
                  <c:v>0.85358898247178927</c:v>
                </c:pt>
                <c:pt idx="356">
                  <c:v>0.85583549756252764</c:v>
                </c:pt>
                <c:pt idx="357">
                  <c:v>0.85808205309398222</c:v>
                </c:pt>
                <c:pt idx="358">
                  <c:v>0.860328648527384</c:v>
                </c:pt>
                <c:pt idx="359">
                  <c:v>0.862575283324166</c:v>
                </c:pt>
                <c:pt idx="360">
                  <c:v>0.86482195694596053</c:v>
                </c:pt>
                <c:pt idx="361">
                  <c:v>0.86706866885459666</c:v>
                </c:pt>
                <c:pt idx="362">
                  <c:v>0.86931541851209704</c:v>
                </c:pt>
                <c:pt idx="363">
                  <c:v>0.87156220538067541</c:v>
                </c:pt>
                <c:pt idx="364">
                  <c:v>0.87380902892273382</c:v>
                </c:pt>
                <c:pt idx="365">
                  <c:v>0.87605588860086003</c:v>
                </c:pt>
                <c:pt idx="366">
                  <c:v>0.87830278387782446</c:v>
                </c:pt>
                <c:pt idx="367">
                  <c:v>0.88054971421657768</c:v>
                </c:pt>
                <c:pt idx="368">
                  <c:v>0.88279667908024761</c:v>
                </c:pt>
                <c:pt idx="369">
                  <c:v>0.8850436779321369</c:v>
                </c:pt>
                <c:pt idx="370">
                  <c:v>0.88729071023572015</c:v>
                </c:pt>
                <c:pt idx="371">
                  <c:v>0.88953777545464097</c:v>
                </c:pt>
                <c:pt idx="372">
                  <c:v>0.89178487305270959</c:v>
                </c:pt>
                <c:pt idx="373">
                  <c:v>0.89403200249390002</c:v>
                </c:pt>
                <c:pt idx="374">
                  <c:v>0.89627916324234724</c:v>
                </c:pt>
                <c:pt idx="375">
                  <c:v>0.89852635476234466</c:v>
                </c:pt>
                <c:pt idx="376">
                  <c:v>0.90077357651834122</c:v>
                </c:pt>
                <c:pt idx="377">
                  <c:v>0.90302082797493899</c:v>
                </c:pt>
                <c:pt idx="378">
                  <c:v>0.90526810859689011</c:v>
                </c:pt>
                <c:pt idx="379">
                  <c:v>0.90751541784909429</c:v>
                </c:pt>
                <c:pt idx="380">
                  <c:v>0.90976275519659611</c:v>
                </c:pt>
                <c:pt idx="381">
                  <c:v>0.91201012010458238</c:v>
                </c:pt>
                <c:pt idx="382">
                  <c:v>0.91425751203837924</c:v>
                </c:pt>
                <c:pt idx="383">
                  <c:v>0.91650493046344972</c:v>
                </c:pt>
                <c:pt idx="384">
                  <c:v>0.91875237484539085</c:v>
                </c:pt>
                <c:pt idx="385">
                  <c:v>0.92099984464993112</c:v>
                </c:pt>
                <c:pt idx="386">
                  <c:v>0.92324733934292769</c:v>
                </c:pt>
                <c:pt idx="387">
                  <c:v>0.92549485839036383</c:v>
                </c:pt>
                <c:pt idx="388">
                  <c:v>0.92774240125834617</c:v>
                </c:pt>
                <c:pt idx="389">
                  <c:v>0.92998996741310203</c:v>
                </c:pt>
                <c:pt idx="390">
                  <c:v>0.93223755632097682</c:v>
                </c:pt>
                <c:pt idx="391">
                  <c:v>0.93448516744843113</c:v>
                </c:pt>
                <c:pt idx="392">
                  <c:v>0.93673280026203842</c:v>
                </c:pt>
                <c:pt idx="393">
                  <c:v>0.93898045422848209</c:v>
                </c:pt>
                <c:pt idx="394">
                  <c:v>0.94122812881455287</c:v>
                </c:pt>
                <c:pt idx="395">
                  <c:v>0.9434758234871462</c:v>
                </c:pt>
                <c:pt idx="396">
                  <c:v>0.94572353771325968</c:v>
                </c:pt>
                <c:pt idx="397">
                  <c:v>0.94797127095999023</c:v>
                </c:pt>
                <c:pt idx="398">
                  <c:v>0.9502190226945314</c:v>
                </c:pt>
                <c:pt idx="399">
                  <c:v>0.95246679238417098</c:v>
                </c:pt>
                <c:pt idx="400">
                  <c:v>0.95471457949628802</c:v>
                </c:pt>
                <c:pt idx="401">
                  <c:v>0.95696238349835039</c:v>
                </c:pt>
                <c:pt idx="402">
                  <c:v>0.959210203857912</c:v>
                </c:pt>
                <c:pt idx="403">
                  <c:v>0.96145804004261048</c:v>
                </c:pt>
                <c:pt idx="404">
                  <c:v>0.96370589152016395</c:v>
                </c:pt>
                <c:pt idx="405">
                  <c:v>0.965953757758369</c:v>
                </c:pt>
                <c:pt idx="406">
                  <c:v>0.96820163822509753</c:v>
                </c:pt>
                <c:pt idx="407">
                  <c:v>0.97044953238829446</c:v>
                </c:pt>
                <c:pt idx="408">
                  <c:v>0.97269743971597489</c:v>
                </c:pt>
                <c:pt idx="409">
                  <c:v>0.97494535967622153</c:v>
                </c:pt>
                <c:pt idx="410">
                  <c:v>0.97719329173718217</c:v>
                </c:pt>
                <c:pt idx="411">
                  <c:v>0.97944123536706673</c:v>
                </c:pt>
                <c:pt idx="412">
                  <c:v>0.98168919003414501</c:v>
                </c:pt>
                <c:pt idx="413">
                  <c:v>0.98393715520674385</c:v>
                </c:pt>
                <c:pt idx="414">
                  <c:v>0.9861851303532444</c:v>
                </c:pt>
                <c:pt idx="415">
                  <c:v>0.98843311494207975</c:v>
                </c:pt>
                <c:pt idx="416">
                  <c:v>0.99068110844173196</c:v>
                </c:pt>
                <c:pt idx="417">
                  <c:v>0.99292911032072984</c:v>
                </c:pt>
                <c:pt idx="418">
                  <c:v>0.99517712004764591</c:v>
                </c:pt>
                <c:pt idx="419">
                  <c:v>0.99742513709109404</c:v>
                </c:pt>
                <c:pt idx="420">
                  <c:v>0.99967316091972669</c:v>
                </c:pt>
                <c:pt idx="421">
                  <c:v>1.0019211910022323</c:v>
                </c:pt>
                <c:pt idx="422">
                  <c:v>1.004169226807333</c:v>
                </c:pt>
                <c:pt idx="423">
                  <c:v>1.0064172678037813</c:v>
                </c:pt>
                <c:pt idx="424">
                  <c:v>1.0086653134603578</c:v>
                </c:pt>
                <c:pt idx="425">
                  <c:v>1.0109133632458691</c:v>
                </c:pt>
                <c:pt idx="426">
                  <c:v>1.0131614166291441</c:v>
                </c:pt>
                <c:pt idx="427">
                  <c:v>1.0154094730790322</c:v>
                </c:pt>
                <c:pt idx="428">
                  <c:v>1.0176575320644006</c:v>
                </c:pt>
                <c:pt idx="429">
                  <c:v>1.0199055930541312</c:v>
                </c:pt>
                <c:pt idx="430">
                  <c:v>1.0221536555171182</c:v>
                </c:pt>
                <c:pt idx="431">
                  <c:v>1.0244017189222661</c:v>
                </c:pt>
                <c:pt idx="432">
                  <c:v>1.0266497827384859</c:v>
                </c:pt>
                <c:pt idx="433">
                  <c:v>1.0288978464346934</c:v>
                </c:pt>
                <c:pt idx="434">
                  <c:v>1.0311459094798063</c:v>
                </c:pt>
                <c:pt idx="435">
                  <c:v>1.0333939713427416</c:v>
                </c:pt>
                <c:pt idx="436">
                  <c:v>1.0356420314924126</c:v>
                </c:pt>
                <c:pt idx="437">
                  <c:v>1.037890089397727</c:v>
                </c:pt>
                <c:pt idx="438">
                  <c:v>1.0401381445275837</c:v>
                </c:pt>
                <c:pt idx="439">
                  <c:v>1.0423861963508705</c:v>
                </c:pt>
                <c:pt idx="440">
                  <c:v>1.0446342443364609</c:v>
                </c:pt>
                <c:pt idx="441">
                  <c:v>1.0468822879532125</c:v>
                </c:pt>
                <c:pt idx="442">
                  <c:v>1.0491303266699634</c:v>
                </c:pt>
                <c:pt idx="443">
                  <c:v>1.0513783599555302</c:v>
                </c:pt>
                <c:pt idx="444">
                  <c:v>1.0536263872787048</c:v>
                </c:pt>
                <c:pt idx="445">
                  <c:v>1.0558744081082525</c:v>
                </c:pt>
                <c:pt idx="446">
                  <c:v>1.0581224219129088</c:v>
                </c:pt>
                <c:pt idx="447">
                  <c:v>1.0603704281613771</c:v>
                </c:pt>
                <c:pt idx="448">
                  <c:v>1.0626184263223255</c:v>
                </c:pt>
                <c:pt idx="449">
                  <c:v>1.064866415864385</c:v>
                </c:pt>
                <c:pt idx="450">
                  <c:v>1.0671143962561465</c:v>
                </c:pt>
                <c:pt idx="451">
                  <c:v>1.0693623669661578</c:v>
                </c:pt>
                <c:pt idx="452">
                  <c:v>1.0716103274629218</c:v>
                </c:pt>
                <c:pt idx="453">
                  <c:v>1.073858277214893</c:v>
                </c:pt>
                <c:pt idx="454">
                  <c:v>1.0761062156904755</c:v>
                </c:pt>
                <c:pt idx="455">
                  <c:v>1.0783541423580199</c:v>
                </c:pt>
                <c:pt idx="456">
                  <c:v>1.080602056685821</c:v>
                </c:pt>
                <c:pt idx="457">
                  <c:v>1.0828499581421149</c:v>
                </c:pt>
                <c:pt idx="458">
                  <c:v>1.0850978461950769</c:v>
                </c:pt>
                <c:pt idx="459">
                  <c:v>1.0873457203128181</c:v>
                </c:pt>
                <c:pt idx="460">
                  <c:v>1.0895935799633834</c:v>
                </c:pt>
                <c:pt idx="461">
                  <c:v>1.0918414246147483</c:v>
                </c:pt>
                <c:pt idx="462">
                  <c:v>1.094089253734817</c:v>
                </c:pt>
                <c:pt idx="463">
                  <c:v>1.096337066791419</c:v>
                </c:pt>
                <c:pt idx="464">
                  <c:v>1.098584863252307</c:v>
                </c:pt>
                <c:pt idx="465">
                  <c:v>1.1008326425851538</c:v>
                </c:pt>
                <c:pt idx="466">
                  <c:v>1.1030804042575499</c:v>
                </c:pt>
                <c:pt idx="467">
                  <c:v>1.1053281477370014</c:v>
                </c:pt>
                <c:pt idx="468">
                  <c:v>1.1075758724909259</c:v>
                </c:pt>
                <c:pt idx="469">
                  <c:v>1.1098235779866517</c:v>
                </c:pt>
                <c:pt idx="470">
                  <c:v>1.1120712636914134</c:v>
                </c:pt>
                <c:pt idx="471">
                  <c:v>1.1143189290723505</c:v>
                </c:pt>
                <c:pt idx="472">
                  <c:v>1.1165665735965042</c:v>
                </c:pt>
                <c:pt idx="473">
                  <c:v>1.1188141967308147</c:v>
                </c:pt>
                <c:pt idx="474">
                  <c:v>1.1210617979421191</c:v>
                </c:pt>
                <c:pt idx="475">
                  <c:v>1.1233093766971478</c:v>
                </c:pt>
                <c:pt idx="476">
                  <c:v>1.1255569324625228</c:v>
                </c:pt>
                <c:pt idx="477">
                  <c:v>1.1278044647047543</c:v>
                </c:pt>
                <c:pt idx="478">
                  <c:v>1.1300519728902383</c:v>
                </c:pt>
                <c:pt idx="479">
                  <c:v>1.1322994564852544</c:v>
                </c:pt>
                <c:pt idx="480">
                  <c:v>1.1345469149559624</c:v>
                </c:pt>
                <c:pt idx="481">
                  <c:v>1.1367943477683997</c:v>
                </c:pt>
                <c:pt idx="482">
                  <c:v>1.1390417543884794</c:v>
                </c:pt>
                <c:pt idx="483">
                  <c:v>1.1412891342819869</c:v>
                </c:pt>
                <c:pt idx="484">
                  <c:v>1.143536486914577</c:v>
                </c:pt>
                <c:pt idx="485">
                  <c:v>1.145783811751772</c:v>
                </c:pt>
                <c:pt idx="486">
                  <c:v>1.1480311082589587</c:v>
                </c:pt>
                <c:pt idx="487">
                  <c:v>1.1502783759013855</c:v>
                </c:pt>
                <c:pt idx="488">
                  <c:v>1.1525256141441598</c:v>
                </c:pt>
                <c:pt idx="489">
                  <c:v>1.1547728224522456</c:v>
                </c:pt>
                <c:pt idx="490">
                  <c:v>1.1570200002904605</c:v>
                </c:pt>
                <c:pt idx="491">
                  <c:v>1.159267147123473</c:v>
                </c:pt>
                <c:pt idx="492">
                  <c:v>1.1615142624158001</c:v>
                </c:pt>
                <c:pt idx="493">
                  <c:v>1.1637613456318043</c:v>
                </c:pt>
                <c:pt idx="494">
                  <c:v>1.1660083962356911</c:v>
                </c:pt>
                <c:pt idx="495">
                  <c:v>1.168255413691506</c:v>
                </c:pt>
                <c:pt idx="496">
                  <c:v>1.1705023974631321</c:v>
                </c:pt>
                <c:pt idx="497">
                  <c:v>1.1727493470142873</c:v>
                </c:pt>
                <c:pt idx="498">
                  <c:v>1.1749962618085215</c:v>
                </c:pt>
                <c:pt idx="499">
                  <c:v>1.1772431413092139</c:v>
                </c:pt>
                <c:pt idx="500">
                  <c:v>1.1794899849795706</c:v>
                </c:pt>
                <c:pt idx="501">
                  <c:v>1.1817367922826212</c:v>
                </c:pt>
                <c:pt idx="502">
                  <c:v>1.183983562681217</c:v>
                </c:pt>
                <c:pt idx="503">
                  <c:v>1.1862302956380271</c:v>
                </c:pt>
                <c:pt idx="504">
                  <c:v>1.188476990615537</c:v>
                </c:pt>
                <c:pt idx="505">
                  <c:v>1.1907236470760447</c:v>
                </c:pt>
                <c:pt idx="506">
                  <c:v>1.1929702644816587</c:v>
                </c:pt>
                <c:pt idx="507">
                  <c:v>1.1952168422942948</c:v>
                </c:pt>
                <c:pt idx="508">
                  <c:v>1.197463379975674</c:v>
                </c:pt>
                <c:pt idx="509">
                  <c:v>1.1997098769873187</c:v>
                </c:pt>
                <c:pt idx="510">
                  <c:v>1.2019563327905511</c:v>
                </c:pt>
                <c:pt idx="511">
                  <c:v>1.2042027468464895</c:v>
                </c:pt>
                <c:pt idx="512">
                  <c:v>1.2064491186160462</c:v>
                </c:pt>
                <c:pt idx="513">
                  <c:v>1.2086954475599245</c:v>
                </c:pt>
                <c:pt idx="514">
                  <c:v>1.2109417331386159</c:v>
                </c:pt>
                <c:pt idx="515">
                  <c:v>1.213187974812397</c:v>
                </c:pt>
                <c:pt idx="516">
                  <c:v>1.2154341720413275</c:v>
                </c:pt>
                <c:pt idx="517">
                  <c:v>1.217680324285247</c:v>
                </c:pt>
                <c:pt idx="518">
                  <c:v>1.2199264310037721</c:v>
                </c:pt>
                <c:pt idx="519">
                  <c:v>1.2221724916562935</c:v>
                </c:pt>
                <c:pt idx="520">
                  <c:v>1.2244185057019739</c:v>
                </c:pt>
                <c:pt idx="521">
                  <c:v>1.2266644725997442</c:v>
                </c:pt>
                <c:pt idx="522">
                  <c:v>1.228910391808302</c:v>
                </c:pt>
                <c:pt idx="523">
                  <c:v>1.2311562627861072</c:v>
                </c:pt>
                <c:pt idx="524">
                  <c:v>1.2334020849913807</c:v>
                </c:pt>
                <c:pt idx="525">
                  <c:v>1.2356478578821009</c:v>
                </c:pt>
                <c:pt idx="526">
                  <c:v>1.2378935809160003</c:v>
                </c:pt>
                <c:pt idx="527">
                  <c:v>1.240139253550564</c:v>
                </c:pt>
                <c:pt idx="528">
                  <c:v>1.2423848752430258</c:v>
                </c:pt>
                <c:pt idx="529">
                  <c:v>1.2446304454503658</c:v>
                </c:pt>
                <c:pt idx="530">
                  <c:v>1.2468759636293076</c:v>
                </c:pt>
                <c:pt idx="531">
                  <c:v>1.2491214292363155</c:v>
                </c:pt>
                <c:pt idx="532">
                  <c:v>1.2513668417275914</c:v>
                </c:pt>
                <c:pt idx="533">
                  <c:v>1.253612200559072</c:v>
                </c:pt>
                <c:pt idx="534">
                  <c:v>1.255857505186426</c:v>
                </c:pt>
                <c:pt idx="535">
                  <c:v>1.2581027550650516</c:v>
                </c:pt>
                <c:pt idx="536">
                  <c:v>1.2603479496500734</c:v>
                </c:pt>
                <c:pt idx="537">
                  <c:v>1.2625930883963388</c:v>
                </c:pt>
                <c:pt idx="538">
                  <c:v>1.2648381707584164</c:v>
                </c:pt>
                <c:pt idx="539">
                  <c:v>1.2670831961905924</c:v>
                </c:pt>
                <c:pt idx="540">
                  <c:v>1.2693281641468677</c:v>
                </c:pt>
                <c:pt idx="541">
                  <c:v>1.271573074080955</c:v>
                </c:pt>
                <c:pt idx="542">
                  <c:v>1.2738179254462767</c:v>
                </c:pt>
                <c:pt idx="543">
                  <c:v>1.2760627176959607</c:v>
                </c:pt>
                <c:pt idx="544">
                  <c:v>1.2783074502828384</c:v>
                </c:pt>
                <c:pt idx="545">
                  <c:v>1.2805521226594418</c:v>
                </c:pt>
                <c:pt idx="546">
                  <c:v>1.282796734278</c:v>
                </c:pt>
                <c:pt idx="547">
                  <c:v>1.2850412845904366</c:v>
                </c:pt>
                <c:pt idx="548">
                  <c:v>1.2872857730483673</c:v>
                </c:pt>
                <c:pt idx="549">
                  <c:v>1.2895301991030959</c:v>
                </c:pt>
                <c:pt idx="550">
                  <c:v>1.2917745622056123</c:v>
                </c:pt>
                <c:pt idx="551">
                  <c:v>1.2940188618065889</c:v>
                </c:pt>
                <c:pt idx="552">
                  <c:v>1.2962630973563785</c:v>
                </c:pt>
                <c:pt idx="553">
                  <c:v>1.2985072683050101</c:v>
                </c:pt>
                <c:pt idx="554">
                  <c:v>1.3007513741021872</c:v>
                </c:pt>
                <c:pt idx="555">
                  <c:v>1.3029954141972842</c:v>
                </c:pt>
                <c:pt idx="556">
                  <c:v>1.3052393880393431</c:v>
                </c:pt>
                <c:pt idx="557">
                  <c:v>1.3074832950770716</c:v>
                </c:pt>
                <c:pt idx="558">
                  <c:v>1.3097271347588391</c:v>
                </c:pt>
                <c:pt idx="559">
                  <c:v>1.3119709065326739</c:v>
                </c:pt>
                <c:pt idx="560">
                  <c:v>1.3142146098462606</c:v>
                </c:pt>
                <c:pt idx="561">
                  <c:v>1.316458244146937</c:v>
                </c:pt>
                <c:pt idx="562">
                  <c:v>1.3187018088816909</c:v>
                </c:pt>
                <c:pt idx="563">
                  <c:v>1.320945303497157</c:v>
                </c:pt>
                <c:pt idx="564">
                  <c:v>1.3231887274396144</c:v>
                </c:pt>
                <c:pt idx="565">
                  <c:v>1.3254320801549828</c:v>
                </c:pt>
                <c:pt idx="566">
                  <c:v>1.3276753610888201</c:v>
                </c:pt>
                <c:pt idx="567">
                  <c:v>1.3299185696863192</c:v>
                </c:pt>
                <c:pt idx="568">
                  <c:v>1.3321617053923047</c:v>
                </c:pt>
                <c:pt idx="569">
                  <c:v>1.3344047676512303</c:v>
                </c:pt>
                <c:pt idx="570">
                  <c:v>1.3366477559071754</c:v>
                </c:pt>
                <c:pt idx="571">
                  <c:v>1.3388906696038421</c:v>
                </c:pt>
                <c:pt idx="572">
                  <c:v>1.3411335081845521</c:v>
                </c:pt>
                <c:pt idx="573">
                  <c:v>1.3433762710922439</c:v>
                </c:pt>
                <c:pt idx="574">
                  <c:v>1.3456189577694693</c:v>
                </c:pt>
                <c:pt idx="575">
                  <c:v>1.3478615676583903</c:v>
                </c:pt>
                <c:pt idx="576">
                  <c:v>1.3501041002007768</c:v>
                </c:pt>
                <c:pt idx="577">
                  <c:v>1.3523465548380023</c:v>
                </c:pt>
                <c:pt idx="578">
                  <c:v>1.3545889310110417</c:v>
                </c:pt>
                <c:pt idx="579">
                  <c:v>1.3568312281604678</c:v>
                </c:pt>
                <c:pt idx="580">
                  <c:v>1.3590734457264479</c:v>
                </c:pt>
                <c:pt idx="581">
                  <c:v>1.3613155831487416</c:v>
                </c:pt>
                <c:pt idx="582">
                  <c:v>1.3635576398666964</c:v>
                </c:pt>
                <c:pt idx="583">
                  <c:v>1.3657996153192455</c:v>
                </c:pt>
                <c:pt idx="584">
                  <c:v>1.3680415089449045</c:v>
                </c:pt>
                <c:pt idx="585">
                  <c:v>1.3702833201817677</c:v>
                </c:pt>
                <c:pt idx="586">
                  <c:v>1.3725250484675053</c:v>
                </c:pt>
                <c:pt idx="587">
                  <c:v>1.3747666932393605</c:v>
                </c:pt>
                <c:pt idx="588">
                  <c:v>1.3770082539341457</c:v>
                </c:pt>
                <c:pt idx="589">
                  <c:v>1.3792497299882398</c:v>
                </c:pt>
                <c:pt idx="590">
                  <c:v>1.3814911208375846</c:v>
                </c:pt>
                <c:pt idx="591">
                  <c:v>1.383732425917682</c:v>
                </c:pt>
                <c:pt idx="592">
                  <c:v>1.3859736446635904</c:v>
                </c:pt>
                <c:pt idx="593">
                  <c:v>1.3882147765099215</c:v>
                </c:pt>
                <c:pt idx="594">
                  <c:v>1.3904558208908375</c:v>
                </c:pt>
                <c:pt idx="595">
                  <c:v>1.3926967772400471</c:v>
                </c:pt>
                <c:pt idx="596">
                  <c:v>1.3949376449908031</c:v>
                </c:pt>
                <c:pt idx="597">
                  <c:v>1.3971784235758984</c:v>
                </c:pt>
                <c:pt idx="598">
                  <c:v>1.3994191124276631</c:v>
                </c:pt>
                <c:pt idx="599">
                  <c:v>1.4016597109779612</c:v>
                </c:pt>
                <c:pt idx="600">
                  <c:v>1.403900218658187</c:v>
                </c:pt>
                <c:pt idx="601">
                  <c:v>1.4061406348992627</c:v>
                </c:pt>
                <c:pt idx="602">
                  <c:v>1.4083809591316334</c:v>
                </c:pt>
                <c:pt idx="603">
                  <c:v>1.4106211907852657</c:v>
                </c:pt>
                <c:pt idx="604">
                  <c:v>1.412861329289643</c:v>
                </c:pt>
                <c:pt idx="605">
                  <c:v>1.415101374073763</c:v>
                </c:pt>
                <c:pt idx="606">
                  <c:v>1.4173413245661335</c:v>
                </c:pt>
                <c:pt idx="607">
                  <c:v>1.41958118019477</c:v>
                </c:pt>
                <c:pt idx="608">
                  <c:v>1.4218209403871915</c:v>
                </c:pt>
                <c:pt idx="609">
                  <c:v>1.4240606045704178</c:v>
                </c:pt>
                <c:pt idx="610">
                  <c:v>1.4263001721709656</c:v>
                </c:pt>
                <c:pt idx="611">
                  <c:v>1.4285396426148456</c:v>
                </c:pt>
                <c:pt idx="612">
                  <c:v>1.4307790153275584</c:v>
                </c:pt>
                <c:pt idx="613">
                  <c:v>1.4330182897340915</c:v>
                </c:pt>
                <c:pt idx="614">
                  <c:v>1.4352574652589163</c:v>
                </c:pt>
                <c:pt idx="615">
                  <c:v>1.4374965413259837</c:v>
                </c:pt>
                <c:pt idx="616">
                  <c:v>1.4397355173587216</c:v>
                </c:pt>
                <c:pt idx="617">
                  <c:v>1.441974392780031</c:v>
                </c:pt>
                <c:pt idx="618">
                  <c:v>1.4442131670122824</c:v>
                </c:pt>
                <c:pt idx="619">
                  <c:v>1.4464518394773125</c:v>
                </c:pt>
                <c:pt idx="620">
                  <c:v>1.4486904095964206</c:v>
                </c:pt>
                <c:pt idx="621">
                  <c:v>1.4509288767903654</c:v>
                </c:pt>
                <c:pt idx="622">
                  <c:v>1.4531672404793612</c:v>
                </c:pt>
                <c:pt idx="623">
                  <c:v>1.4554055000830746</c:v>
                </c:pt>
                <c:pt idx="624">
                  <c:v>1.4576436550206207</c:v>
                </c:pt>
                <c:pt idx="625">
                  <c:v>1.4598817047105597</c:v>
                </c:pt>
                <c:pt idx="626">
                  <c:v>1.4621196485708936</c:v>
                </c:pt>
                <c:pt idx="627">
                  <c:v>1.4643574860190622</c:v>
                </c:pt>
                <c:pt idx="628">
                  <c:v>1.4665952164719398</c:v>
                </c:pt>
                <c:pt idx="629">
                  <c:v>1.4688328393458314</c:v>
                </c:pt>
                <c:pt idx="630">
                  <c:v>1.4710703540564696</c:v>
                </c:pt>
                <c:pt idx="631">
                  <c:v>1.4733077600190103</c:v>
                </c:pt>
                <c:pt idx="632">
                  <c:v>1.4755450566480297</c:v>
                </c:pt>
                <c:pt idx="633">
                  <c:v>1.4777822433575203</c:v>
                </c:pt>
                <c:pt idx="634">
                  <c:v>1.4800193195608871</c:v>
                </c:pt>
                <c:pt idx="635">
                  <c:v>1.4822562846709446</c:v>
                </c:pt>
                <c:pt idx="636">
                  <c:v>1.4844931380999129</c:v>
                </c:pt>
                <c:pt idx="637">
                  <c:v>1.4867298792594135</c:v>
                </c:pt>
                <c:pt idx="638">
                  <c:v>1.4889665075604659</c:v>
                </c:pt>
                <c:pt idx="639">
                  <c:v>1.4912030224134845</c:v>
                </c:pt>
                <c:pt idx="640">
                  <c:v>1.4934394232282737</c:v>
                </c:pt>
                <c:pt idx="641">
                  <c:v>1.4956757094140256</c:v>
                </c:pt>
                <c:pt idx="642">
                  <c:v>1.4979118803793152</c:v>
                </c:pt>
                <c:pt idx="643">
                  <c:v>1.5001479355320968</c:v>
                </c:pt>
                <c:pt idx="644">
                  <c:v>1.5023838742797007</c:v>
                </c:pt>
                <c:pt idx="645">
                  <c:v>1.5046196960288289</c:v>
                </c:pt>
                <c:pt idx="646">
                  <c:v>1.5068554001855521</c:v>
                </c:pt>
                <c:pt idx="647">
                  <c:v>1.5090909861553046</c:v>
                </c:pt>
                <c:pt idx="648">
                  <c:v>1.5113264533428818</c:v>
                </c:pt>
                <c:pt idx="649">
                  <c:v>1.5135618011524359</c:v>
                </c:pt>
                <c:pt idx="650">
                  <c:v>1.5157970289874716</c:v>
                </c:pt>
                <c:pt idx="651">
                  <c:v>1.5180321362508429</c:v>
                </c:pt>
                <c:pt idx="652">
                  <c:v>1.5202671223447488</c:v>
                </c:pt>
                <c:pt idx="653">
                  <c:v>1.5225019866707299</c:v>
                </c:pt>
                <c:pt idx="654">
                  <c:v>1.524736728629664</c:v>
                </c:pt>
                <c:pt idx="655">
                  <c:v>1.5269713476217628</c:v>
                </c:pt>
                <c:pt idx="656">
                  <c:v>1.5292058430465671</c:v>
                </c:pt>
                <c:pt idx="657">
                  <c:v>1.5314402143029437</c:v>
                </c:pt>
                <c:pt idx="658">
                  <c:v>1.5336744607890811</c:v>
                </c:pt>
                <c:pt idx="659">
                  <c:v>1.5359085819024856</c:v>
                </c:pt>
                <c:pt idx="660">
                  <c:v>1.538142577039977</c:v>
                </c:pt>
                <c:pt idx="661">
                  <c:v>1.5403764455976856</c:v>
                </c:pt>
                <c:pt idx="662">
                  <c:v>1.5426101869710469</c:v>
                </c:pt>
                <c:pt idx="663">
                  <c:v>1.5448438005547984</c:v>
                </c:pt>
                <c:pt idx="664">
                  <c:v>1.5470772857429755</c:v>
                </c:pt>
                <c:pt idx="665">
                  <c:v>1.5493106419289073</c:v>
                </c:pt>
                <c:pt idx="666">
                  <c:v>1.5515438685052125</c:v>
                </c:pt>
                <c:pt idx="667">
                  <c:v>1.5537769648637956</c:v>
                </c:pt>
                <c:pt idx="668">
                  <c:v>1.5560099303958423</c:v>
                </c:pt>
                <c:pt idx="669">
                  <c:v>1.5582427644918164</c:v>
                </c:pt>
                <c:pt idx="670">
                  <c:v>1.5604754665414544</c:v>
                </c:pt>
                <c:pt idx="671">
                  <c:v>1.562708035933762</c:v>
                </c:pt>
                <c:pt idx="672">
                  <c:v>1.5649404720570101</c:v>
                </c:pt>
                <c:pt idx="673">
                  <c:v>1.5671727742987309</c:v>
                </c:pt>
                <c:pt idx="674">
                  <c:v>1.5694049420457126</c:v>
                </c:pt>
                <c:pt idx="675">
                  <c:v>1.5716369746839962</c:v>
                </c:pt>
                <c:pt idx="676">
                  <c:v>1.5738688715988713</c:v>
                </c:pt>
                <c:pt idx="677">
                  <c:v>1.5761006321748712</c:v>
                </c:pt>
                <c:pt idx="678">
                  <c:v>1.5783322557957689</c:v>
                </c:pt>
                <c:pt idx="679">
                  <c:v>1.5805637418445733</c:v>
                </c:pt>
                <c:pt idx="680">
                  <c:v>1.5827950897035246</c:v>
                </c:pt>
                <c:pt idx="681">
                  <c:v>1.58502629875409</c:v>
                </c:pt>
                <c:pt idx="682">
                  <c:v>1.5872573683769593</c:v>
                </c:pt>
                <c:pt idx="683">
                  <c:v>1.5894882979520411</c:v>
                </c:pt>
                <c:pt idx="684">
                  <c:v>1.5917190868584572</c:v>
                </c:pt>
                <c:pt idx="685">
                  <c:v>1.5939497344745401</c:v>
                </c:pt>
                <c:pt idx="686">
                  <c:v>1.5961802401778271</c:v>
                </c:pt>
                <c:pt idx="687">
                  <c:v>1.5984106033450565</c:v>
                </c:pt>
                <c:pt idx="688">
                  <c:v>1.600640823352163</c:v>
                </c:pt>
                <c:pt idx="689">
                  <c:v>1.6028708995742738</c:v>
                </c:pt>
                <c:pt idx="690">
                  <c:v>1.6051008313857034</c:v>
                </c:pt>
                <c:pt idx="691">
                  <c:v>1.6073306181599498</c:v>
                </c:pt>
                <c:pt idx="692">
                  <c:v>1.6095602592696898</c:v>
                </c:pt>
                <c:pt idx="693">
                  <c:v>1.6117897540867743</c:v>
                </c:pt>
                <c:pt idx="694">
                  <c:v>1.6140191019822236</c:v>
                </c:pt>
                <c:pt idx="695">
                  <c:v>1.616248302326224</c:v>
                </c:pt>
                <c:pt idx="696">
                  <c:v>1.6184773544881219</c:v>
                </c:pt>
                <c:pt idx="697">
                  <c:v>1.62070625783642</c:v>
                </c:pt>
                <c:pt idx="698">
                  <c:v>1.6229350117387724</c:v>
                </c:pt>
                <c:pt idx="699">
                  <c:v>1.6251636155619804</c:v>
                </c:pt>
                <c:pt idx="700">
                  <c:v>1.6273920686719872</c:v>
                </c:pt>
                <c:pt idx="701">
                  <c:v>1.6296203704338741</c:v>
                </c:pt>
                <c:pt idx="702">
                  <c:v>1.6318485202118551</c:v>
                </c:pt>
                <c:pt idx="703">
                  <c:v>1.6340765173692726</c:v>
                </c:pt>
                <c:pt idx="704">
                  <c:v>1.6363043612685928</c:v>
                </c:pt>
                <c:pt idx="705">
                  <c:v>1.6385320512714006</c:v>
                </c:pt>
                <c:pt idx="706">
                  <c:v>1.6407595867383953</c:v>
                </c:pt>
                <c:pt idx="707">
                  <c:v>1.6429869670293853</c:v>
                </c:pt>
                <c:pt idx="708">
                  <c:v>1.6452141915032841</c:v>
                </c:pt>
                <c:pt idx="709">
                  <c:v>1.6474412595181047</c:v>
                </c:pt>
                <c:pt idx="710">
                  <c:v>1.6496681704309555</c:v>
                </c:pt>
                <c:pt idx="711">
                  <c:v>1.6518949235980349</c:v>
                </c:pt>
                <c:pt idx="712">
                  <c:v>1.6541215183746267</c:v>
                </c:pt>
                <c:pt idx="713">
                  <c:v>1.6563479541150952</c:v>
                </c:pt>
                <c:pt idx="714">
                  <c:v>1.6585742301728803</c:v>
                </c:pt>
                <c:pt idx="715">
                  <c:v>1.6608003459004925</c:v>
                </c:pt>
                <c:pt idx="716">
                  <c:v>1.6630263006495083</c:v>
                </c:pt>
                <c:pt idx="717">
                  <c:v>1.6652520937705646</c:v>
                </c:pt>
                <c:pt idx="718">
                  <c:v>1.6674777246133545</c:v>
                </c:pt>
                <c:pt idx="719">
                  <c:v>1.6697031925266219</c:v>
                </c:pt>
                <c:pt idx="720">
                  <c:v>1.6719284968581563</c:v>
                </c:pt>
                <c:pt idx="721">
                  <c:v>1.6741536369547878</c:v>
                </c:pt>
                <c:pt idx="722">
                  <c:v>1.6763786121623827</c:v>
                </c:pt>
                <c:pt idx="723">
                  <c:v>1.6786034218258374</c:v>
                </c:pt>
                <c:pt idx="724">
                  <c:v>1.6808280652890739</c:v>
                </c:pt>
                <c:pt idx="725">
                  <c:v>1.6830525418950348</c:v>
                </c:pt>
                <c:pt idx="726">
                  <c:v>1.6852768509856779</c:v>
                </c:pt>
                <c:pt idx="727">
                  <c:v>1.6875009919019708</c:v>
                </c:pt>
                <c:pt idx="728">
                  <c:v>1.6897249639838858</c:v>
                </c:pt>
                <c:pt idx="729">
                  <c:v>1.6919487665703954</c:v>
                </c:pt>
                <c:pt idx="730">
                  <c:v>1.6941723989994659</c:v>
                </c:pt>
                <c:pt idx="731">
                  <c:v>1.6963958606080529</c:v>
                </c:pt>
                <c:pt idx="732">
                  <c:v>1.698619150732096</c:v>
                </c:pt>
                <c:pt idx="733">
                  <c:v>1.700842268706513</c:v>
                </c:pt>
                <c:pt idx="734">
                  <c:v>1.7030652138651949</c:v>
                </c:pt>
                <c:pt idx="735">
                  <c:v>1.7052879855410008</c:v>
                </c:pt>
                <c:pt idx="736">
                  <c:v>1.707510583065752</c:v>
                </c:pt>
                <c:pt idx="737">
                  <c:v>1.7097580126887582</c:v>
                </c:pt>
                <c:pt idx="738">
                  <c:v>1.7120078517059847</c:v>
                </c:pt>
                <c:pt idx="739">
                  <c:v>1.7142601207909929</c:v>
                </c:pt>
                <c:pt idx="740">
                  <c:v>1.7165148405004058</c:v>
                </c:pt>
                <c:pt idx="741">
                  <c:v>1.71877203128009</c:v>
                </c:pt>
                <c:pt idx="742">
                  <c:v>1.7210317134711541</c:v>
                </c:pt>
                <c:pt idx="743">
                  <c:v>1.7232939073157729</c:v>
                </c:pt>
                <c:pt idx="744">
                  <c:v>1.7255586329628418</c:v>
                </c:pt>
                <c:pt idx="745">
                  <c:v>1.727825910473469</c:v>
                </c:pt>
                <c:pt idx="746">
                  <c:v>1.7300957598263109</c:v>
                </c:pt>
                <c:pt idx="747">
                  <c:v>1.7323682009227555</c:v>
                </c:pt>
                <c:pt idx="748">
                  <c:v>1.7346432535919605</c:v>
                </c:pt>
                <c:pt idx="749">
                  <c:v>1.7369209375957511</c:v>
                </c:pt>
                <c:pt idx="750">
                  <c:v>1.7392012726333814</c:v>
                </c:pt>
                <c:pt idx="751">
                  <c:v>1.7414842783461659</c:v>
                </c:pt>
                <c:pt idx="752">
                  <c:v>1.7437699743219846</c:v>
                </c:pt>
                <c:pt idx="753">
                  <c:v>1.7460583800996659</c:v>
                </c:pt>
                <c:pt idx="754">
                  <c:v>1.7483495151732535</c:v>
                </c:pt>
                <c:pt idx="755">
                  <c:v>1.7506433989961594</c:v>
                </c:pt>
                <c:pt idx="756">
                  <c:v>1.752940050985208</c:v>
                </c:pt>
                <c:pt idx="757">
                  <c:v>1.7552394905245747</c:v>
                </c:pt>
                <c:pt idx="758">
                  <c:v>1.7575417369696233</c:v>
                </c:pt>
                <c:pt idx="759">
                  <c:v>1.7598468096506461</c:v>
                </c:pt>
                <c:pt idx="760">
                  <c:v>1.7621547278765075</c:v>
                </c:pt>
                <c:pt idx="761">
                  <c:v>1.764465510938199</c:v>
                </c:pt>
                <c:pt idx="762">
                  <c:v>1.7667791781123046</c:v>
                </c:pt>
                <c:pt idx="763">
                  <c:v>1.7690957486643819</c:v>
                </c:pt>
                <c:pt idx="764">
                  <c:v>1.7714152418522615</c:v>
                </c:pt>
                <c:pt idx="765">
                  <c:v>1.7737376769292672</c:v>
                </c:pt>
                <c:pt idx="766">
                  <c:v>1.7760630731473601</c:v>
                </c:pt>
                <c:pt idx="767">
                  <c:v>1.7783914497602096</c:v>
                </c:pt>
                <c:pt idx="768">
                  <c:v>1.7807228260261925</c:v>
                </c:pt>
                <c:pt idx="769">
                  <c:v>1.7830572212113251</c:v>
                </c:pt>
                <c:pt idx="770">
                  <c:v>1.7853946545921286</c:v>
                </c:pt>
                <c:pt idx="771">
                  <c:v>1.7877351454584305</c:v>
                </c:pt>
                <c:pt idx="772">
                  <c:v>1.7900787131161056</c:v>
                </c:pt>
                <c:pt idx="773">
                  <c:v>1.7924253768897567</c:v>
                </c:pt>
                <c:pt idx="774">
                  <c:v>1.7947751561253398</c:v>
                </c:pt>
                <c:pt idx="775">
                  <c:v>1.7971280701927326</c:v>
                </c:pt>
                <c:pt idx="776">
                  <c:v>1.7994841384882507</c:v>
                </c:pt>
                <c:pt idx="777">
                  <c:v>1.801843380437113</c:v>
                </c:pt>
                <c:pt idx="778">
                  <c:v>1.8042058154958567</c:v>
                </c:pt>
                <c:pt idx="779">
                  <c:v>1.8065714631547061</c:v>
                </c:pt>
                <c:pt idx="780">
                  <c:v>1.8089403429398945</c:v>
                </c:pt>
                <c:pt idx="781">
                  <c:v>1.8113124744159426</c:v>
                </c:pt>
                <c:pt idx="782">
                  <c:v>1.8136878771878939</c:v>
                </c:pt>
                <c:pt idx="783">
                  <c:v>1.81606657090351</c:v>
                </c:pt>
                <c:pt idx="784">
                  <c:v>1.8184485752554245</c:v>
                </c:pt>
                <c:pt idx="785">
                  <c:v>1.8208339099832618</c:v>
                </c:pt>
                <c:pt idx="786">
                  <c:v>1.8232225948757161</c:v>
                </c:pt>
                <c:pt idx="787">
                  <c:v>1.8256146497725982</c:v>
                </c:pt>
                <c:pt idx="788">
                  <c:v>1.828010094566846</c:v>
                </c:pt>
                <c:pt idx="789">
                  <c:v>1.8304089492065037</c:v>
                </c:pt>
                <c:pt idx="790">
                  <c:v>1.8328112336966693</c:v>
                </c:pt>
                <c:pt idx="791">
                  <c:v>1.8352169681014125</c:v>
                </c:pt>
                <c:pt idx="792">
                  <c:v>1.8376261725456622</c:v>
                </c:pt>
                <c:pt idx="793">
                  <c:v>1.8400388672170673</c:v>
                </c:pt>
                <c:pt idx="794">
                  <c:v>1.8424550723678315</c:v>
                </c:pt>
                <c:pt idx="795">
                  <c:v>1.8448748083165198</c:v>
                </c:pt>
                <c:pt idx="796">
                  <c:v>1.8472980954498437</c:v>
                </c:pt>
                <c:pt idx="797">
                  <c:v>1.8497249542244194</c:v>
                </c:pt>
                <c:pt idx="798">
                  <c:v>1.8521554051685063</c:v>
                </c:pt>
                <c:pt idx="799">
                  <c:v>1.8545894688837221</c:v>
                </c:pt>
                <c:pt idx="800">
                  <c:v>1.857027166046737</c:v>
                </c:pt>
                <c:pt idx="801">
                  <c:v>1.8594685174109493</c:v>
                </c:pt>
                <c:pt idx="802">
                  <c:v>1.8619135438081404</c:v>
                </c:pt>
                <c:pt idx="803">
                  <c:v>1.8643622661501129</c:v>
                </c:pt>
                <c:pt idx="804">
                  <c:v>1.8668147054303101</c:v>
                </c:pt>
                <c:pt idx="805">
                  <c:v>1.8692708827254203</c:v>
                </c:pt>
                <c:pt idx="806">
                  <c:v>1.8717308191969635</c:v>
                </c:pt>
                <c:pt idx="807">
                  <c:v>1.8741945360928651</c:v>
                </c:pt>
                <c:pt idx="808">
                  <c:v>1.8766620547490134</c:v>
                </c:pt>
                <c:pt idx="809">
                  <c:v>1.8791333965908046</c:v>
                </c:pt>
                <c:pt idx="810">
                  <c:v>1.8816085831346741</c:v>
                </c:pt>
                <c:pt idx="811">
                  <c:v>1.8840876359896164</c:v>
                </c:pt>
                <c:pt idx="812">
                  <c:v>1.8865705768586922</c:v>
                </c:pt>
                <c:pt idx="813">
                  <c:v>1.8890574275405256</c:v>
                </c:pt>
                <c:pt idx="814">
                  <c:v>1.8915482099307901</c:v>
                </c:pt>
                <c:pt idx="815">
                  <c:v>1.8940429460236852</c:v>
                </c:pt>
                <c:pt idx="816">
                  <c:v>1.8965416579134038</c:v>
                </c:pt>
                <c:pt idx="817">
                  <c:v>1.899044367795591</c:v>
                </c:pt>
                <c:pt idx="818">
                  <c:v>1.9015510979687946</c:v>
                </c:pt>
                <c:pt idx="819">
                  <c:v>1.9040618708359076</c:v>
                </c:pt>
                <c:pt idx="820">
                  <c:v>1.9065767089056052</c:v>
                </c:pt>
                <c:pt idx="821">
                  <c:v>1.9090956347937731</c:v>
                </c:pt>
                <c:pt idx="822">
                  <c:v>1.9116186712249323</c:v>
                </c:pt>
                <c:pt idx="823">
                  <c:v>1.9141458410336565</c:v>
                </c:pt>
                <c:pt idx="824">
                  <c:v>1.9166771671659846</c:v>
                </c:pt>
                <c:pt idx="825">
                  <c:v>1.9192126726808296</c:v>
                </c:pt>
                <c:pt idx="826">
                  <c:v>1.9217523807513825</c:v>
                </c:pt>
                <c:pt idx="827">
                  <c:v>1.9242963146665135</c:v>
                </c:pt>
                <c:pt idx="828">
                  <c:v>1.9268444978321682</c:v>
                </c:pt>
                <c:pt idx="829">
                  <c:v>1.9293969537727631</c:v>
                </c:pt>
                <c:pt idx="830">
                  <c:v>1.9319537061325769</c:v>
                </c:pt>
                <c:pt idx="831">
                  <c:v>1.9345147786771411</c:v>
                </c:pt>
                <c:pt idx="832">
                  <c:v>1.9370801952946277</c:v>
                </c:pt>
                <c:pt idx="833">
                  <c:v>1.9396499799972373</c:v>
                </c:pt>
                <c:pt idx="834">
                  <c:v>1.9422241569225847</c:v>
                </c:pt>
                <c:pt idx="835">
                  <c:v>1.9439906938054712</c:v>
                </c:pt>
                <c:pt idx="836">
                  <c:v>1.9457572306883577</c:v>
                </c:pt>
                <c:pt idx="837">
                  <c:v>1.9475237675712442</c:v>
                </c:pt>
                <c:pt idx="838">
                  <c:v>1.9492903044541308</c:v>
                </c:pt>
                <c:pt idx="839">
                  <c:v>1.9510568413370173</c:v>
                </c:pt>
                <c:pt idx="840">
                  <c:v>1.9528233782199038</c:v>
                </c:pt>
                <c:pt idx="841">
                  <c:v>1.9545899151027903</c:v>
                </c:pt>
                <c:pt idx="842">
                  <c:v>1.9563564519856769</c:v>
                </c:pt>
                <c:pt idx="843">
                  <c:v>1.9581229888685634</c:v>
                </c:pt>
                <c:pt idx="844">
                  <c:v>1.9598895257514499</c:v>
                </c:pt>
                <c:pt idx="845">
                  <c:v>1.9616560626343365</c:v>
                </c:pt>
                <c:pt idx="846">
                  <c:v>1.963422599517223</c:v>
                </c:pt>
                <c:pt idx="847">
                  <c:v>1.9651891364001095</c:v>
                </c:pt>
                <c:pt idx="848">
                  <c:v>1.966955673282996</c:v>
                </c:pt>
                <c:pt idx="849">
                  <c:v>1.9687222101658826</c:v>
                </c:pt>
                <c:pt idx="850">
                  <c:v>1.9704887470487691</c:v>
                </c:pt>
                <c:pt idx="851">
                  <c:v>1.9722552839316556</c:v>
                </c:pt>
                <c:pt idx="852">
                  <c:v>1.9740218208145421</c:v>
                </c:pt>
                <c:pt idx="853">
                  <c:v>1.9757883576974287</c:v>
                </c:pt>
                <c:pt idx="854">
                  <c:v>1.9775548945803152</c:v>
                </c:pt>
                <c:pt idx="855">
                  <c:v>1.9793214314632017</c:v>
                </c:pt>
                <c:pt idx="856">
                  <c:v>1.9810879683460882</c:v>
                </c:pt>
                <c:pt idx="857">
                  <c:v>1.9828545052289748</c:v>
                </c:pt>
                <c:pt idx="858">
                  <c:v>1.9846210421118613</c:v>
                </c:pt>
                <c:pt idx="859">
                  <c:v>1.9863875789947478</c:v>
                </c:pt>
                <c:pt idx="860">
                  <c:v>1.9881541158776344</c:v>
                </c:pt>
                <c:pt idx="861">
                  <c:v>1.9899206527605209</c:v>
                </c:pt>
                <c:pt idx="862">
                  <c:v>1.9916871896434074</c:v>
                </c:pt>
                <c:pt idx="863">
                  <c:v>1.9934537265262939</c:v>
                </c:pt>
                <c:pt idx="864">
                  <c:v>1.9952202634091805</c:v>
                </c:pt>
                <c:pt idx="865">
                  <c:v>1.996986800292067</c:v>
                </c:pt>
                <c:pt idx="866">
                  <c:v>1.9987533371749535</c:v>
                </c:pt>
                <c:pt idx="867">
                  <c:v>2.00051987405784</c:v>
                </c:pt>
                <c:pt idx="868">
                  <c:v>2.0022864109407266</c:v>
                </c:pt>
                <c:pt idx="869">
                  <c:v>2.0040529478236131</c:v>
                </c:pt>
                <c:pt idx="870">
                  <c:v>2.0058194847064996</c:v>
                </c:pt>
                <c:pt idx="871">
                  <c:v>2.0075860215893861</c:v>
                </c:pt>
                <c:pt idx="872">
                  <c:v>2.0093525584722727</c:v>
                </c:pt>
                <c:pt idx="873">
                  <c:v>2.0111190953551592</c:v>
                </c:pt>
                <c:pt idx="874">
                  <c:v>2.0128856322380457</c:v>
                </c:pt>
                <c:pt idx="875">
                  <c:v>2.0146521691209323</c:v>
                </c:pt>
                <c:pt idx="876">
                  <c:v>2.0164187060038188</c:v>
                </c:pt>
                <c:pt idx="877">
                  <c:v>2.0181852428867053</c:v>
                </c:pt>
                <c:pt idx="878">
                  <c:v>2.0199517797695918</c:v>
                </c:pt>
                <c:pt idx="879">
                  <c:v>2.0217183166524784</c:v>
                </c:pt>
                <c:pt idx="880">
                  <c:v>2.0234848535353649</c:v>
                </c:pt>
                <c:pt idx="881">
                  <c:v>2.0252513904182514</c:v>
                </c:pt>
                <c:pt idx="882">
                  <c:v>2.0270179273011379</c:v>
                </c:pt>
              </c:numCache>
            </c:numRef>
          </c:xVal>
          <c:yVal>
            <c:numRef>
              <c:f>Pressure!$AC$28:$AC$910</c:f>
              <c:numCache>
                <c:formatCode>0.000</c:formatCode>
                <c:ptCount val="883"/>
                <c:pt idx="0">
                  <c:v>0</c:v>
                </c:pt>
                <c:pt idx="1">
                  <c:v>1.8716606557700226</c:v>
                </c:pt>
                <c:pt idx="2">
                  <c:v>2.5806715848095263</c:v>
                </c:pt>
                <c:pt idx="3">
                  <c:v>2.8653190736147067</c:v>
                </c:pt>
                <c:pt idx="4">
                  <c:v>3.09383815631548</c:v>
                </c:pt>
                <c:pt idx="5">
                  <c:v>3.2806664587024401</c:v>
                </c:pt>
                <c:pt idx="6">
                  <c:v>3.4354863431356204</c:v>
                </c:pt>
                <c:pt idx="7">
                  <c:v>3.5651706667514693</c:v>
                </c:pt>
                <c:pt idx="8">
                  <c:v>3.6747918231503491</c:v>
                </c:pt>
                <c:pt idx="9">
                  <c:v>3.7682004046363571</c:v>
                </c:pt>
                <c:pt idx="10">
                  <c:v>3.8483820483653255</c:v>
                </c:pt>
                <c:pt idx="11">
                  <c:v>3.9176899283559559</c:v>
                </c:pt>
                <c:pt idx="12">
                  <c:v>3.9780028825195419</c:v>
                </c:pt>
                <c:pt idx="13">
                  <c:v>4.0308367291031306</c:v>
                </c:pt>
                <c:pt idx="14">
                  <c:v>4.0774248610488995</c:v>
                </c:pt>
                <c:pt idx="15">
                  <c:v>4.1187779665081372</c:v>
                </c:pt>
                <c:pt idx="16">
                  <c:v>4.1557291470934654</c:v>
                </c:pt>
                <c:pt idx="17">
                  <c:v>4.1889685643755916</c:v>
                </c:pt>
                <c:pt idx="18">
                  <c:v>4.2190704150358789</c:v>
                </c:pt>
                <c:pt idx="19">
                  <c:v>4.246514181806436</c:v>
                </c:pt>
                <c:pt idx="20">
                  <c:v>4.2717015443913082</c:v>
                </c:pt>
                <c:pt idx="21">
                  <c:v>4.2949699537600203</c:v>
                </c:pt>
                <c:pt idx="22">
                  <c:v>4.3166036099428915</c:v>
                </c:pt>
                <c:pt idx="23">
                  <c:v>4.3368423977032613</c:v>
                </c:pt>
                <c:pt idx="24">
                  <c:v>4.3558892011141452</c:v>
                </c:pt>
                <c:pt idx="25">
                  <c:v>4.3739159207077032</c:v>
                </c:pt>
                <c:pt idx="26">
                  <c:v>4.3910684447769786</c:v>
                </c:pt>
                <c:pt idx="27">
                  <c:v>4.4074707722907931</c:v>
                </c:pt>
                <c:pt idx="28">
                  <c:v>4.4232284437526435</c:v>
                </c:pt>
                <c:pt idx="29">
                  <c:v>4.4384314047500784</c:v>
                </c:pt>
                <c:pt idx="30">
                  <c:v>4.4531564024159787</c:v>
                </c:pt>
                <c:pt idx="31">
                  <c:v>4.4674689958310925</c:v>
                </c:pt>
                <c:pt idx="32">
                  <c:v>4.4814252462344717</c:v>
                </c:pt>
                <c:pt idx="33">
                  <c:v>4.4950731408511899</c:v>
                </c:pt>
                <c:pt idx="34">
                  <c:v>4.5084537944849892</c:v>
                </c:pt>
                <c:pt idx="35">
                  <c:v>4.5216024652478017</c:v>
                </c:pt>
                <c:pt idx="36">
                  <c:v>4.534549414487941</c:v>
                </c:pt>
                <c:pt idx="37">
                  <c:v>4.5473206358580605</c:v>
                </c:pt>
                <c:pt idx="38">
                  <c:v>4.5599384742468247</c:v>
                </c:pt>
                <c:pt idx="39">
                  <c:v>4.57242215187732</c:v>
                </c:pt>
                <c:pt idx="40">
                  <c:v>4.5847882160113596</c:v>
                </c:pt>
                <c:pt idx="41">
                  <c:v>4.5970509203760965</c:v>
                </c:pt>
                <c:pt idx="42">
                  <c:v>4.6092225504577495</c:v>
                </c:pt>
                <c:pt idx="43">
                  <c:v>4.6213137012129755</c:v>
                </c:pt>
                <c:pt idx="44">
                  <c:v>4.6333335143817864</c:v>
                </c:pt>
                <c:pt idx="45">
                  <c:v>4.6452898814720847</c:v>
                </c:pt>
                <c:pt idx="46">
                  <c:v>4.657189617535332</c:v>
                </c:pt>
                <c:pt idx="47">
                  <c:v>4.6690386100700083</c:v>
                </c:pt>
                <c:pt idx="48">
                  <c:v>4.6808419467176616</c:v>
                </c:pt>
                <c:pt idx="49">
                  <c:v>4.6926040248628134</c:v>
                </c:pt>
                <c:pt idx="50">
                  <c:v>4.7043286457816613</c:v>
                </c:pt>
                <c:pt idx="51">
                  <c:v>4.7160190955721557</c:v>
                </c:pt>
                <c:pt idx="52">
                  <c:v>4.7276782147870788</c:v>
                </c:pt>
                <c:pt idx="53">
                  <c:v>4.7393084583826646</c:v>
                </c:pt>
                <c:pt idx="54">
                  <c:v>4.7509119473712538</c:v>
                </c:pt>
                <c:pt idx="55">
                  <c:v>4.7624905133617528</c:v>
                </c:pt>
                <c:pt idx="56">
                  <c:v>4.7740457369888105</c:v>
                </c:pt>
                <c:pt idx="57">
                  <c:v>4.7855789811011915</c:v>
                </c:pt>
                <c:pt idx="58">
                  <c:v>4.7970914194313963</c:v>
                </c:pt>
                <c:pt idx="59">
                  <c:v>4.8085840613935869</c:v>
                </c:pt>
                <c:pt idx="60">
                  <c:v>4.8200577735377141</c:v>
                </c:pt>
                <c:pt idx="61">
                  <c:v>4.8315132981244622</c:v>
                </c:pt>
                <c:pt idx="62">
                  <c:v>4.8429512692216852</c:v>
                </c:pt>
                <c:pt idx="63">
                  <c:v>4.854372226658823</c:v>
                </c:pt>
                <c:pt idx="64">
                  <c:v>4.8657766281347525</c:v>
                </c:pt>
                <c:pt idx="65">
                  <c:v>4.8771648597279533</c:v>
                </c:pt>
                <c:pt idx="66">
                  <c:v>4.8885372450257556</c:v>
                </c:pt>
                <c:pt idx="67">
                  <c:v>4.8998940530651565</c:v>
                </c:pt>
                <c:pt idx="68">
                  <c:v>4.9112355052323382</c:v>
                </c:pt>
                <c:pt idx="69">
                  <c:v>4.9225617812727753</c:v>
                </c:pt>
                <c:pt idx="70">
                  <c:v>4.9338730245236766</c:v>
                </c:pt>
                <c:pt idx="71">
                  <c:v>4.9451693464753603</c:v>
                </c:pt>
                <c:pt idx="72">
                  <c:v>4.9564508307446751</c:v>
                </c:pt>
                <c:pt idx="73">
                  <c:v>4.9677175365469335</c:v>
                </c:pt>
                <c:pt idx="74">
                  <c:v>4.9789695017214344</c:v>
                </c:pt>
                <c:pt idx="75">
                  <c:v>4.9902067453800667</c:v>
                </c:pt>
                <c:pt idx="76">
                  <c:v>5.0014292702179128</c:v>
                </c:pt>
                <c:pt idx="77">
                  <c:v>5.0126370645349736</c:v>
                </c:pt>
                <c:pt idx="78">
                  <c:v>5.0238301040077262</c:v>
                </c:pt>
                <c:pt idx="79">
                  <c:v>5.0350083532378624</c:v>
                </c:pt>
                <c:pt idx="80">
                  <c:v>5.0461717671087394</c:v>
                </c:pt>
                <c:pt idx="81">
                  <c:v>5.057320291976815</c:v>
                </c:pt>
                <c:pt idx="82">
                  <c:v>5.0684538667142913</c:v>
                </c:pt>
                <c:pt idx="83">
                  <c:v>5.079572423627444</c:v>
                </c:pt>
                <c:pt idx="84">
                  <c:v>5.0906758892583754</c:v>
                </c:pt>
                <c:pt idx="85">
                  <c:v>5.1017641850923274</c:v>
                </c:pt>
                <c:pt idx="86">
                  <c:v>5.1128372281792362</c:v>
                </c:pt>
                <c:pt idx="87">
                  <c:v>5.1238949316823792</c:v>
                </c:pt>
                <c:pt idx="88">
                  <c:v>5.1349372053547828</c:v>
                </c:pt>
                <c:pt idx="89">
                  <c:v>5.1459639559673498</c:v>
                </c:pt>
                <c:pt idx="90">
                  <c:v>5.1569750876778473</c:v>
                </c:pt>
                <c:pt idx="91">
                  <c:v>5.1679705023638336</c:v>
                </c:pt>
                <c:pt idx="92">
                  <c:v>5.1789500999099145</c:v>
                </c:pt>
                <c:pt idx="93">
                  <c:v>5.1899137784650566</c:v>
                </c:pt>
                <c:pt idx="94">
                  <c:v>5.2008614346684165</c:v>
                </c:pt>
                <c:pt idx="95">
                  <c:v>5.2117929638491711</c:v>
                </c:pt>
                <c:pt idx="96">
                  <c:v>5.2227082602028387</c:v>
                </c:pt>
                <c:pt idx="97">
                  <c:v>5.2336072169479939</c:v>
                </c:pt>
                <c:pt idx="98">
                  <c:v>5.2444897264644714</c:v>
                </c:pt>
                <c:pt idx="99">
                  <c:v>5.2553556804151427</c:v>
                </c:pt>
                <c:pt idx="100">
                  <c:v>5.2662049698550026</c:v>
                </c:pt>
                <c:pt idx="101">
                  <c:v>5.2770374853267121</c:v>
                </c:pt>
                <c:pt idx="102">
                  <c:v>5.2878531169470104</c:v>
                </c:pt>
                <c:pt idx="103">
                  <c:v>5.2986517544822389</c:v>
                </c:pt>
                <c:pt idx="104">
                  <c:v>5.3094332874127526</c:v>
                </c:pt>
                <c:pt idx="105">
                  <c:v>5.3201976049973316</c:v>
                </c:pt>
                <c:pt idx="106">
                  <c:v>5.330944596322583</c:v>
                </c:pt>
                <c:pt idx="107">
                  <c:v>5.3416741503524046</c:v>
                </c:pt>
                <c:pt idx="108">
                  <c:v>5.3523861559683343</c:v>
                </c:pt>
                <c:pt idx="109">
                  <c:v>5.3630805020085353</c:v>
                </c:pt>
                <c:pt idx="110">
                  <c:v>5.3737570772998762</c:v>
                </c:pt>
                <c:pt idx="111">
                  <c:v>5.3844157706893139</c:v>
                </c:pt>
                <c:pt idx="112">
                  <c:v>5.3950564710686786</c:v>
                </c:pt>
                <c:pt idx="113">
                  <c:v>5.4056790674002562</c:v>
                </c:pt>
                <c:pt idx="114">
                  <c:v>5.4162834487362712</c:v>
                </c:pt>
                <c:pt idx="115">
                  <c:v>5.426869504239149</c:v>
                </c:pt>
                <c:pt idx="116">
                  <c:v>5.43743712319813</c:v>
                </c:pt>
                <c:pt idx="117">
                  <c:v>5.4479861950445372</c:v>
                </c:pt>
                <c:pt idx="118">
                  <c:v>5.4585166093655921</c:v>
                </c:pt>
                <c:pt idx="119">
                  <c:v>5.4690282559161281</c:v>
                </c:pt>
                <c:pt idx="120">
                  <c:v>5.4795210246297952</c:v>
                </c:pt>
                <c:pt idx="121">
                  <c:v>5.489994805630011</c:v>
                </c:pt>
                <c:pt idx="122">
                  <c:v>5.50044948923746</c:v>
                </c:pt>
                <c:pt idx="123">
                  <c:v>5.5108849659790557</c:v>
                </c:pt>
                <c:pt idx="124">
                  <c:v>5.5213011265945262</c:v>
                </c:pt>
                <c:pt idx="125">
                  <c:v>5.5316978620434858</c:v>
                </c:pt>
                <c:pt idx="126">
                  <c:v>5.5420750635107598</c:v>
                </c:pt>
                <c:pt idx="127">
                  <c:v>5.552432622413173</c:v>
                </c:pt>
                <c:pt idx="128">
                  <c:v>5.5627704304023418</c:v>
                </c:pt>
                <c:pt idx="129">
                  <c:v>5.573088379370569</c:v>
                </c:pt>
                <c:pt idx="130">
                  <c:v>5.583386361454413</c:v>
                </c:pt>
                <c:pt idx="131">
                  <c:v>5.5936642690382774</c:v>
                </c:pt>
                <c:pt idx="132">
                  <c:v>5.60392199475762</c:v>
                </c:pt>
                <c:pt idx="133">
                  <c:v>5.6141594315025474</c:v>
                </c:pt>
                <c:pt idx="134">
                  <c:v>5.6243764724197431</c:v>
                </c:pt>
                <c:pt idx="135">
                  <c:v>5.6345730109159113</c:v>
                </c:pt>
                <c:pt idx="136">
                  <c:v>5.6447489406592064</c:v>
                </c:pt>
                <c:pt idx="137">
                  <c:v>5.6549041555818027</c:v>
                </c:pt>
                <c:pt idx="138">
                  <c:v>5.6650385498819755</c:v>
                </c:pt>
                <c:pt idx="139">
                  <c:v>5.6751520180267621</c:v>
                </c:pt>
                <c:pt idx="140">
                  <c:v>5.6852444547512588</c:v>
                </c:pt>
                <c:pt idx="141">
                  <c:v>5.6953157550625404</c:v>
                </c:pt>
                <c:pt idx="142">
                  <c:v>5.7053658142395625</c:v>
                </c:pt>
                <c:pt idx="143">
                  <c:v>5.7153945278357563</c:v>
                </c:pt>
                <c:pt idx="144">
                  <c:v>5.725401791679257</c:v>
                </c:pt>
                <c:pt idx="145">
                  <c:v>5.7353875018753229</c:v>
                </c:pt>
                <c:pt idx="146">
                  <c:v>5.7453515548052208</c:v>
                </c:pt>
                <c:pt idx="147">
                  <c:v>5.7552938471296207</c:v>
                </c:pt>
                <c:pt idx="148">
                  <c:v>5.7652142757884217</c:v>
                </c:pt>
                <c:pt idx="149">
                  <c:v>5.7751127380019733</c:v>
                </c:pt>
                <c:pt idx="150">
                  <c:v>5.7849891312709367</c:v>
                </c:pt>
                <c:pt idx="151">
                  <c:v>5.794843353379636</c:v>
                </c:pt>
                <c:pt idx="152">
                  <c:v>5.8046753023936155</c:v>
                </c:pt>
                <c:pt idx="153">
                  <c:v>5.8144848766623767</c:v>
                </c:pt>
                <c:pt idx="154">
                  <c:v>5.8242719748205172</c:v>
                </c:pt>
                <c:pt idx="155">
                  <c:v>5.8340364957858384</c:v>
                </c:pt>
                <c:pt idx="156">
                  <c:v>5.8572399816256135</c:v>
                </c:pt>
                <c:pt idx="157">
                  <c:v>5.875052021160343</c:v>
                </c:pt>
                <c:pt idx="158">
                  <c:v>5.8889026580360557</c:v>
                </c:pt>
                <c:pt idx="159">
                  <c:v>5.8998402593163117</c:v>
                </c:pt>
                <c:pt idx="160">
                  <c:v>5.908633662403461</c:v>
                </c:pt>
                <c:pt idx="161">
                  <c:v>5.9158469813250365</c:v>
                </c:pt>
                <c:pt idx="162">
                  <c:v>5.9218943582978127</c:v>
                </c:pt>
                <c:pt idx="163">
                  <c:v>5.9270800290830818</c:v>
                </c:pt>
                <c:pt idx="164">
                  <c:v>5.9316276438143287</c:v>
                </c:pt>
                <c:pt idx="165">
                  <c:v>5.9357017307214743</c:v>
                </c:pt>
                <c:pt idx="166">
                  <c:v>5.9394234148919107</c:v>
                </c:pt>
                <c:pt idx="167">
                  <c:v>5.9428819358458123</c:v>
                </c:pt>
                <c:pt idx="168">
                  <c:v>5.9461430918783291</c:v>
                </c:pt>
                <c:pt idx="169">
                  <c:v>5.9492554352761209</c:v>
                </c:pt>
                <c:pt idx="170">
                  <c:v>5.952254820617191</c:v>
                </c:pt>
                <c:pt idx="171">
                  <c:v>5.9551677463817976</c:v>
                </c:pt>
                <c:pt idx="172">
                  <c:v>5.9580138118420463</c:v>
                </c:pt>
                <c:pt idx="173">
                  <c:v>5.9608075248306056</c:v>
                </c:pt>
                <c:pt idx="174">
                  <c:v>5.9635596329071365</c:v>
                </c:pt>
                <c:pt idx="175">
                  <c:v>5.9662781043298168</c:v>
                </c:pt>
                <c:pt idx="176">
                  <c:v>5.9689688515157</c:v>
                </c:pt>
                <c:pt idx="177">
                  <c:v>5.9716362650046211</c:v>
                </c:pt>
                <c:pt idx="178">
                  <c:v>5.9742836078634172</c:v>
                </c:pt>
                <c:pt idx="179">
                  <c:v>5.9769133072342786</c:v>
                </c:pt>
                <c:pt idx="180">
                  <c:v>5.979527170016711</c:v>
                </c:pt>
                <c:pt idx="181">
                  <c:v>5.9821265425448402</c:v>
                </c:pt>
                <c:pt idx="182">
                  <c:v>5.9847124288995026</c:v>
                </c:pt>
                <c:pt idx="183">
                  <c:v>5.9872855786299599</c:v>
                </c:pt>
                <c:pt idx="184">
                  <c:v>5.9898465518517501</c:v>
                </c:pt>
                <c:pt idx="185">
                  <c:v>5.9923957675867134</c:v>
                </c:pt>
                <c:pt idx="186">
                  <c:v>5.9949335396875094</c:v>
                </c:pt>
                <c:pt idx="187">
                  <c:v>5.9974601035581099</c:v>
                </c:pt>
                <c:pt idx="188">
                  <c:v>5.9999756360403227</c:v>
                </c:pt>
                <c:pt idx="189">
                  <c:v>6.0024802702240754</c:v>
                </c:pt>
                <c:pt idx="190">
                  <c:v>6.0049741064918685</c:v>
                </c:pt>
                <c:pt idx="191">
                  <c:v>6.0074572207515944</c:v>
                </c:pt>
                <c:pt idx="192">
                  <c:v>6.0099296705871401</c:v>
                </c:pt>
                <c:pt idx="193">
                  <c:v>6.0123914998496248</c:v>
                </c:pt>
                <c:pt idx="194">
                  <c:v>6.014842742092088</c:v>
                </c:pt>
                <c:pt idx="195">
                  <c:v>6.0172834231385588</c:v>
                </c:pt>
                <c:pt idx="196">
                  <c:v>6.0197135630052676</c:v>
                </c:pt>
                <c:pt idx="197">
                  <c:v>6.0221331773439788</c:v>
                </c:pt>
                <c:pt idx="198">
                  <c:v>6.0245422785209124</c:v>
                </c:pt>
                <c:pt idx="199">
                  <c:v>6.0269408764276386</c:v>
                </c:pt>
                <c:pt idx="200">
                  <c:v>6.0293289790895663</c:v>
                </c:pt>
                <c:pt idx="201">
                  <c:v>6.0317065931227178</c:v>
                </c:pt>
                <c:pt idx="202">
                  <c:v>6.0340737240789259</c:v>
                </c:pt>
                <c:pt idx="203">
                  <c:v>6.0364303767024934</c:v>
                </c:pt>
                <c:pt idx="204">
                  <c:v>6.0387765551272938</c:v>
                </c:pt>
                <c:pt idx="205">
                  <c:v>6.0411122630204011</c:v>
                </c:pt>
                <c:pt idx="206">
                  <c:v>6.0434375036964427</c:v>
                </c:pt>
                <c:pt idx="207">
                  <c:v>6.0457522801980756</c:v>
                </c:pt>
                <c:pt idx="208">
                  <c:v>6.0480565953608014</c:v>
                </c:pt>
                <c:pt idx="209">
                  <c:v>6.0503504518596074</c:v>
                </c:pt>
                <c:pt idx="210">
                  <c:v>6.0526338522452638</c:v>
                </c:pt>
                <c:pt idx="211">
                  <c:v>6.0549067989727661</c:v>
                </c:pt>
                <c:pt idx="212">
                  <c:v>6.0571692944192179</c:v>
                </c:pt>
                <c:pt idx="213">
                  <c:v>6.059421340902083</c:v>
                </c:pt>
                <c:pt idx="214">
                  <c:v>6.0616629406901259</c:v>
                </c:pt>
                <c:pt idx="215">
                  <c:v>6.0638940960118939</c:v>
                </c:pt>
                <c:pt idx="216">
                  <c:v>6.0661148090637997</c:v>
                </c:pt>
                <c:pt idx="217">
                  <c:v>6.068325082014228</c:v>
                </c:pt>
                <c:pt idx="218">
                  <c:v>6.0705249170069493</c:v>
                </c:pt>
                <c:pt idx="219">
                  <c:v>6.0727143161665706</c:v>
                </c:pt>
                <c:pt idx="220">
                  <c:v>6.0748932815982366</c:v>
                </c:pt>
                <c:pt idx="221">
                  <c:v>6.0770618153907536</c:v>
                </c:pt>
                <c:pt idx="222">
                  <c:v>6.0792199196177998</c:v>
                </c:pt>
                <c:pt idx="223">
                  <c:v>6.0813675963383362</c:v>
                </c:pt>
                <c:pt idx="224">
                  <c:v>6.0835048475984044</c:v>
                </c:pt>
                <c:pt idx="225">
                  <c:v>6.0856316754305881</c:v>
                </c:pt>
                <c:pt idx="226">
                  <c:v>6.0877480818554615</c:v>
                </c:pt>
                <c:pt idx="227">
                  <c:v>6.089854068881202</c:v>
                </c:pt>
                <c:pt idx="228">
                  <c:v>6.0919496385046656</c:v>
                </c:pt>
                <c:pt idx="229">
                  <c:v>6.094034792711426</c:v>
                </c:pt>
                <c:pt idx="230">
                  <c:v>6.09610953347436</c:v>
                </c:pt>
                <c:pt idx="231">
                  <c:v>6.098173862756445</c:v>
                </c:pt>
                <c:pt idx="232">
                  <c:v>6.1002277825089646</c:v>
                </c:pt>
                <c:pt idx="233">
                  <c:v>6.1022712946724758</c:v>
                </c:pt>
                <c:pt idx="234">
                  <c:v>6.1043044011762939</c:v>
                </c:pt>
                <c:pt idx="235">
                  <c:v>6.1063271039390772</c:v>
                </c:pt>
                <c:pt idx="236">
                  <c:v>6.1083394048684072</c:v>
                </c:pt>
                <c:pt idx="237">
                  <c:v>6.1103413058615601</c:v>
                </c:pt>
                <c:pt idx="238">
                  <c:v>6.1123328088044424</c:v>
                </c:pt>
                <c:pt idx="239">
                  <c:v>6.1143139155729456</c:v>
                </c:pt>
                <c:pt idx="240">
                  <c:v>6.1162846280313152</c:v>
                </c:pt>
                <c:pt idx="241">
                  <c:v>6.1182449480339356</c:v>
                </c:pt>
                <c:pt idx="242">
                  <c:v>6.1201948774243675</c:v>
                </c:pt>
                <c:pt idx="243">
                  <c:v>6.1221344180356141</c:v>
                </c:pt>
                <c:pt idx="244">
                  <c:v>6.1240635716899394</c:v>
                </c:pt>
                <c:pt idx="245">
                  <c:v>6.1259823401990223</c:v>
                </c:pt>
                <c:pt idx="246">
                  <c:v>6.1278907253640575</c:v>
                </c:pt>
                <c:pt idx="247">
                  <c:v>6.1297887289762114</c:v>
                </c:pt>
                <c:pt idx="248">
                  <c:v>6.1316763528152434</c:v>
                </c:pt>
                <c:pt idx="249">
                  <c:v>6.1335535986511553</c:v>
                </c:pt>
                <c:pt idx="250">
                  <c:v>6.1354204682433808</c:v>
                </c:pt>
                <c:pt idx="251">
                  <c:v>6.137276963340411</c:v>
                </c:pt>
                <c:pt idx="252">
                  <c:v>6.1391230856807644</c:v>
                </c:pt>
                <c:pt idx="253">
                  <c:v>6.1409588369927652</c:v>
                </c:pt>
                <c:pt idx="254">
                  <c:v>6.1427842189937865</c:v>
                </c:pt>
                <c:pt idx="255">
                  <c:v>6.1445992333913386</c:v>
                </c:pt>
                <c:pt idx="256">
                  <c:v>6.1464038818826232</c:v>
                </c:pt>
                <c:pt idx="257">
                  <c:v>6.1481981661535237</c:v>
                </c:pt>
                <c:pt idx="258">
                  <c:v>6.1499820878808817</c:v>
                </c:pt>
                <c:pt idx="259">
                  <c:v>6.1517556487309619</c:v>
                </c:pt>
                <c:pt idx="260">
                  <c:v>6.1535188503590428</c:v>
                </c:pt>
                <c:pt idx="261">
                  <c:v>6.1552716944109429</c:v>
                </c:pt>
                <c:pt idx="262">
                  <c:v>6.1570141825215314</c:v>
                </c:pt>
                <c:pt idx="263">
                  <c:v>6.1587463163165221</c:v>
                </c:pt>
                <c:pt idx="264">
                  <c:v>6.1604680974100319</c:v>
                </c:pt>
                <c:pt idx="265">
                  <c:v>6.1621795274072131</c:v>
                </c:pt>
                <c:pt idx="266">
                  <c:v>6.163880607902259</c:v>
                </c:pt>
                <c:pt idx="267">
                  <c:v>6.1655713404797474</c:v>
                </c:pt>
                <c:pt idx="268">
                  <c:v>6.1672517267138049</c:v>
                </c:pt>
                <c:pt idx="269">
                  <c:v>6.1689217681682562</c:v>
                </c:pt>
                <c:pt idx="270">
                  <c:v>6.1705814663971639</c:v>
                </c:pt>
                <c:pt idx="271">
                  <c:v>6.1722308229445426</c:v>
                </c:pt>
                <c:pt idx="272">
                  <c:v>6.1738698393441638</c:v>
                </c:pt>
                <c:pt idx="273">
                  <c:v>6.1754985171198165</c:v>
                </c:pt>
                <c:pt idx="274">
                  <c:v>6.1771168577848528</c:v>
                </c:pt>
                <c:pt idx="275">
                  <c:v>6.1787248628432243</c:v>
                </c:pt>
                <c:pt idx="276">
                  <c:v>6.1803225337883418</c:v>
                </c:pt>
                <c:pt idx="277">
                  <c:v>6.1819098721041854</c:v>
                </c:pt>
                <c:pt idx="278">
                  <c:v>6.1834868792643043</c:v>
                </c:pt>
                <c:pt idx="279">
                  <c:v>6.1850535567322567</c:v>
                </c:pt>
                <c:pt idx="280">
                  <c:v>6.1866099059619319</c:v>
                </c:pt>
                <c:pt idx="281">
                  <c:v>6.1881559283970802</c:v>
                </c:pt>
                <c:pt idx="282">
                  <c:v>6.1896916254717098</c:v>
                </c:pt>
                <c:pt idx="283">
                  <c:v>6.1912169986098213</c:v>
                </c:pt>
                <c:pt idx="284">
                  <c:v>6.1927320492251949</c:v>
                </c:pt>
                <c:pt idx="285">
                  <c:v>6.1942367787223329</c:v>
                </c:pt>
                <c:pt idx="286">
                  <c:v>6.1957311884955839</c:v>
                </c:pt>
                <c:pt idx="287">
                  <c:v>6.1972152799293729</c:v>
                </c:pt>
                <c:pt idx="288">
                  <c:v>6.1986890543984225</c:v>
                </c:pt>
                <c:pt idx="289">
                  <c:v>6.200152513267426</c:v>
                </c:pt>
                <c:pt idx="290">
                  <c:v>6.2016056578917054</c:v>
                </c:pt>
                <c:pt idx="291">
                  <c:v>6.203048489616255</c:v>
                </c:pt>
                <c:pt idx="292">
                  <c:v>6.204481009776659</c:v>
                </c:pt>
                <c:pt idx="293">
                  <c:v>6.2059032196985831</c:v>
                </c:pt>
                <c:pt idx="294">
                  <c:v>6.2073151206979658</c:v>
                </c:pt>
                <c:pt idx="295">
                  <c:v>6.2087167140809445</c:v>
                </c:pt>
                <c:pt idx="296">
                  <c:v>6.210108001144115</c:v>
                </c:pt>
                <c:pt idx="297">
                  <c:v>6.21148898317416</c:v>
                </c:pt>
                <c:pt idx="298">
                  <c:v>6.2128596614482161</c:v>
                </c:pt>
                <c:pt idx="299">
                  <c:v>6.2142200372334138</c:v>
                </c:pt>
                <c:pt idx="300">
                  <c:v>6.2155701117877182</c:v>
                </c:pt>
                <c:pt idx="301">
                  <c:v>6.2169098863591401</c:v>
                </c:pt>
                <c:pt idx="302">
                  <c:v>6.2182393621860292</c:v>
                </c:pt>
                <c:pt idx="303">
                  <c:v>6.219558540497065</c:v>
                </c:pt>
                <c:pt idx="304">
                  <c:v>6.2208674225113079</c:v>
                </c:pt>
                <c:pt idx="305">
                  <c:v>6.2221660094383822</c:v>
                </c:pt>
                <c:pt idx="306">
                  <c:v>6.223454302478177</c:v>
                </c:pt>
                <c:pt idx="307">
                  <c:v>6.2247323028208976</c:v>
                </c:pt>
                <c:pt idx="308">
                  <c:v>6.2260000116475496</c:v>
                </c:pt>
                <c:pt idx="309">
                  <c:v>6.2272574301288852</c:v>
                </c:pt>
                <c:pt idx="310">
                  <c:v>6.228504559426999</c:v>
                </c:pt>
                <c:pt idx="311">
                  <c:v>6.2297414006936984</c:v>
                </c:pt>
                <c:pt idx="312">
                  <c:v>6.2309679550713826</c:v>
                </c:pt>
                <c:pt idx="313">
                  <c:v>6.2321842236935119</c:v>
                </c:pt>
                <c:pt idx="314">
                  <c:v>6.2333902076833505</c:v>
                </c:pt>
                <c:pt idx="315">
                  <c:v>6.234585908154739</c:v>
                </c:pt>
                <c:pt idx="316">
                  <c:v>6.2357713262125456</c:v>
                </c:pt>
                <c:pt idx="317">
                  <c:v>6.2369464629515443</c:v>
                </c:pt>
                <c:pt idx="318">
                  <c:v>6.2381113194575697</c:v>
                </c:pt>
                <c:pt idx="319">
                  <c:v>6.2392658968066161</c:v>
                </c:pt>
                <c:pt idx="320">
                  <c:v>6.2404101960654463</c:v>
                </c:pt>
                <c:pt idx="321">
                  <c:v>6.2415442182914189</c:v>
                </c:pt>
                <c:pt idx="322">
                  <c:v>6.2426679645320533</c:v>
                </c:pt>
                <c:pt idx="323">
                  <c:v>6.2437814358262127</c:v>
                </c:pt>
                <c:pt idx="324">
                  <c:v>6.2448846332026102</c:v>
                </c:pt>
                <c:pt idx="325">
                  <c:v>6.2459775576811456</c:v>
                </c:pt>
                <c:pt idx="326">
                  <c:v>6.247060210271826</c:v>
                </c:pt>
                <c:pt idx="327">
                  <c:v>6.248132591975792</c:v>
                </c:pt>
                <c:pt idx="328">
                  <c:v>6.2491947037844096</c:v>
                </c:pt>
                <c:pt idx="329">
                  <c:v>6.2502465466799961</c:v>
                </c:pt>
                <c:pt idx="330">
                  <c:v>6.2512881216353229</c:v>
                </c:pt>
                <c:pt idx="331">
                  <c:v>6.2523194296137223</c:v>
                </c:pt>
                <c:pt idx="332">
                  <c:v>6.2533404715697358</c:v>
                </c:pt>
                <c:pt idx="333">
                  <c:v>6.2543512484479544</c:v>
                </c:pt>
                <c:pt idx="334">
                  <c:v>6.2553517611842357</c:v>
                </c:pt>
                <c:pt idx="335">
                  <c:v>6.2563420107045173</c:v>
                </c:pt>
                <c:pt idx="336">
                  <c:v>6.2573219979260131</c:v>
                </c:pt>
                <c:pt idx="337">
                  <c:v>6.2582917237564564</c:v>
                </c:pt>
                <c:pt idx="338">
                  <c:v>6.2592511890941731</c:v>
                </c:pt>
                <c:pt idx="339">
                  <c:v>6.2602003948285638</c:v>
                </c:pt>
                <c:pt idx="340">
                  <c:v>6.2611393418393213</c:v>
                </c:pt>
                <c:pt idx="341">
                  <c:v>6.2620680309972121</c:v>
                </c:pt>
                <c:pt idx="342">
                  <c:v>6.26298646316397</c:v>
                </c:pt>
                <c:pt idx="343">
                  <c:v>6.2638946391914958</c:v>
                </c:pt>
                <c:pt idx="344">
                  <c:v>6.2647925599230643</c:v>
                </c:pt>
                <c:pt idx="345">
                  <c:v>6.2656802261924245</c:v>
                </c:pt>
                <c:pt idx="346">
                  <c:v>6.2665576388241835</c:v>
                </c:pt>
                <c:pt idx="347">
                  <c:v>6.2674247986338054</c:v>
                </c:pt>
                <c:pt idx="348">
                  <c:v>6.2682817064275245</c:v>
                </c:pt>
                <c:pt idx="349">
                  <c:v>6.2691283630024834</c:v>
                </c:pt>
                <c:pt idx="350">
                  <c:v>6.2699647691465898</c:v>
                </c:pt>
                <c:pt idx="351">
                  <c:v>6.2707909256385088</c:v>
                </c:pt>
                <c:pt idx="352">
                  <c:v>6.271606833247823</c:v>
                </c:pt>
                <c:pt idx="353">
                  <c:v>6.2724124927351941</c:v>
                </c:pt>
                <c:pt idx="354">
                  <c:v>6.273207904851847</c:v>
                </c:pt>
                <c:pt idx="355">
                  <c:v>6.2739930703399329</c:v>
                </c:pt>
                <c:pt idx="356">
                  <c:v>6.2747679899325419</c:v>
                </c:pt>
                <c:pt idx="357">
                  <c:v>6.2755326643535003</c:v>
                </c:pt>
                <c:pt idx="358">
                  <c:v>6.2762870943180209</c:v>
                </c:pt>
                <c:pt idx="359">
                  <c:v>6.2770312805314923</c:v>
                </c:pt>
                <c:pt idx="360">
                  <c:v>6.2777652236908708</c:v>
                </c:pt>
                <c:pt idx="361">
                  <c:v>6.2784889244833666</c:v>
                </c:pt>
                <c:pt idx="362">
                  <c:v>6.2792023835878341</c:v>
                </c:pt>
                <c:pt idx="363">
                  <c:v>6.2799056016733976</c:v>
                </c:pt>
                <c:pt idx="364">
                  <c:v>6.280598579400464</c:v>
                </c:pt>
                <c:pt idx="365">
                  <c:v>6.2812813174205893</c:v>
                </c:pt>
                <c:pt idx="366">
                  <c:v>6.281953816375613</c:v>
                </c:pt>
                <c:pt idx="367">
                  <c:v>6.282616076899</c:v>
                </c:pt>
                <c:pt idx="368">
                  <c:v>6.2832680996146877</c:v>
                </c:pt>
                <c:pt idx="369">
                  <c:v>6.2839098851380353</c:v>
                </c:pt>
                <c:pt idx="370">
                  <c:v>6.2845414340748995</c:v>
                </c:pt>
                <c:pt idx="371">
                  <c:v>6.2851627470225342</c:v>
                </c:pt>
                <c:pt idx="372">
                  <c:v>6.2857738245688433</c:v>
                </c:pt>
                <c:pt idx="373">
                  <c:v>6.2863746672927467</c:v>
                </c:pt>
                <c:pt idx="374">
                  <c:v>6.2869652757644356</c:v>
                </c:pt>
                <c:pt idx="375">
                  <c:v>6.2875456505449199</c:v>
                </c:pt>
                <c:pt idx="376">
                  <c:v>6.2881157921860833</c:v>
                </c:pt>
                <c:pt idx="377">
                  <c:v>6.2886757012310159</c:v>
                </c:pt>
                <c:pt idx="378">
                  <c:v>6.2892253782138532</c:v>
                </c:pt>
                <c:pt idx="379">
                  <c:v>6.2897648236596337</c:v>
                </c:pt>
                <c:pt idx="380">
                  <c:v>6.2902940380843981</c:v>
                </c:pt>
                <c:pt idx="381">
                  <c:v>6.2908130219953797</c:v>
                </c:pt>
                <c:pt idx="382">
                  <c:v>6.2913217758905349</c:v>
                </c:pt>
                <c:pt idx="383">
                  <c:v>6.2918203002591264</c:v>
                </c:pt>
                <c:pt idx="384">
                  <c:v>6.2923085955815541</c:v>
                </c:pt>
                <c:pt idx="385">
                  <c:v>6.2927866623288189</c:v>
                </c:pt>
                <c:pt idx="386">
                  <c:v>6.2932545009636724</c:v>
                </c:pt>
                <c:pt idx="387">
                  <c:v>6.2937121119390902</c:v>
                </c:pt>
                <c:pt idx="388">
                  <c:v>6.2941594956998204</c:v>
                </c:pt>
                <c:pt idx="389">
                  <c:v>6.294596652681407</c:v>
                </c:pt>
                <c:pt idx="390">
                  <c:v>6.2950235833102086</c:v>
                </c:pt>
                <c:pt idx="391">
                  <c:v>6.2954402880041727</c:v>
                </c:pt>
                <c:pt idx="392">
                  <c:v>6.2958467671719891</c:v>
                </c:pt>
                <c:pt idx="393">
                  <c:v>6.2962430212133027</c:v>
                </c:pt>
                <c:pt idx="394">
                  <c:v>6.2966290505195133</c:v>
                </c:pt>
                <c:pt idx="395">
                  <c:v>6.2970048554723599</c:v>
                </c:pt>
                <c:pt idx="396">
                  <c:v>6.2973704364449654</c:v>
                </c:pt>
                <c:pt idx="397">
                  <c:v>6.2977257938014457</c:v>
                </c:pt>
                <c:pt idx="398">
                  <c:v>6.2980709278973759</c:v>
                </c:pt>
                <c:pt idx="399">
                  <c:v>6.2984058390790949</c:v>
                </c:pt>
                <c:pt idx="400">
                  <c:v>6.2987305276840813</c:v>
                </c:pt>
                <c:pt idx="401">
                  <c:v>6.2990449940410214</c:v>
                </c:pt>
                <c:pt idx="402">
                  <c:v>6.2993492384699135</c:v>
                </c:pt>
                <c:pt idx="403">
                  <c:v>6.2996432612812443</c:v>
                </c:pt>
                <c:pt idx="404">
                  <c:v>6.2999270627774875</c:v>
                </c:pt>
                <c:pt idx="405">
                  <c:v>6.3002006432514319</c:v>
                </c:pt>
                <c:pt idx="406">
                  <c:v>6.3004640029873222</c:v>
                </c:pt>
                <c:pt idx="407">
                  <c:v>6.3007171422608605</c:v>
                </c:pt>
                <c:pt idx="408">
                  <c:v>6.300960061338543</c:v>
                </c:pt>
                <c:pt idx="409">
                  <c:v>6.3011927604778935</c:v>
                </c:pt>
                <c:pt idx="410">
                  <c:v>6.3014152399277306</c:v>
                </c:pt>
                <c:pt idx="411">
                  <c:v>6.3016274999281343</c:v>
                </c:pt>
                <c:pt idx="412">
                  <c:v>6.3018295407102514</c:v>
                </c:pt>
                <c:pt idx="413">
                  <c:v>6.3020213624960402</c:v>
                </c:pt>
                <c:pt idx="414">
                  <c:v>6.3022029654991956</c:v>
                </c:pt>
                <c:pt idx="415">
                  <c:v>6.3023743499239675</c:v>
                </c:pt>
                <c:pt idx="416">
                  <c:v>6.3025355159665857</c:v>
                </c:pt>
                <c:pt idx="417">
                  <c:v>6.3026864638132976</c:v>
                </c:pt>
                <c:pt idx="418">
                  <c:v>6.3028271936425284</c:v>
                </c:pt>
                <c:pt idx="419">
                  <c:v>6.3029577056234078</c:v>
                </c:pt>
                <c:pt idx="420">
                  <c:v>6.3030779999161854</c:v>
                </c:pt>
                <c:pt idx="421">
                  <c:v>6.3031880766722912</c:v>
                </c:pt>
                <c:pt idx="422">
                  <c:v>6.3032879360346206</c:v>
                </c:pt>
                <c:pt idx="423">
                  <c:v>6.3033775781367787</c:v>
                </c:pt>
                <c:pt idx="424">
                  <c:v>6.3034570031039276</c:v>
                </c:pt>
                <c:pt idx="425">
                  <c:v>6.3035262110520582</c:v>
                </c:pt>
                <c:pt idx="426">
                  <c:v>6.3035852020886312</c:v>
                </c:pt>
                <c:pt idx="427">
                  <c:v>6.30363397631222</c:v>
                </c:pt>
                <c:pt idx="428">
                  <c:v>6.303672533812378</c:v>
                </c:pt>
                <c:pt idx="429">
                  <c:v>6.3037008746699428</c:v>
                </c:pt>
                <c:pt idx="430">
                  <c:v>6.3037189989570521</c:v>
                </c:pt>
                <c:pt idx="431">
                  <c:v>6.3037269067368191</c:v>
                </c:pt>
                <c:pt idx="432">
                  <c:v>6.303724598063642</c:v>
                </c:pt>
                <c:pt idx="433">
                  <c:v>6.3037120729831466</c:v>
                </c:pt>
                <c:pt idx="434">
                  <c:v>6.3036893315320679</c:v>
                </c:pt>
                <c:pt idx="435">
                  <c:v>6.3036563737380877</c:v>
                </c:pt>
                <c:pt idx="436">
                  <c:v>6.3036131996205569</c:v>
                </c:pt>
                <c:pt idx="437">
                  <c:v>6.3035598091895988</c:v>
                </c:pt>
                <c:pt idx="438">
                  <c:v>6.303496202446734</c:v>
                </c:pt>
                <c:pt idx="439">
                  <c:v>6.3034223793843642</c:v>
                </c:pt>
                <c:pt idx="440">
                  <c:v>6.3033383399867038</c:v>
                </c:pt>
                <c:pt idx="441">
                  <c:v>6.3032440842283686</c:v>
                </c:pt>
                <c:pt idx="442">
                  <c:v>6.3031396120756087</c:v>
                </c:pt>
                <c:pt idx="443">
                  <c:v>6.3030249234858884</c:v>
                </c:pt>
                <c:pt idx="444">
                  <c:v>6.3029000184074926</c:v>
                </c:pt>
                <c:pt idx="445">
                  <c:v>6.302764896780447</c:v>
                </c:pt>
                <c:pt idx="446">
                  <c:v>6.3026195585353504</c:v>
                </c:pt>
                <c:pt idx="447">
                  <c:v>6.3024640035941415</c:v>
                </c:pt>
                <c:pt idx="448">
                  <c:v>6.3022982318703029</c:v>
                </c:pt>
                <c:pt idx="449">
                  <c:v>6.3021222432682666</c:v>
                </c:pt>
                <c:pt idx="450">
                  <c:v>6.3019360376833129</c:v>
                </c:pt>
                <c:pt idx="451">
                  <c:v>6.3017396150024947</c:v>
                </c:pt>
                <c:pt idx="452">
                  <c:v>6.3015329751034965</c:v>
                </c:pt>
                <c:pt idx="453">
                  <c:v>6.3013161178555297</c:v>
                </c:pt>
                <c:pt idx="454">
                  <c:v>6.3010890431186635</c:v>
                </c:pt>
                <c:pt idx="455">
                  <c:v>6.3008517507447692</c:v>
                </c:pt>
                <c:pt idx="456">
                  <c:v>6.3006042405759874</c:v>
                </c:pt>
                <c:pt idx="457">
                  <c:v>6.3003465124464126</c:v>
                </c:pt>
                <c:pt idx="458">
                  <c:v>6.3000785661807335</c:v>
                </c:pt>
                <c:pt idx="459">
                  <c:v>6.2998004015953413</c:v>
                </c:pt>
                <c:pt idx="460">
                  <c:v>6.2995120184971647</c:v>
                </c:pt>
                <c:pt idx="461">
                  <c:v>6.2992134166849238</c:v>
                </c:pt>
                <c:pt idx="462">
                  <c:v>6.2989045959480663</c:v>
                </c:pt>
                <c:pt idx="463">
                  <c:v>6.2985855560673487</c:v>
                </c:pt>
                <c:pt idx="464">
                  <c:v>6.2982562968145919</c:v>
                </c:pt>
                <c:pt idx="465">
                  <c:v>6.2979168179530589</c:v>
                </c:pt>
                <c:pt idx="466">
                  <c:v>6.297567119236783</c:v>
                </c:pt>
                <c:pt idx="467">
                  <c:v>6.2972072004110977</c:v>
                </c:pt>
                <c:pt idx="468">
                  <c:v>6.2968370612127362</c:v>
                </c:pt>
                <c:pt idx="469">
                  <c:v>6.2964567013690074</c:v>
                </c:pt>
                <c:pt idx="470">
                  <c:v>6.2960661205990336</c:v>
                </c:pt>
                <c:pt idx="471">
                  <c:v>6.2956653186126115</c:v>
                </c:pt>
                <c:pt idx="472">
                  <c:v>6.2952542951107784</c:v>
                </c:pt>
                <c:pt idx="473">
                  <c:v>6.2948330497858143</c:v>
                </c:pt>
                <c:pt idx="474">
                  <c:v>6.2944015823210071</c:v>
                </c:pt>
                <c:pt idx="475">
                  <c:v>6.2939598923908573</c:v>
                </c:pt>
                <c:pt idx="476">
                  <c:v>6.2935079796610127</c:v>
                </c:pt>
                <c:pt idx="477">
                  <c:v>6.2930458437880112</c:v>
                </c:pt>
                <c:pt idx="478">
                  <c:v>6.2925734844199548</c:v>
                </c:pt>
                <c:pt idx="479">
                  <c:v>6.2920909011956567</c:v>
                </c:pt>
                <c:pt idx="480">
                  <c:v>6.2915980937452138</c:v>
                </c:pt>
                <c:pt idx="481">
                  <c:v>6.2910950616898598</c:v>
                </c:pt>
                <c:pt idx="482">
                  <c:v>6.2905818046418398</c:v>
                </c:pt>
                <c:pt idx="483">
                  <c:v>6.2900583222044641</c:v>
                </c:pt>
                <c:pt idx="484">
                  <c:v>6.2895246139723575</c:v>
                </c:pt>
                <c:pt idx="485">
                  <c:v>6.2889806795311465</c:v>
                </c:pt>
                <c:pt idx="486">
                  <c:v>6.2884265184574577</c:v>
                </c:pt>
                <c:pt idx="487">
                  <c:v>6.287862130319148</c:v>
                </c:pt>
                <c:pt idx="488">
                  <c:v>6.2872875146750351</c:v>
                </c:pt>
                <c:pt idx="489">
                  <c:v>6.2867026710750542</c:v>
                </c:pt>
                <c:pt idx="490">
                  <c:v>6.2861075990601849</c:v>
                </c:pt>
                <c:pt idx="491">
                  <c:v>6.2855022981628057</c:v>
                </c:pt>
                <c:pt idx="492">
                  <c:v>6.2848867679057463</c:v>
                </c:pt>
                <c:pt idx="493">
                  <c:v>6.2842610078033907</c:v>
                </c:pt>
                <c:pt idx="494">
                  <c:v>6.2836250173609782</c:v>
                </c:pt>
                <c:pt idx="495">
                  <c:v>6.2829787960749801</c:v>
                </c:pt>
                <c:pt idx="496">
                  <c:v>6.2823223434327264</c:v>
                </c:pt>
                <c:pt idx="497">
                  <c:v>6.2816556589126389</c:v>
                </c:pt>
                <c:pt idx="498">
                  <c:v>6.2809787419842884</c:v>
                </c:pt>
                <c:pt idx="499">
                  <c:v>6.2802915921082088</c:v>
                </c:pt>
                <c:pt idx="500">
                  <c:v>6.2795942087359071</c:v>
                </c:pt>
                <c:pt idx="501">
                  <c:v>6.2788865913100773</c:v>
                </c:pt>
                <c:pt idx="502">
                  <c:v>6.2781687392642151</c:v>
                </c:pt>
                <c:pt idx="503">
                  <c:v>6.2774406520230901</c:v>
                </c:pt>
                <c:pt idx="504">
                  <c:v>6.2767023290022372</c:v>
                </c:pt>
                <c:pt idx="505">
                  <c:v>6.2759537696083276</c:v>
                </c:pt>
                <c:pt idx="506">
                  <c:v>6.2751949732390626</c:v>
                </c:pt>
                <c:pt idx="507">
                  <c:v>6.2744259392831374</c:v>
                </c:pt>
                <c:pt idx="508">
                  <c:v>6.2736466671200715</c:v>
                </c:pt>
                <c:pt idx="509">
                  <c:v>6.2728571561204793</c:v>
                </c:pt>
                <c:pt idx="510">
                  <c:v>6.2720574056460476</c:v>
                </c:pt>
                <c:pt idx="511">
                  <c:v>6.2712474150493298</c:v>
                </c:pt>
                <c:pt idx="512">
                  <c:v>6.2704271836739469</c:v>
                </c:pt>
                <c:pt idx="513">
                  <c:v>6.2695967108543043</c:v>
                </c:pt>
                <c:pt idx="514">
                  <c:v>6.2687559959157708</c:v>
                </c:pt>
                <c:pt idx="515">
                  <c:v>6.2679050381750416</c:v>
                </c:pt>
                <c:pt idx="516">
                  <c:v>6.2670438369392585</c:v>
                </c:pt>
                <c:pt idx="517">
                  <c:v>6.2661723915067187</c:v>
                </c:pt>
                <c:pt idx="518">
                  <c:v>6.2652907011665713</c:v>
                </c:pt>
                <c:pt idx="519">
                  <c:v>6.2643987651991591</c:v>
                </c:pt>
                <c:pt idx="520">
                  <c:v>6.2634965828754421</c:v>
                </c:pt>
                <c:pt idx="521">
                  <c:v>6.2625841534574516</c:v>
                </c:pt>
                <c:pt idx="522">
                  <c:v>6.2616614761977392</c:v>
                </c:pt>
                <c:pt idx="523">
                  <c:v>6.2607285503405148</c:v>
                </c:pt>
                <c:pt idx="524">
                  <c:v>6.2597853751201669</c:v>
                </c:pt>
                <c:pt idx="525">
                  <c:v>6.2588319497621168</c:v>
                </c:pt>
                <c:pt idx="526">
                  <c:v>6.2578682734829805</c:v>
                </c:pt>
                <c:pt idx="527">
                  <c:v>6.2568943454900747</c:v>
                </c:pt>
                <c:pt idx="528">
                  <c:v>6.2559101649812883</c:v>
                </c:pt>
                <c:pt idx="529">
                  <c:v>6.2549157311458217</c:v>
                </c:pt>
                <c:pt idx="530">
                  <c:v>6.253911043163451</c:v>
                </c:pt>
                <c:pt idx="531">
                  <c:v>6.2528961002047918</c:v>
                </c:pt>
                <c:pt idx="532">
                  <c:v>6.2518709014313156</c:v>
                </c:pt>
                <c:pt idx="533">
                  <c:v>6.2508354459954107</c:v>
                </c:pt>
                <c:pt idx="534">
                  <c:v>6.2497897330401289</c:v>
                </c:pt>
                <c:pt idx="535">
                  <c:v>6.2487337616995182</c:v>
                </c:pt>
                <c:pt idx="536">
                  <c:v>6.2476675310981005</c:v>
                </c:pt>
                <c:pt idx="537">
                  <c:v>6.2465910403515998</c:v>
                </c:pt>
                <c:pt idx="538">
                  <c:v>6.2455042885662388</c:v>
                </c:pt>
                <c:pt idx="539">
                  <c:v>6.2444072748390278</c:v>
                </c:pt>
                <c:pt idx="540">
                  <c:v>6.2432999982578412</c:v>
                </c:pt>
                <c:pt idx="541">
                  <c:v>6.2421824579014302</c:v>
                </c:pt>
                <c:pt idx="542">
                  <c:v>6.2410546528388773</c:v>
                </c:pt>
                <c:pt idx="543">
                  <c:v>6.2399165821303226</c:v>
                </c:pt>
                <c:pt idx="544">
                  <c:v>6.2387682448266775</c:v>
                </c:pt>
                <c:pt idx="545">
                  <c:v>6.2376096399693344</c:v>
                </c:pt>
                <c:pt idx="546">
                  <c:v>6.2364407665905928</c:v>
                </c:pt>
                <c:pt idx="547">
                  <c:v>6.2352616237134013</c:v>
                </c:pt>
                <c:pt idx="548">
                  <c:v>6.2340722103512434</c:v>
                </c:pt>
                <c:pt idx="549">
                  <c:v>6.2328725255085962</c:v>
                </c:pt>
                <c:pt idx="550">
                  <c:v>6.2316625681803419</c:v>
                </c:pt>
                <c:pt idx="551">
                  <c:v>6.2304423373522555</c:v>
                </c:pt>
                <c:pt idx="552">
                  <c:v>6.229211832000396</c:v>
                </c:pt>
                <c:pt idx="553">
                  <c:v>6.2279710510919051</c:v>
                </c:pt>
                <c:pt idx="554">
                  <c:v>6.2267199935842559</c:v>
                </c:pt>
                <c:pt idx="555">
                  <c:v>6.2254586584256915</c:v>
                </c:pt>
                <c:pt idx="556">
                  <c:v>6.2241870445551033</c:v>
                </c:pt>
                <c:pt idx="557">
                  <c:v>6.2229051509017586</c:v>
                </c:pt>
                <c:pt idx="558">
                  <c:v>6.2216129763857486</c:v>
                </c:pt>
                <c:pt idx="559">
                  <c:v>6.2203105199177395</c:v>
                </c:pt>
                <c:pt idx="560">
                  <c:v>6.2189977803988095</c:v>
                </c:pt>
                <c:pt idx="561">
                  <c:v>6.2176747567207453</c:v>
                </c:pt>
                <c:pt idx="562">
                  <c:v>6.2163414477657959</c:v>
                </c:pt>
                <c:pt idx="563">
                  <c:v>6.2149978524067677</c:v>
                </c:pt>
                <c:pt idx="564">
                  <c:v>6.2136439695070456</c:v>
                </c:pt>
                <c:pt idx="565">
                  <c:v>6.2122797979204787</c:v>
                </c:pt>
                <c:pt idx="566">
                  <c:v>6.2109053364915452</c:v>
                </c:pt>
                <c:pt idx="567">
                  <c:v>6.2095205840550909</c:v>
                </c:pt>
                <c:pt idx="568">
                  <c:v>6.2081255394364305</c:v>
                </c:pt>
                <c:pt idx="569">
                  <c:v>6.206720201451482</c:v>
                </c:pt>
                <c:pt idx="570">
                  <c:v>6.2053045689065547</c:v>
                </c:pt>
                <c:pt idx="571">
                  <c:v>6.2038786405983863</c:v>
                </c:pt>
                <c:pt idx="572">
                  <c:v>6.2024424153141622</c:v>
                </c:pt>
                <c:pt idx="573">
                  <c:v>6.20099589183158</c:v>
                </c:pt>
                <c:pt idx="574">
                  <c:v>6.1995390689185914</c:v>
                </c:pt>
                <c:pt idx="575">
                  <c:v>6.1980719453337914</c:v>
                </c:pt>
                <c:pt idx="576">
                  <c:v>6.1965945198258883</c:v>
                </c:pt>
                <c:pt idx="577">
                  <c:v>6.1951067911341946</c:v>
                </c:pt>
                <c:pt idx="578">
                  <c:v>6.1936087579882768</c:v>
                </c:pt>
                <c:pt idx="579">
                  <c:v>6.192100419108125</c:v>
                </c:pt>
                <c:pt idx="580">
                  <c:v>6.1905817732039967</c:v>
                </c:pt>
                <c:pt idx="581">
                  <c:v>6.1890528189765375</c:v>
                </c:pt>
                <c:pt idx="582">
                  <c:v>6.1875135551167233</c:v>
                </c:pt>
                <c:pt idx="583">
                  <c:v>6.1859639803058188</c:v>
                </c:pt>
                <c:pt idx="584">
                  <c:v>6.1844040932153215</c:v>
                </c:pt>
                <c:pt idx="585">
                  <c:v>6.1828338925070305</c:v>
                </c:pt>
                <c:pt idx="586">
                  <c:v>6.1812533768331255</c:v>
                </c:pt>
                <c:pt idx="587">
                  <c:v>6.1796625448358817</c:v>
                </c:pt>
                <c:pt idx="588">
                  <c:v>6.1780613951479744</c:v>
                </c:pt>
                <c:pt idx="589">
                  <c:v>6.1764499263921495</c:v>
                </c:pt>
                <c:pt idx="590">
                  <c:v>6.1748281371814411</c:v>
                </c:pt>
                <c:pt idx="591">
                  <c:v>6.1731960261191112</c:v>
                </c:pt>
                <c:pt idx="592">
                  <c:v>6.1715535917984559</c:v>
                </c:pt>
                <c:pt idx="593">
                  <c:v>6.1699008328032221</c:v>
                </c:pt>
                <c:pt idx="594">
                  <c:v>6.1682377477070469</c:v>
                </c:pt>
                <c:pt idx="595">
                  <c:v>6.1665643350739314</c:v>
                </c:pt>
                <c:pt idx="596">
                  <c:v>6.1648805934578119</c:v>
                </c:pt>
                <c:pt idx="597">
                  <c:v>6.163186521402821</c:v>
                </c:pt>
                <c:pt idx="598">
                  <c:v>6.1614821174431933</c:v>
                </c:pt>
                <c:pt idx="599">
                  <c:v>6.1597673801033386</c:v>
                </c:pt>
                <c:pt idx="600">
                  <c:v>6.1580423078975368</c:v>
                </c:pt>
                <c:pt idx="601">
                  <c:v>6.1563068993302963</c:v>
                </c:pt>
                <c:pt idx="602">
                  <c:v>6.154561152896127</c:v>
                </c:pt>
                <c:pt idx="603">
                  <c:v>6.1528050670794698</c:v>
                </c:pt>
                <c:pt idx="604">
                  <c:v>6.1510386403549866</c:v>
                </c:pt>
                <c:pt idx="605">
                  <c:v>6.1492618711870817</c:v>
                </c:pt>
                <c:pt idx="606">
                  <c:v>6.1474747580303859</c:v>
                </c:pt>
                <c:pt idx="607">
                  <c:v>6.1456772993292326</c:v>
                </c:pt>
                <c:pt idx="608">
                  <c:v>6.1438694935182401</c:v>
                </c:pt>
                <c:pt idx="609">
                  <c:v>6.1420513390216263</c:v>
                </c:pt>
                <c:pt idx="610">
                  <c:v>6.1402228342537208</c:v>
                </c:pt>
                <c:pt idx="611">
                  <c:v>6.1383839776186866</c:v>
                </c:pt>
                <c:pt idx="612">
                  <c:v>6.136534767510625</c:v>
                </c:pt>
                <c:pt idx="613">
                  <c:v>6.1346752023134998</c:v>
                </c:pt>
                <c:pt idx="614">
                  <c:v>6.1328052804010831</c:v>
                </c:pt>
                <c:pt idx="615">
                  <c:v>6.1309250001370943</c:v>
                </c:pt>
                <c:pt idx="616">
                  <c:v>6.1290343598748764</c:v>
                </c:pt>
                <c:pt idx="617">
                  <c:v>6.1271333579576917</c:v>
                </c:pt>
                <c:pt idx="618">
                  <c:v>6.125221992718668</c:v>
                </c:pt>
                <c:pt idx="619">
                  <c:v>6.1233002624806243</c:v>
                </c:pt>
                <c:pt idx="620">
                  <c:v>6.1213681655561363</c:v>
                </c:pt>
                <c:pt idx="621">
                  <c:v>6.1194257002475032</c:v>
                </c:pt>
                <c:pt idx="622">
                  <c:v>6.1174728648468086</c:v>
                </c:pt>
                <c:pt idx="623">
                  <c:v>6.1155096576357204</c:v>
                </c:pt>
                <c:pt idx="624">
                  <c:v>6.1135360768857261</c:v>
                </c:pt>
                <c:pt idx="625">
                  <c:v>6.1115521208579935</c:v>
                </c:pt>
                <c:pt idx="626">
                  <c:v>6.1095577878030873</c:v>
                </c:pt>
                <c:pt idx="627">
                  <c:v>6.107553075961512</c:v>
                </c:pt>
                <c:pt idx="628">
                  <c:v>6.1055379835632451</c:v>
                </c:pt>
                <c:pt idx="629">
                  <c:v>6.1035125088278708</c:v>
                </c:pt>
                <c:pt idx="630">
                  <c:v>6.1014766499645834</c:v>
                </c:pt>
                <c:pt idx="631">
                  <c:v>6.0994304051719759</c:v>
                </c:pt>
                <c:pt idx="632">
                  <c:v>6.097373772638444</c:v>
                </c:pt>
                <c:pt idx="633">
                  <c:v>6.0953067505417726</c:v>
                </c:pt>
                <c:pt idx="634">
                  <c:v>6.0932293370492392</c:v>
                </c:pt>
                <c:pt idx="635">
                  <c:v>6.0911415303176097</c:v>
                </c:pt>
                <c:pt idx="636">
                  <c:v>6.089043328493112</c:v>
                </c:pt>
                <c:pt idx="637">
                  <c:v>6.0869347297114249</c:v>
                </c:pt>
                <c:pt idx="638">
                  <c:v>6.0848157320976988</c:v>
                </c:pt>
                <c:pt idx="639">
                  <c:v>6.0826863337664197</c:v>
                </c:pt>
                <c:pt idx="640">
                  <c:v>6.0805465328215851</c:v>
                </c:pt>
                <c:pt idx="641">
                  <c:v>6.0783963273563941</c:v>
                </c:pt>
                <c:pt idx="642">
                  <c:v>6.0762357154534845</c:v>
                </c:pt>
                <c:pt idx="643">
                  <c:v>6.0740646951848287</c:v>
                </c:pt>
                <c:pt idx="644">
                  <c:v>6.0718832646116967</c:v>
                </c:pt>
                <c:pt idx="645">
                  <c:v>6.0696914217846984</c:v>
                </c:pt>
                <c:pt idx="646">
                  <c:v>6.0674891647435141</c:v>
                </c:pt>
                <c:pt idx="647">
                  <c:v>6.0652764915173094</c:v>
                </c:pt>
                <c:pt idx="648">
                  <c:v>6.0630534001243799</c:v>
                </c:pt>
                <c:pt idx="649">
                  <c:v>6.0608198885721869</c:v>
                </c:pt>
                <c:pt idx="650">
                  <c:v>6.0585759548573899</c:v>
                </c:pt>
                <c:pt idx="651">
                  <c:v>6.056321596965935</c:v>
                </c:pt>
                <c:pt idx="652">
                  <c:v>6.0540568128727834</c:v>
                </c:pt>
                <c:pt idx="653">
                  <c:v>6.0517816005420739</c:v>
                </c:pt>
                <c:pt idx="654">
                  <c:v>6.049495957926986</c:v>
                </c:pt>
                <c:pt idx="655">
                  <c:v>6.047199882969811</c:v>
                </c:pt>
                <c:pt idx="656">
                  <c:v>6.044893373601826</c:v>
                </c:pt>
                <c:pt idx="657">
                  <c:v>6.0425764277435601</c:v>
                </c:pt>
                <c:pt idx="658">
                  <c:v>6.0402490433043203</c:v>
                </c:pt>
                <c:pt idx="659">
                  <c:v>6.037911218182451</c:v>
                </c:pt>
                <c:pt idx="660">
                  <c:v>6.0355629502653887</c:v>
                </c:pt>
                <c:pt idx="661">
                  <c:v>6.033204237429393</c:v>
                </c:pt>
                <c:pt idx="662">
                  <c:v>6.0308350775397308</c:v>
                </c:pt>
                <c:pt idx="663">
                  <c:v>6.0284554684504483</c:v>
                </c:pt>
                <c:pt idx="664">
                  <c:v>6.0260654080045661</c:v>
                </c:pt>
                <c:pt idx="665">
                  <c:v>6.0236648940340114</c:v>
                </c:pt>
                <c:pt idx="666">
                  <c:v>6.0212539243594261</c:v>
                </c:pt>
                <c:pt idx="667">
                  <c:v>6.0188324967901989</c:v>
                </c:pt>
                <c:pt idx="668">
                  <c:v>6.0164006091247533</c:v>
                </c:pt>
                <c:pt idx="669">
                  <c:v>6.0139582591500105</c:v>
                </c:pt>
                <c:pt idx="670">
                  <c:v>6.0115054446417364</c:v>
                </c:pt>
                <c:pt idx="671">
                  <c:v>6.0090421633645104</c:v>
                </c:pt>
                <c:pt idx="672">
                  <c:v>6.006568413071431</c:v>
                </c:pt>
                <c:pt idx="673">
                  <c:v>6.0040841915042691</c:v>
                </c:pt>
                <c:pt idx="674">
                  <c:v>6.0015894963935832</c:v>
                </c:pt>
                <c:pt idx="675">
                  <c:v>5.9990843254583988</c:v>
                </c:pt>
                <c:pt idx="676">
                  <c:v>5.9965686764064126</c:v>
                </c:pt>
                <c:pt idx="677">
                  <c:v>5.9940425469337599</c:v>
                </c:pt>
                <c:pt idx="678">
                  <c:v>5.9915059347254278</c:v>
                </c:pt>
                <c:pt idx="679">
                  <c:v>5.988958837454522</c:v>
                </c:pt>
                <c:pt idx="680">
                  <c:v>5.9864012527828763</c:v>
                </c:pt>
                <c:pt idx="681">
                  <c:v>5.983833178360765</c:v>
                </c:pt>
                <c:pt idx="682">
                  <c:v>5.9812546118267909</c:v>
                </c:pt>
                <c:pt idx="683">
                  <c:v>5.9786655508080049</c:v>
                </c:pt>
                <c:pt idx="684">
                  <c:v>5.9760659929200273</c:v>
                </c:pt>
                <c:pt idx="685">
                  <c:v>5.973455935766478</c:v>
                </c:pt>
                <c:pt idx="686">
                  <c:v>5.9708353769396743</c:v>
                </c:pt>
                <c:pt idx="687">
                  <c:v>5.9682043140200172</c:v>
                </c:pt>
                <c:pt idx="688">
                  <c:v>5.9655627445763031</c:v>
                </c:pt>
                <c:pt idx="689">
                  <c:v>5.9629106661654392</c:v>
                </c:pt>
                <c:pt idx="690">
                  <c:v>5.9602480763327268</c:v>
                </c:pt>
                <c:pt idx="691">
                  <c:v>5.9575749726115399</c:v>
                </c:pt>
                <c:pt idx="692">
                  <c:v>5.9548913525234397</c:v>
                </c:pt>
                <c:pt idx="693">
                  <c:v>5.952197213578164</c:v>
                </c:pt>
                <c:pt idx="694">
                  <c:v>5.949492553273612</c:v>
                </c:pt>
                <c:pt idx="695">
                  <c:v>5.9467773690956136</c:v>
                </c:pt>
                <c:pt idx="696">
                  <c:v>5.9440516585181777</c:v>
                </c:pt>
                <c:pt idx="697">
                  <c:v>5.9413154190033124</c:v>
                </c:pt>
                <c:pt idx="698">
                  <c:v>5.9385686480011026</c:v>
                </c:pt>
                <c:pt idx="699">
                  <c:v>5.9358113429493864</c:v>
                </c:pt>
                <c:pt idx="700">
                  <c:v>5.9330435012742493</c:v>
                </c:pt>
                <c:pt idx="701">
                  <c:v>5.930265120389393</c:v>
                </c:pt>
                <c:pt idx="702">
                  <c:v>5.9274761976966053</c:v>
                </c:pt>
                <c:pt idx="703">
                  <c:v>5.9246767305854577</c:v>
                </c:pt>
                <c:pt idx="704">
                  <c:v>5.9218667164333691</c:v>
                </c:pt>
                <c:pt idx="705">
                  <c:v>5.9190461526055103</c:v>
                </c:pt>
                <c:pt idx="706">
                  <c:v>5.916215036454866</c:v>
                </c:pt>
                <c:pt idx="707">
                  <c:v>5.9133733653221512</c:v>
                </c:pt>
                <c:pt idx="708">
                  <c:v>5.9105211365357286</c:v>
                </c:pt>
                <c:pt idx="709">
                  <c:v>5.9076583474117124</c:v>
                </c:pt>
                <c:pt idx="710">
                  <c:v>5.9047849952538227</c:v>
                </c:pt>
                <c:pt idx="711">
                  <c:v>5.9019010773533305</c:v>
                </c:pt>
                <c:pt idx="712">
                  <c:v>5.8990065909892238</c:v>
                </c:pt>
                <c:pt idx="713">
                  <c:v>5.8961015334279638</c:v>
                </c:pt>
                <c:pt idx="714">
                  <c:v>5.8931859019234674</c:v>
                </c:pt>
                <c:pt idx="715">
                  <c:v>5.8902596937173026</c:v>
                </c:pt>
                <c:pt idx="716">
                  <c:v>5.8873229060383494</c:v>
                </c:pt>
                <c:pt idx="717">
                  <c:v>5.8843755361029606</c:v>
                </c:pt>
                <c:pt idx="718">
                  <c:v>5.8814175811148708</c:v>
                </c:pt>
                <c:pt idx="719">
                  <c:v>5.8784490382651571</c:v>
                </c:pt>
                <c:pt idx="720">
                  <c:v>5.8754699047322418</c:v>
                </c:pt>
                <c:pt idx="721">
                  <c:v>5.8724801776818554</c:v>
                </c:pt>
                <c:pt idx="722">
                  <c:v>5.8694798542669107</c:v>
                </c:pt>
                <c:pt idx="723">
                  <c:v>5.8664689316276748</c:v>
                </c:pt>
                <c:pt idx="724">
                  <c:v>5.8634474068915816</c:v>
                </c:pt>
                <c:pt idx="725">
                  <c:v>5.8604152771730362</c:v>
                </c:pt>
                <c:pt idx="726">
                  <c:v>5.8573725395737899</c:v>
                </c:pt>
                <c:pt idx="727">
                  <c:v>5.8543191911825829</c:v>
                </c:pt>
                <c:pt idx="728">
                  <c:v>5.85125522907523</c:v>
                </c:pt>
                <c:pt idx="729">
                  <c:v>5.8481806503145624</c:v>
                </c:pt>
                <c:pt idx="730">
                  <c:v>5.8450954519503586</c:v>
                </c:pt>
                <c:pt idx="731">
                  <c:v>5.8419996310194975</c:v>
                </c:pt>
                <c:pt idx="732">
                  <c:v>5.8388931845455252</c:v>
                </c:pt>
                <c:pt idx="733">
                  <c:v>5.8357761095391236</c:v>
                </c:pt>
                <c:pt idx="734">
                  <c:v>5.8326484029976484</c:v>
                </c:pt>
                <c:pt idx="735">
                  <c:v>5.8295100619052995</c:v>
                </c:pt>
                <c:pt idx="736">
                  <c:v>5.8263610832330501</c:v>
                </c:pt>
                <c:pt idx="737">
                  <c:v>5.8171396644898943</c:v>
                </c:pt>
                <c:pt idx="738">
                  <c:v>5.8078636275134823</c:v>
                </c:pt>
                <c:pt idx="739">
                  <c:v>5.7985339522605317</c:v>
                </c:pt>
                <c:pt idx="740">
                  <c:v>5.7891515915461005</c:v>
                </c:pt>
                <c:pt idx="741">
                  <c:v>5.7797174719304278</c:v>
                </c:pt>
                <c:pt idx="742">
                  <c:v>5.7702324945766268</c:v>
                </c:pt>
                <c:pt idx="743">
                  <c:v>5.7606975360793022</c:v>
                </c:pt>
                <c:pt idx="744">
                  <c:v>5.7511134492662572</c:v>
                </c:pt>
                <c:pt idx="745">
                  <c:v>5.7414810639735609</c:v>
                </c:pt>
                <c:pt idx="746">
                  <c:v>5.731801187794427</c:v>
                </c:pt>
                <c:pt idx="747">
                  <c:v>5.7220746068044281</c:v>
                </c:pt>
                <c:pt idx="748">
                  <c:v>5.7123020862617828</c:v>
                </c:pt>
                <c:pt idx="749">
                  <c:v>5.7024843712852888</c:v>
                </c:pt>
                <c:pt idx="750">
                  <c:v>5.6926221875096861</c:v>
                </c:pt>
                <c:pt idx="751">
                  <c:v>5.6827162417197226</c:v>
                </c:pt>
                <c:pt idx="752">
                  <c:v>5.672767222463289</c:v>
                </c:pt>
                <c:pt idx="753">
                  <c:v>5.6627758006445719</c:v>
                </c:pt>
                <c:pt idx="754">
                  <c:v>5.6527426300979515</c:v>
                </c:pt>
                <c:pt idx="755">
                  <c:v>5.6426683481432098</c:v>
                </c:pt>
                <c:pt idx="756">
                  <c:v>5.6325535761221985</c:v>
                </c:pt>
                <c:pt idx="757">
                  <c:v>5.6223989199188802</c:v>
                </c:pt>
                <c:pt idx="758">
                  <c:v>5.6122049704617423</c:v>
                </c:pt>
                <c:pt idx="759">
                  <c:v>5.6019723042104577</c:v>
                </c:pt>
                <c:pt idx="760">
                  <c:v>5.5917014836264629</c:v>
                </c:pt>
                <c:pt idx="761">
                  <c:v>5.5813930576282553</c:v>
                </c:pt>
                <c:pt idx="762">
                  <c:v>5.5710475620326312</c:v>
                </c:pt>
                <c:pt idx="763">
                  <c:v>5.5606655199806561</c:v>
                </c:pt>
                <c:pt idx="764">
                  <c:v>5.5502474423509467</c:v>
                </c:pt>
                <c:pt idx="765">
                  <c:v>5.5397938281588104</c:v>
                </c:pt>
                <c:pt idx="766">
                  <c:v>5.5293051649432075</c:v>
                </c:pt>
                <c:pt idx="767">
                  <c:v>5.5187819291409204</c:v>
                </c:pt>
                <c:pt idx="768">
                  <c:v>5.5082245864487032</c:v>
                </c:pt>
                <c:pt idx="769">
                  <c:v>5.4976335921743082</c:v>
                </c:pt>
                <c:pt idx="770">
                  <c:v>5.4870093915753255</c:v>
                </c:pt>
                <c:pt idx="771">
                  <c:v>5.4763524201884524</c:v>
                </c:pt>
                <c:pt idx="772">
                  <c:v>5.4656631041469881</c:v>
                </c:pt>
                <c:pt idx="773">
                  <c:v>5.4549418604892814</c:v>
                </c:pt>
                <c:pt idx="774">
                  <c:v>5.4441890974563583</c:v>
                </c:pt>
                <c:pt idx="775">
                  <c:v>5.4334052147810752</c:v>
                </c:pt>
                <c:pt idx="776">
                  <c:v>5.4225906039672314</c:v>
                </c:pt>
                <c:pt idx="777">
                  <c:v>5.4117456485601521</c:v>
                </c:pt>
                <c:pt idx="778">
                  <c:v>5.4008707244088798</c:v>
                </c:pt>
                <c:pt idx="779">
                  <c:v>5.3899661999196464</c:v>
                </c:pt>
                <c:pt idx="780">
                  <c:v>5.3790324363016842</c:v>
                </c:pt>
                <c:pt idx="781">
                  <c:v>5.3680697878048198</c:v>
                </c:pt>
                <c:pt idx="782">
                  <c:v>5.357078601949997</c:v>
                </c:pt>
                <c:pt idx="783">
                  <c:v>5.3460592197522558</c:v>
                </c:pt>
                <c:pt idx="784">
                  <c:v>5.3350119759366414</c:v>
                </c:pt>
                <c:pt idx="785">
                  <c:v>5.323937199147573</c:v>
                </c:pt>
                <c:pt idx="786">
                  <c:v>5.3128352121510654</c:v>
                </c:pt>
                <c:pt idx="787">
                  <c:v>5.3017063320313103</c:v>
                </c:pt>
                <c:pt idx="788">
                  <c:v>5.2905508703803319</c:v>
                </c:pt>
                <c:pt idx="789">
                  <c:v>5.2793691334822528</c:v>
                </c:pt>
                <c:pt idx="790">
                  <c:v>5.2681614224912581</c:v>
                </c:pt>
                <c:pt idx="791">
                  <c:v>5.2569280336043693</c:v>
                </c:pt>
                <c:pt idx="792">
                  <c:v>5.2456692582287525</c:v>
                </c:pt>
                <c:pt idx="793">
                  <c:v>5.2343853831433078</c:v>
                </c:pt>
                <c:pt idx="794">
                  <c:v>5.2230766906559358</c:v>
                </c:pt>
                <c:pt idx="795">
                  <c:v>5.2117434587549809</c:v>
                </c:pt>
                <c:pt idx="796">
                  <c:v>5.2003859612568819</c:v>
                </c:pt>
                <c:pt idx="797">
                  <c:v>5.1890044679484104</c:v>
                </c:pt>
                <c:pt idx="798">
                  <c:v>5.1775992447248491</c:v>
                </c:pt>
                <c:pt idx="799">
                  <c:v>5.1661705537237479</c:v>
                </c:pt>
                <c:pt idx="800">
                  <c:v>5.154718653454454</c:v>
                </c:pt>
                <c:pt idx="801">
                  <c:v>5.1432437989236126</c:v>
                </c:pt>
                <c:pt idx="802">
                  <c:v>5.1317462417568978</c:v>
                </c:pt>
                <c:pt idx="803">
                  <c:v>5.1202262303165345</c:v>
                </c:pt>
                <c:pt idx="804">
                  <c:v>5.1086840098156063</c:v>
                </c:pt>
                <c:pt idx="805">
                  <c:v>5.097119822428561</c:v>
                </c:pt>
                <c:pt idx="806">
                  <c:v>5.0855339073981938</c:v>
                </c:pt>
                <c:pt idx="807">
                  <c:v>5.0739265011393959</c:v>
                </c:pt>
                <c:pt idx="808">
                  <c:v>5.0622978373398153</c:v>
                </c:pt>
                <c:pt idx="809">
                  <c:v>5.0506481470568625</c:v>
                </c:pt>
                <c:pt idx="810">
                  <c:v>5.038977658812394</c:v>
                </c:pt>
                <c:pt idx="811">
                  <c:v>5.0272865986838475</c:v>
                </c:pt>
                <c:pt idx="812">
                  <c:v>5.0155751903927435</c:v>
                </c:pt>
                <c:pt idx="813">
                  <c:v>5.0038436553907486</c:v>
                </c:pt>
                <c:pt idx="814">
                  <c:v>4.9920922129421825</c:v>
                </c:pt>
                <c:pt idx="815">
                  <c:v>4.9803210802050879</c:v>
                </c:pt>
                <c:pt idx="816">
                  <c:v>4.9685304723087551</c:v>
                </c:pt>
                <c:pt idx="817">
                  <c:v>4.9567206024294412</c:v>
                </c:pt>
                <c:pt idx="818">
                  <c:v>4.9448916818635862</c:v>
                </c:pt>
                <c:pt idx="819">
                  <c:v>4.9330439200985632</c:v>
                </c:pt>
                <c:pt idx="820">
                  <c:v>4.9211775248814256</c:v>
                </c:pt>
                <c:pt idx="821">
                  <c:v>4.9092927022854136</c:v>
                </c:pt>
                <c:pt idx="822">
                  <c:v>4.8973896567743642</c:v>
                </c:pt>
                <c:pt idx="823">
                  <c:v>4.8854685912651661</c:v>
                </c:pt>
                <c:pt idx="824">
                  <c:v>4.8735297071883066</c:v>
                </c:pt>
                <c:pt idx="825">
                  <c:v>4.8615732045462634</c:v>
                </c:pt>
                <c:pt idx="826">
                  <c:v>4.8495992819704634</c:v>
                </c:pt>
                <c:pt idx="827">
                  <c:v>4.8376081367760966</c:v>
                </c:pt>
                <c:pt idx="828">
                  <c:v>4.8255999650153978</c:v>
                </c:pt>
                <c:pt idx="829">
                  <c:v>4.8135749615291736</c:v>
                </c:pt>
                <c:pt idx="830">
                  <c:v>4.8015333199969259</c:v>
                </c:pt>
                <c:pt idx="831">
                  <c:v>4.7894752329850636</c:v>
                </c:pt>
                <c:pt idx="832">
                  <c:v>4.7774008919938247</c:v>
                </c:pt>
                <c:pt idx="833">
                  <c:v>4.7653104875024948</c:v>
                </c:pt>
                <c:pt idx="834">
                  <c:v>4.7532042090137478</c:v>
                </c:pt>
                <c:pt idx="835">
                  <c:v>4.4364273635873763</c:v>
                </c:pt>
                <c:pt idx="836">
                  <c:v>4.1403228190114616</c:v>
                </c:pt>
                <c:pt idx="837">
                  <c:v>3.8635415372214421</c:v>
                </c:pt>
                <c:pt idx="838">
                  <c:v>3.6048225160086966</c:v>
                </c:pt>
                <c:pt idx="839">
                  <c:v>3.3629870439551297</c:v>
                </c:pt>
                <c:pt idx="840">
                  <c:v>3.1369333302806335</c:v>
                </c:pt>
                <c:pt idx="841">
                  <c:v>2.9256314851372873</c:v>
                </c:pt>
                <c:pt idx="842">
                  <c:v>2.7281188274807362</c:v>
                </c:pt>
                <c:pt idx="843">
                  <c:v>2.5434954991416534</c:v>
                </c:pt>
                <c:pt idx="844">
                  <c:v>2.3709203651151984</c:v>
                </c:pt>
                <c:pt idx="845">
                  <c:v>2.2096071813903855</c:v>
                </c:pt>
                <c:pt idx="846">
                  <c:v>2.0588210128601827</c:v>
                </c:pt>
                <c:pt idx="847">
                  <c:v>1.917874884992512</c:v>
                </c:pt>
                <c:pt idx="848">
                  <c:v>1.7861266540073157</c:v>
                </c:pt>
                <c:pt idx="849">
                  <c:v>1.66297608130038</c:v>
                </c:pt>
                <c:pt idx="850">
                  <c:v>1.5478620987851208</c:v>
                </c:pt>
                <c:pt idx="851">
                  <c:v>1.4402602526933639</c:v>
                </c:pt>
                <c:pt idx="852">
                  <c:v>1.3396803141892</c:v>
                </c:pt>
                <c:pt idx="853">
                  <c:v>1.2456640459099855</c:v>
                </c:pt>
                <c:pt idx="854">
                  <c:v>1.1577831142589561</c:v>
                </c:pt>
                <c:pt idx="855">
                  <c:v>1.075637137937957</c:v>
                </c:pt>
                <c:pt idx="856">
                  <c:v>0.99885186382950963</c:v>
                </c:pt>
                <c:pt idx="857">
                  <c:v>0.92707746191760232</c:v>
                </c:pt>
                <c:pt idx="858">
                  <c:v>0.85998693147896255</c:v>
                </c:pt>
                <c:pt idx="859">
                  <c:v>0.79727461128349142</c:v>
                </c:pt>
                <c:pt idx="860">
                  <c:v>0.73865478701639542</c:v>
                </c:pt>
                <c:pt idx="861">
                  <c:v>0.68386038957751083</c:v>
                </c:pt>
                <c:pt idx="862">
                  <c:v>0.63264177832732815</c:v>
                </c:pt>
                <c:pt idx="863">
                  <c:v>0.58476560373624265</c:v>
                </c:pt>
                <c:pt idx="864">
                  <c:v>0.54001374425532167</c:v>
                </c:pt>
                <c:pt idx="865">
                  <c:v>0.49818231256501722</c:v>
                </c:pt>
                <c:pt idx="866">
                  <c:v>0.45908072667434285</c:v>
                </c:pt>
                <c:pt idx="867">
                  <c:v>0.42253084163848953</c:v>
                </c:pt>
                <c:pt idx="868">
                  <c:v>0.38836613793902386</c:v>
                </c:pt>
                <c:pt idx="869">
                  <c:v>0.35643096282897058</c:v>
                </c:pt>
                <c:pt idx="870">
                  <c:v>0.32657982118638418</c:v>
                </c:pt>
                <c:pt idx="871">
                  <c:v>0.2986767126455685</c:v>
                </c:pt>
                <c:pt idx="872">
                  <c:v>0.2725945119859533</c:v>
                </c:pt>
                <c:pt idx="873">
                  <c:v>0.24821438995570197</c:v>
                </c:pt>
                <c:pt idx="874">
                  <c:v>0.22542527189135567</c:v>
                </c:pt>
                <c:pt idx="875">
                  <c:v>0.20412333166700755</c:v>
                </c:pt>
                <c:pt idx="876">
                  <c:v>0.18421151866746813</c:v>
                </c:pt>
                <c:pt idx="877">
                  <c:v>0.16559911563032834</c:v>
                </c:pt>
                <c:pt idx="878">
                  <c:v>0.14820132534247496</c:v>
                </c:pt>
                <c:pt idx="879">
                  <c:v>0.13193888430806722</c:v>
                </c:pt>
                <c:pt idx="880">
                  <c:v>0.11673770162786026</c:v>
                </c:pt>
                <c:pt idx="881">
                  <c:v>0.10252852144463176</c:v>
                </c:pt>
                <c:pt idx="882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54-4747-BAAE-D545B6FB8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84431"/>
        <c:axId val="1"/>
      </c:scatterChart>
      <c:valAx>
        <c:axId val="461584431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(sec.)</a:t>
                </a:r>
              </a:p>
            </c:rich>
          </c:tx>
          <c:layout>
            <c:manualLayout>
              <c:xMode val="edge"/>
              <c:yMode val="edge"/>
              <c:x val="0.43245386737372116"/>
              <c:y val="0.9109636399328200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33339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Chamber pressure  (MPa)</a:t>
                </a:r>
              </a:p>
            </c:rich>
          </c:tx>
          <c:layout>
            <c:manualLayout>
              <c:xMode val="edge"/>
              <c:yMode val="edge"/>
              <c:x val="2.869395789811988E-2"/>
              <c:y val="0.263888949476883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158443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 orientation="landscape" horizontalDpi="0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993300"/>
                </a:solidFill>
                <a:latin typeface="Arial"/>
                <a:ea typeface="Arial"/>
                <a:cs typeface="Arial"/>
              </a:defRPr>
            </a:pPr>
            <a:r>
              <a:rPr lang="pt-PT"/>
              <a:t>Chamber Pressure vs time</a:t>
            </a:r>
          </a:p>
        </c:rich>
      </c:tx>
      <c:layout>
        <c:manualLayout>
          <c:xMode val="edge"/>
          <c:yMode val="edge"/>
          <c:x val="0.26433204001673699"/>
          <c:y val="0.1498923304476443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340074637386779"/>
          <c:y val="0.25120787760881219"/>
          <c:w val="0.69617801295964765"/>
          <c:h val="0.5531404770055916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Pressure!$Q$28:$Q$910</c:f>
              <c:numCache>
                <c:formatCode>0.0000</c:formatCode>
                <c:ptCount val="883"/>
                <c:pt idx="0" formatCode="General">
                  <c:v>0</c:v>
                </c:pt>
                <c:pt idx="1">
                  <c:v>1.3690952744175942E-2</c:v>
                </c:pt>
                <c:pt idx="2">
                  <c:v>1.7603502742996727E-2</c:v>
                </c:pt>
                <c:pt idx="3">
                  <c:v>2.1482688517604476E-2</c:v>
                </c:pt>
                <c:pt idx="4">
                  <c:v>2.5101691753813781E-2</c:v>
                </c:pt>
                <c:pt idx="5">
                  <c:v>2.8540497141026907E-2</c:v>
                </c:pt>
                <c:pt idx="6" formatCode="0.00000">
                  <c:v>3.1847400549835231E-2</c:v>
                </c:pt>
                <c:pt idx="7" formatCode="0.00000">
                  <c:v>3.505398044593093E-2</c:v>
                </c:pt>
                <c:pt idx="8">
                  <c:v>3.8182062527316811E-2</c:v>
                </c:pt>
                <c:pt idx="9">
                  <c:v>4.1247358195279173E-2</c:v>
                </c:pt>
                <c:pt idx="10">
                  <c:v>4.4261532609196852E-2</c:v>
                </c:pt>
                <c:pt idx="11">
                  <c:v>4.7233458299545526E-2</c:v>
                </c:pt>
                <c:pt idx="12">
                  <c:v>5.0170014749963202E-2</c:v>
                </c:pt>
                <c:pt idx="13">
                  <c:v>5.3076619871607132E-2</c:v>
                </c:pt>
                <c:pt idx="14">
                  <c:v>5.5957595527643941E-2</c:v>
                </c:pt>
                <c:pt idx="15">
                  <c:v>5.8816426223393073E-2</c:v>
                </c:pt>
                <c:pt idx="16">
                  <c:v>6.1655946687005456E-2</c:v>
                </c:pt>
                <c:pt idx="17">
                  <c:v>6.447848074263067E-2</c:v>
                </c:pt>
                <c:pt idx="18">
                  <c:v>6.7285945979161821E-2</c:v>
                </c:pt>
                <c:pt idx="19">
                  <c:v>7.0079933869475156E-2</c:v>
                </c:pt>
                <c:pt idx="20">
                  <c:v>7.2861771927823435E-2</c:v>
                </c:pt>
                <c:pt idx="21">
                  <c:v>7.5632572499824011E-2</c:v>
                </c:pt>
                <c:pt idx="22">
                  <c:v>7.8393271452929084E-2</c:v>
                </c:pt>
                <c:pt idx="23">
                  <c:v>8.1144659133212921E-2</c:v>
                </c:pt>
                <c:pt idx="24">
                  <c:v>8.388740532889101E-2</c:v>
                </c:pt>
                <c:pt idx="25">
                  <c:v>8.6622079539594929E-2</c:v>
                </c:pt>
                <c:pt idx="26">
                  <c:v>8.9349167533829196E-2</c:v>
                </c:pt>
                <c:pt idx="27">
                  <c:v>9.2069084946529559E-2</c:v>
                </c:pt>
                <c:pt idx="28">
                  <c:v>9.4782188498493264E-2</c:v>
                </c:pt>
                <c:pt idx="29">
                  <c:v>9.7488785292256686E-2</c:v>
                </c:pt>
                <c:pt idx="30">
                  <c:v>0.10018914054278401</c:v>
                </c:pt>
                <c:pt idx="31">
                  <c:v>0.10288348402777035</c:v>
                </c:pt>
                <c:pt idx="32">
                  <c:v>0.10557201548555165</c:v>
                </c:pt>
                <c:pt idx="33">
                  <c:v>0.10825490914433769</c:v>
                </c:pt>
                <c:pt idx="34">
                  <c:v>0.11093231753168455</c:v>
                </c:pt>
                <c:pt idx="35">
                  <c:v>0.11360437468556009</c:v>
                </c:pt>
                <c:pt idx="36">
                  <c:v>0.11627119886636905</c:v>
                </c:pt>
                <c:pt idx="37">
                  <c:v>0.11893289485165438</c:v>
                </c:pt>
                <c:pt idx="38">
                  <c:v>0.12158955588093497</c:v>
                </c:pt>
                <c:pt idx="39">
                  <c:v>0.12424126530657287</c:v>
                </c:pt>
                <c:pt idx="40">
                  <c:v>0.12688809799711875</c:v>
                </c:pt>
                <c:pt idx="41">
                  <c:v>0.12953012153185386</c:v>
                </c:pt>
                <c:pt idx="42">
                  <c:v>0.13216739721887991</c:v>
                </c:pt>
                <c:pt idx="43">
                  <c:v>0.13479998096386012</c:v>
                </c:pt>
                <c:pt idx="44">
                  <c:v>0.13742792401215989</c:v>
                </c:pt>
                <c:pt idx="45">
                  <c:v>0.14005127358352346</c:v>
                </c:pt>
                <c:pt idx="46">
                  <c:v>0.14267007341541077</c:v>
                </c:pt>
                <c:pt idx="47">
                  <c:v>0.14528436422860522</c:v>
                </c:pt>
                <c:pt idx="48">
                  <c:v>0.14789418412659722</c:v>
                </c:pt>
                <c:pt idx="49">
                  <c:v>0.15049956893848515</c:v>
                </c:pt>
                <c:pt idx="50">
                  <c:v>0.15310055251365182</c:v>
                </c:pt>
                <c:pt idx="51">
                  <c:v>0.15569716697522437</c:v>
                </c:pt>
                <c:pt idx="52">
                  <c:v>0.15828944293827713</c:v>
                </c:pt>
                <c:pt idx="53">
                  <c:v>0.16087740969784278</c:v>
                </c:pt>
                <c:pt idx="54">
                  <c:v>0.16346109539105047</c:v>
                </c:pt>
                <c:pt idx="55">
                  <c:v>0.16604052713707076</c:v>
                </c:pt>
                <c:pt idx="56">
                  <c:v>0.16861573115800763</c:v>
                </c:pt>
                <c:pt idx="57">
                  <c:v>0.17118673288342171</c:v>
                </c:pt>
                <c:pt idx="58">
                  <c:v>0.17375355704077683</c:v>
                </c:pt>
                <c:pt idx="59">
                  <c:v>0.176316227733776</c:v>
                </c:pt>
                <c:pt idx="60">
                  <c:v>0.17887476851026521</c:v>
                </c:pt>
                <c:pt idx="61">
                  <c:v>0.18142920242114741</c:v>
                </c:pt>
                <c:pt idx="62">
                  <c:v>0.18397955207154371</c:v>
                </c:pt>
                <c:pt idx="63">
                  <c:v>0.18652583966526221</c:v>
                </c:pt>
                <c:pt idx="64">
                  <c:v>0.18906808704348699</c:v>
                </c:pt>
                <c:pt idx="65">
                  <c:v>0.19160631571847109</c:v>
                </c:pt>
                <c:pt idx="66">
                  <c:v>0.19414054690290869</c:v>
                </c:pt>
                <c:pt idx="67">
                  <c:v>0.19667080153556757</c:v>
                </c:pt>
                <c:pt idx="68">
                  <c:v>0.19919710030368101</c:v>
                </c:pt>
                <c:pt idx="69">
                  <c:v>0.20171946366253329</c:v>
                </c:pt>
                <c:pt idx="70">
                  <c:v>0.20423791185260956</c:v>
                </c:pt>
                <c:pt idx="71">
                  <c:v>0.2067524649146322</c:v>
                </c:pt>
                <c:pt idx="72">
                  <c:v>0.20926314270276122</c:v>
                </c:pt>
                <c:pt idx="73">
                  <c:v>0.21176996489620026</c:v>
                </c:pt>
                <c:pt idx="74">
                  <c:v>0.2142729510094141</c:v>
                </c:pt>
                <c:pt idx="75">
                  <c:v>0.21677212040113999</c:v>
                </c:pt>
                <c:pt idx="76">
                  <c:v>0.21926749228234643</c:v>
                </c:pt>
                <c:pt idx="77">
                  <c:v>0.22175908572327607</c:v>
                </c:pt>
                <c:pt idx="78">
                  <c:v>0.22424691965968988</c:v>
                </c:pt>
                <c:pt idx="79">
                  <c:v>0.22673101289841333</c:v>
                </c:pt>
                <c:pt idx="80">
                  <c:v>0.22921138412227382</c:v>
                </c:pt>
                <c:pt idx="81">
                  <c:v>0.23168805189450636</c:v>
                </c:pt>
                <c:pt idx="82">
                  <c:v>0.23416103466269333</c:v>
                </c:pt>
                <c:pt idx="83">
                  <c:v>0.23663035076229727</c:v>
                </c:pt>
                <c:pt idx="84">
                  <c:v>0.23909601841983627</c:v>
                </c:pt>
                <c:pt idx="85">
                  <c:v>0.24155805575574746</c:v>
                </c:pt>
                <c:pt idx="86">
                  <c:v>0.24401648078697602</c:v>
                </c:pt>
                <c:pt idx="87">
                  <c:v>0.24647131142932335</c:v>
                </c:pt>
                <c:pt idx="88">
                  <c:v>0.24892256549958292</c:v>
                </c:pt>
                <c:pt idx="89">
                  <c:v>0.25137026071749147</c:v>
                </c:pt>
                <c:pt idx="90">
                  <c:v>0.25381441470751515</c:v>
                </c:pt>
                <c:pt idx="91">
                  <c:v>0.25625504500049234</c:v>
                </c:pt>
                <c:pt idx="92">
                  <c:v>0.25869216903514841</c:v>
                </c:pt>
                <c:pt idx="93">
                  <c:v>0.26112580415949871</c:v>
                </c:pt>
                <c:pt idx="94">
                  <c:v>0.26355596763215211</c:v>
                </c:pt>
                <c:pt idx="95">
                  <c:v>0.2659826766235267</c:v>
                </c:pt>
                <c:pt idx="96">
                  <c:v>0.26840594821698782</c:v>
                </c:pt>
                <c:pt idx="97">
                  <c:v>0.27082579940991708</c:v>
                </c:pt>
                <c:pt idx="98">
                  <c:v>0.27324224711472</c:v>
                </c:pt>
                <c:pt idx="99">
                  <c:v>0.27565530815977929</c:v>
                </c:pt>
                <c:pt idx="100">
                  <c:v>0.27806499929035977</c:v>
                </c:pt>
                <c:pt idx="101">
                  <c:v>0.28047133716946987</c:v>
                </c:pt>
                <c:pt idx="102">
                  <c:v>0.28287433837868459</c:v>
                </c:pt>
                <c:pt idx="103">
                  <c:v>0.28527401941893377</c:v>
                </c:pt>
                <c:pt idx="104">
                  <c:v>0.2876703967112591</c:v>
                </c:pt>
                <c:pt idx="105">
                  <c:v>0.2900634865975445</c:v>
                </c:pt>
                <c:pt idx="106">
                  <c:v>0.29245330534121977</c:v>
                </c:pt>
                <c:pt idx="107">
                  <c:v>0.29483986912794291</c:v>
                </c:pt>
                <c:pt idx="108">
                  <c:v>0.29722319406626124</c:v>
                </c:pt>
                <c:pt idx="109">
                  <c:v>0.29960329618825465</c:v>
                </c:pt>
                <c:pt idx="110">
                  <c:v>0.30198019145016158</c:v>
                </c:pt>
                <c:pt idx="111">
                  <c:v>0.30435389573298993</c:v>
                </c:pt>
                <c:pt idx="112">
                  <c:v>0.3067244248431138</c:v>
                </c:pt>
                <c:pt idx="113">
                  <c:v>0.30909179451285762</c:v>
                </c:pt>
                <c:pt idx="114">
                  <c:v>0.31145602040106835</c:v>
                </c:pt>
                <c:pt idx="115">
                  <c:v>0.31381711809367718</c:v>
                </c:pt>
                <c:pt idx="116">
                  <c:v>0.31617510310425095</c:v>
                </c:pt>
                <c:pt idx="117">
                  <c:v>0.31852999087453426</c:v>
                </c:pt>
                <c:pt idx="118">
                  <c:v>0.32088179677498324</c:v>
                </c:pt>
                <c:pt idx="119">
                  <c:v>0.32323053610529101</c:v>
                </c:pt>
                <c:pt idx="120">
                  <c:v>0.325576224094906</c:v>
                </c:pt>
                <c:pt idx="121">
                  <c:v>0.32791887590354307</c:v>
                </c:pt>
                <c:pt idx="122">
                  <c:v>0.33025850662168765</c:v>
                </c:pt>
                <c:pt idx="123">
                  <c:v>0.33259513127109436</c:v>
                </c:pt>
                <c:pt idx="124">
                  <c:v>0.33492876480527894</c:v>
                </c:pt>
                <c:pt idx="125">
                  <c:v>0.33725942211000526</c:v>
                </c:pt>
                <c:pt idx="126">
                  <c:v>0.33958711800376656</c:v>
                </c:pt>
                <c:pt idx="127">
                  <c:v>0.34191186723826184</c:v>
                </c:pt>
                <c:pt idx="128">
                  <c:v>0.34423368449886693</c:v>
                </c:pt>
                <c:pt idx="129">
                  <c:v>0.3465525844051015</c:v>
                </c:pt>
                <c:pt idx="130">
                  <c:v>0.34886858151109112</c:v>
                </c:pt>
                <c:pt idx="131">
                  <c:v>0.3511816903060252</c:v>
                </c:pt>
                <c:pt idx="132">
                  <c:v>0.35349192521461054</c:v>
                </c:pt>
                <c:pt idx="133">
                  <c:v>0.35579930059752107</c:v>
                </c:pt>
                <c:pt idx="134">
                  <c:v>0.35810383075184349</c:v>
                </c:pt>
                <c:pt idx="135">
                  <c:v>0.36040552991151903</c:v>
                </c:pt>
                <c:pt idx="136">
                  <c:v>0.36270441224778166</c:v>
                </c:pt>
                <c:pt idx="137">
                  <c:v>0.36500049186959271</c:v>
                </c:pt>
                <c:pt idx="138">
                  <c:v>0.36729378282407166</c:v>
                </c:pt>
                <c:pt idx="139">
                  <c:v>0.36958429909692375</c:v>
                </c:pt>
                <c:pt idx="140">
                  <c:v>0.37187205461286399</c:v>
                </c:pt>
                <c:pt idx="141">
                  <c:v>0.37415706323603803</c:v>
                </c:pt>
                <c:pt idx="142">
                  <c:v>0.37643933877043978</c:v>
                </c:pt>
                <c:pt idx="143">
                  <c:v>0.37871889496032579</c:v>
                </c:pt>
                <c:pt idx="144">
                  <c:v>0.38099574549062643</c:v>
                </c:pt>
                <c:pt idx="145">
                  <c:v>0.38326990398735394</c:v>
                </c:pt>
                <c:pt idx="146">
                  <c:v>0.38554138401800758</c:v>
                </c:pt>
                <c:pt idx="147">
                  <c:v>0.387810199091976</c:v>
                </c:pt>
                <c:pt idx="148">
                  <c:v>0.39007636266093615</c:v>
                </c:pt>
                <c:pt idx="149">
                  <c:v>0.39233988811924969</c:v>
                </c:pt>
                <c:pt idx="150">
                  <c:v>0.39460078880435623</c:v>
                </c:pt>
                <c:pt idx="151">
                  <c:v>0.3968590779971643</c:v>
                </c:pt>
                <c:pt idx="152">
                  <c:v>0.39911476892243869</c:v>
                </c:pt>
                <c:pt idx="153">
                  <c:v>0.40136787474918584</c:v>
                </c:pt>
                <c:pt idx="154">
                  <c:v>0.40361840859103615</c:v>
                </c:pt>
                <c:pt idx="155">
                  <c:v>0.40586638350662335</c:v>
                </c:pt>
                <c:pt idx="156">
                  <c:v>0.4080892321846642</c:v>
                </c:pt>
                <c:pt idx="157">
                  <c:v>0.41031336577271849</c:v>
                </c:pt>
                <c:pt idx="158">
                  <c:v>0.41253848282651479</c:v>
                </c:pt>
                <c:pt idx="159">
                  <c:v>0.4147643628986073</c:v>
                </c:pt>
                <c:pt idx="160">
                  <c:v>0.41699084445127033</c:v>
                </c:pt>
                <c:pt idx="161">
                  <c:v>0.4192178088938775</c:v>
                </c:pt>
                <c:pt idx="162">
                  <c:v>0.42144516900686885</c:v>
                </c:pt>
                <c:pt idx="163">
                  <c:v>0.42367286052384107</c:v>
                </c:pt>
                <c:pt idx="164">
                  <c:v>0.42590083599651141</c:v>
                </c:pt>
                <c:pt idx="165">
                  <c:v>0.42812906031514847</c:v>
                </c:pt>
                <c:pt idx="166">
                  <c:v>0.4303575074325825</c:v>
                </c:pt>
                <c:pt idx="167">
                  <c:v>0.43258615796510774</c:v>
                </c:pt>
                <c:pt idx="168">
                  <c:v>0.43481499743339447</c:v>
                </c:pt>
                <c:pt idx="169">
                  <c:v>0.43704401497123102</c:v>
                </c:pt>
                <c:pt idx="170">
                  <c:v>0.43927320237669365</c:v>
                </c:pt>
                <c:pt idx="171">
                  <c:v>0.44150255341425659</c:v>
                </c:pt>
                <c:pt idx="172">
                  <c:v>0.44373206330099896</c:v>
                </c:pt>
                <c:pt idx="173">
                  <c:v>0.44596172832800757</c:v>
                </c:pt>
                <c:pt idx="174">
                  <c:v>0.44819154558115992</c:v>
                </c:pt>
                <c:pt idx="175">
                  <c:v>0.45042151273502645</c:v>
                </c:pt>
                <c:pt idx="176">
                  <c:v>0.45265162790061758</c:v>
                </c:pt>
                <c:pt idx="177">
                  <c:v>0.45488188951281694</c:v>
                </c:pt>
                <c:pt idx="178">
                  <c:v>0.45711229624708849</c:v>
                </c:pt>
                <c:pt idx="179">
                  <c:v>0.45934284695779565</c:v>
                </c:pt>
                <c:pt idx="180">
                  <c:v>0.46157354063248845</c:v>
                </c:pt>
                <c:pt idx="181">
                  <c:v>0.46380437635799843</c:v>
                </c:pt>
                <c:pt idx="182">
                  <c:v>0.4660353532952709</c:v>
                </c:pt>
                <c:pt idx="183">
                  <c:v>0.46826647066066923</c:v>
                </c:pt>
                <c:pt idx="184">
                  <c:v>0.47049772771207488</c:v>
                </c:pt>
                <c:pt idx="185">
                  <c:v>0.47272912373854575</c:v>
                </c:pt>
                <c:pt idx="186">
                  <c:v>0.47496065805261545</c:v>
                </c:pt>
                <c:pt idx="187">
                  <c:v>0.47719232998455441</c:v>
                </c:pt>
                <c:pt idx="188">
                  <c:v>0.47942413887808971</c:v>
                </c:pt>
                <c:pt idx="189">
                  <c:v>0.48165608408721039</c:v>
                </c:pt>
                <c:pt idx="190">
                  <c:v>0.48388816497378029</c:v>
                </c:pt>
                <c:pt idx="191">
                  <c:v>0.4861203809057536</c:v>
                </c:pt>
                <c:pt idx="192">
                  <c:v>0.48835273125583895</c:v>
                </c:pt>
                <c:pt idx="193">
                  <c:v>0.4905852154004986</c:v>
                </c:pt>
                <c:pt idx="194">
                  <c:v>0.49281783271919816</c:v>
                </c:pt>
                <c:pt idx="195">
                  <c:v>0.49505058259384266</c:v>
                </c:pt>
                <c:pt idx="196">
                  <c:v>0.49728346440835325</c:v>
                </c:pt>
                <c:pt idx="197">
                  <c:v>0.49951647754834777</c:v>
                </c:pt>
                <c:pt idx="198">
                  <c:v>0.5017496214009004</c:v>
                </c:pt>
                <c:pt idx="199">
                  <c:v>0.50398289535435947</c:v>
                </c:pt>
                <c:pt idx="200">
                  <c:v>0.50621629879820973</c:v>
                </c:pt>
                <c:pt idx="201">
                  <c:v>0.50844983112296782</c:v>
                </c:pt>
                <c:pt idx="202">
                  <c:v>0.51068349172010208</c:v>
                </c:pt>
                <c:pt idx="203">
                  <c:v>0.51291727998197134</c:v>
                </c:pt>
                <c:pt idx="204">
                  <c:v>0.51515119530177778</c:v>
                </c:pt>
                <c:pt idx="205">
                  <c:v>0.51738523707353046</c:v>
                </c:pt>
                <c:pt idx="206">
                  <c:v>0.51961940469201662</c:v>
                </c:pt>
                <c:pt idx="207">
                  <c:v>0.52185369755277911</c:v>
                </c:pt>
                <c:pt idx="208">
                  <c:v>0.52408811505209818</c:v>
                </c:pt>
                <c:pt idx="209">
                  <c:v>0.52632265658697697</c:v>
                </c:pt>
                <c:pt idx="210">
                  <c:v>0.52855732155512936</c:v>
                </c:pt>
                <c:pt idx="211">
                  <c:v>0.53079210935497012</c:v>
                </c:pt>
                <c:pt idx="212">
                  <c:v>0.53302701938560626</c:v>
                </c:pt>
                <c:pt idx="213">
                  <c:v>0.53526205104682922</c:v>
                </c:pt>
                <c:pt idx="214">
                  <c:v>0.5374972037391087</c:v>
                </c:pt>
                <c:pt idx="215">
                  <c:v>0.5397324768635865</c:v>
                </c:pt>
                <c:pt idx="216">
                  <c:v>0.54196786982207101</c:v>
                </c:pt>
                <c:pt idx="217">
                  <c:v>0.54420338201703244</c:v>
                </c:pt>
                <c:pt idx="218">
                  <c:v>0.54643901285159768</c:v>
                </c:pt>
                <c:pt idx="219">
                  <c:v>0.54867476172954599</c:v>
                </c:pt>
                <c:pt idx="220">
                  <c:v>0.55091062805530444</c:v>
                </c:pt>
                <c:pt idx="221">
                  <c:v>0.55314661123394393</c:v>
                </c:pt>
                <c:pt idx="222">
                  <c:v>0.55538271067117484</c:v>
                </c:pt>
                <c:pt idx="223">
                  <c:v>0.55761892577334293</c:v>
                </c:pt>
                <c:pt idx="224">
                  <c:v>0.55985525594742569</c:v>
                </c:pt>
                <c:pt idx="225">
                  <c:v>0.56209170060102798</c:v>
                </c:pt>
                <c:pt idx="226">
                  <c:v>0.56432825914237861</c:v>
                </c:pt>
                <c:pt idx="227">
                  <c:v>0.56656493098032601</c:v>
                </c:pt>
                <c:pt idx="228">
                  <c:v>0.56880171552433478</c:v>
                </c:pt>
                <c:pt idx="229">
                  <c:v>0.57103861218448182</c:v>
                </c:pt>
                <c:pt idx="230">
                  <c:v>0.57327562037145252</c:v>
                </c:pt>
                <c:pt idx="231">
                  <c:v>0.57551273949653692</c:v>
                </c:pt>
                <c:pt idx="232">
                  <c:v>0.57774996897162612</c:v>
                </c:pt>
                <c:pt idx="233">
                  <c:v>0.57998730820920863</c:v>
                </c:pt>
                <c:pt idx="234">
                  <c:v>0.5822247566223665</c:v>
                </c:pt>
                <c:pt idx="235">
                  <c:v>0.58446231362477163</c:v>
                </c:pt>
                <c:pt idx="236">
                  <c:v>0.58669997863068235</c:v>
                </c:pt>
                <c:pt idx="237">
                  <c:v>0.58893775105493962</c:v>
                </c:pt>
                <c:pt idx="238">
                  <c:v>0.59117563031296327</c:v>
                </c:pt>
                <c:pt idx="239">
                  <c:v>0.59341361582074847</c:v>
                </c:pt>
                <c:pt idx="240">
                  <c:v>0.59565170699486236</c:v>
                </c:pt>
                <c:pt idx="241">
                  <c:v>0.59788990325244007</c:v>
                </c:pt>
                <c:pt idx="242">
                  <c:v>0.60012820401118128</c:v>
                </c:pt>
                <c:pt idx="243">
                  <c:v>0.60236660868934655</c:v>
                </c:pt>
                <c:pt idx="244">
                  <c:v>0.60460511670575412</c:v>
                </c:pt>
                <c:pt idx="245">
                  <c:v>0.60684372747977589</c:v>
                </c:pt>
                <c:pt idx="246">
                  <c:v>0.60908244043133397</c:v>
                </c:pt>
                <c:pt idx="247">
                  <c:v>0.61132125498089751</c:v>
                </c:pt>
                <c:pt idx="248">
                  <c:v>0.61356017054947876</c:v>
                </c:pt>
                <c:pt idx="249">
                  <c:v>0.61579918655862964</c:v>
                </c:pt>
                <c:pt idx="250">
                  <c:v>0.61803830243043845</c:v>
                </c:pt>
                <c:pt idx="251">
                  <c:v>0.62027751758752614</c:v>
                </c:pt>
                <c:pt idx="252">
                  <c:v>0.62251683145304293</c:v>
                </c:pt>
                <c:pt idx="253">
                  <c:v>0.62475624345066483</c:v>
                </c:pt>
                <c:pt idx="254">
                  <c:v>0.62699575300459032</c:v>
                </c:pt>
                <c:pt idx="255">
                  <c:v>0.62923535953953647</c:v>
                </c:pt>
                <c:pt idx="256">
                  <c:v>0.63147506248073593</c:v>
                </c:pt>
                <c:pt idx="257">
                  <c:v>0.6337148612539335</c:v>
                </c:pt>
                <c:pt idx="258">
                  <c:v>0.63595475528538237</c:v>
                </c:pt>
                <c:pt idx="259">
                  <c:v>0.63819474400184095</c:v>
                </c:pt>
                <c:pt idx="260">
                  <c:v>0.64043482683056951</c:v>
                </c:pt>
                <c:pt idx="261">
                  <c:v>0.64267500319932658</c:v>
                </c:pt>
                <c:pt idx="262">
                  <c:v>0.64491527253636582</c:v>
                </c:pt>
                <c:pt idx="263">
                  <c:v>0.64715563427043243</c:v>
                </c:pt>
                <c:pt idx="264">
                  <c:v>0.64939608783075997</c:v>
                </c:pt>
                <c:pt idx="265">
                  <c:v>0.65163663264706673</c:v>
                </c:pt>
                <c:pt idx="266">
                  <c:v>0.65387726814955283</c:v>
                </c:pt>
                <c:pt idx="267">
                  <c:v>0.65611799376889635</c:v>
                </c:pt>
                <c:pt idx="268">
                  <c:v>0.65835880893625054</c:v>
                </c:pt>
                <c:pt idx="269">
                  <c:v>0.66059971308324006</c:v>
                </c:pt>
                <c:pt idx="270">
                  <c:v>0.66284070564195796</c:v>
                </c:pt>
                <c:pt idx="271">
                  <c:v>0.66508178604496215</c:v>
                </c:pt>
                <c:pt idx="272">
                  <c:v>0.66732295372527239</c:v>
                </c:pt>
                <c:pt idx="273">
                  <c:v>0.66956420811636685</c:v>
                </c:pt>
                <c:pt idx="274">
                  <c:v>0.67180554865217879</c:v>
                </c:pt>
                <c:pt idx="275">
                  <c:v>0.6740469747670933</c:v>
                </c:pt>
                <c:pt idx="276">
                  <c:v>0.67628848589594426</c:v>
                </c:pt>
                <c:pt idx="277">
                  <c:v>0.67853008147401084</c:v>
                </c:pt>
                <c:pt idx="278">
                  <c:v>0.6807717609370143</c:v>
                </c:pt>
                <c:pt idx="279">
                  <c:v>0.68301352372111479</c:v>
                </c:pt>
                <c:pt idx="280">
                  <c:v>0.68525536926290831</c:v>
                </c:pt>
                <c:pt idx="281">
                  <c:v>0.6874972969994233</c:v>
                </c:pt>
                <c:pt idx="282">
                  <c:v>0.68973930636811742</c:v>
                </c:pt>
                <c:pt idx="283">
                  <c:v>0.69198139680687443</c:v>
                </c:pt>
                <c:pt idx="284">
                  <c:v>0.69422356775400107</c:v>
                </c:pt>
                <c:pt idx="285">
                  <c:v>0.69646581864822354</c:v>
                </c:pt>
                <c:pt idx="286">
                  <c:v>0.69870814892868494</c:v>
                </c:pt>
                <c:pt idx="287">
                  <c:v>0.70095055803494144</c:v>
                </c:pt>
                <c:pt idx="288">
                  <c:v>0.70319304540695948</c:v>
                </c:pt>
                <c:pt idx="289">
                  <c:v>0.70543561048511272</c:v>
                </c:pt>
                <c:pt idx="290">
                  <c:v>0.7076782527101787</c:v>
                </c:pt>
                <c:pt idx="291">
                  <c:v>0.70992097152333566</c:v>
                </c:pt>
                <c:pt idx="292">
                  <c:v>0.71216376636615952</c:v>
                </c:pt>
                <c:pt idx="293">
                  <c:v>0.71440663668062088</c:v>
                </c:pt>
                <c:pt idx="294">
                  <c:v>0.71664958190908157</c:v>
                </c:pt>
                <c:pt idx="295">
                  <c:v>0.71889260149429191</c:v>
                </c:pt>
                <c:pt idx="296">
                  <c:v>0.72113569487938733</c:v>
                </c:pt>
                <c:pt idx="297">
                  <c:v>0.72337886150788555</c:v>
                </c:pt>
                <c:pt idx="298">
                  <c:v>0.72562210082368328</c:v>
                </c:pt>
                <c:pt idx="299">
                  <c:v>0.72786541227105317</c:v>
                </c:pt>
                <c:pt idx="300">
                  <c:v>0.73010879529464079</c:v>
                </c:pt>
                <c:pt idx="301">
                  <c:v>0.73235224933946164</c:v>
                </c:pt>
                <c:pt idx="302">
                  <c:v>0.73459577385089792</c:v>
                </c:pt>
                <c:pt idx="303">
                  <c:v>0.73683936827469565</c:v>
                </c:pt>
                <c:pt idx="304">
                  <c:v>0.73908303205696158</c:v>
                </c:pt>
                <c:pt idx="305">
                  <c:v>0.74132676464416003</c:v>
                </c:pt>
                <c:pt idx="306">
                  <c:v>0.74357056548310996</c:v>
                </c:pt>
                <c:pt idx="307">
                  <c:v>0.74581443402098213</c:v>
                </c:pt>
                <c:pt idx="308">
                  <c:v>0.74805836970529571</c:v>
                </c:pt>
                <c:pt idx="309">
                  <c:v>0.75030237198391558</c:v>
                </c:pt>
                <c:pt idx="310">
                  <c:v>0.75254644030504914</c:v>
                </c:pt>
                <c:pt idx="311">
                  <c:v>0.75479057411724337</c:v>
                </c:pt>
                <c:pt idx="312">
                  <c:v>0.75703477286938203</c:v>
                </c:pt>
                <c:pt idx="313">
                  <c:v>0.75927903601068225</c:v>
                </c:pt>
                <c:pt idx="314">
                  <c:v>0.76152336299069201</c:v>
                </c:pt>
                <c:pt idx="315">
                  <c:v>0.76376775325928692</c:v>
                </c:pt>
                <c:pt idx="316">
                  <c:v>0.76601220626666722</c:v>
                </c:pt>
                <c:pt idx="317">
                  <c:v>0.768256721463355</c:v>
                </c:pt>
                <c:pt idx="318">
                  <c:v>0.7705012983001911</c:v>
                </c:pt>
                <c:pt idx="319">
                  <c:v>0.7727459362283321</c:v>
                </c:pt>
                <c:pt idx="320">
                  <c:v>0.77499063469924767</c:v>
                </c:pt>
                <c:pt idx="321">
                  <c:v>0.77723539316471735</c:v>
                </c:pt>
                <c:pt idx="322">
                  <c:v>0.77948021107682774</c:v>
                </c:pt>
                <c:pt idx="323">
                  <c:v>0.78172508788796946</c:v>
                </c:pt>
                <c:pt idx="324">
                  <c:v>0.78397002305083452</c:v>
                </c:pt>
                <c:pt idx="325">
                  <c:v>0.78621501601841304</c:v>
                </c:pt>
                <c:pt idx="326">
                  <c:v>0.78846006624399056</c:v>
                </c:pt>
                <c:pt idx="327">
                  <c:v>0.79070517318114508</c:v>
                </c:pt>
                <c:pt idx="328">
                  <c:v>0.79295033628374412</c:v>
                </c:pt>
                <c:pt idx="329">
                  <c:v>0.79519555500594197</c:v>
                </c:pt>
                <c:pt idx="330">
                  <c:v>0.7974408288021767</c:v>
                </c:pt>
                <c:pt idx="331">
                  <c:v>0.79968615712716729</c:v>
                </c:pt>
                <c:pt idx="332">
                  <c:v>0.80193153943591056</c:v>
                </c:pt>
                <c:pt idx="333">
                  <c:v>0.8041769751836787</c:v>
                </c:pt>
                <c:pt idx="334">
                  <c:v>0.80642246382601612</c:v>
                </c:pt>
                <c:pt idx="335">
                  <c:v>0.80866800481873657</c:v>
                </c:pt>
                <c:pt idx="336">
                  <c:v>0.81091359761792048</c:v>
                </c:pt>
                <c:pt idx="337">
                  <c:v>0.81315924167991194</c:v>
                </c:pt>
                <c:pt idx="338">
                  <c:v>0.81540493646131595</c:v>
                </c:pt>
                <c:pt idx="339">
                  <c:v>0.81765068141899555</c:v>
                </c:pt>
                <c:pt idx="340">
                  <c:v>0.81989647601006876</c:v>
                </c:pt>
                <c:pt idx="341">
                  <c:v>0.82214231969190621</c:v>
                </c:pt>
                <c:pt idx="342">
                  <c:v>0.82438821192212797</c:v>
                </c:pt>
                <c:pt idx="343">
                  <c:v>0.8266341521586007</c:v>
                </c:pt>
                <c:pt idx="344">
                  <c:v>0.82888013985943498</c:v>
                </c:pt>
                <c:pt idx="345">
                  <c:v>0.83112617448298254</c:v>
                </c:pt>
                <c:pt idx="346">
                  <c:v>0.83337225548783322</c:v>
                </c:pt>
                <c:pt idx="347">
                  <c:v>0.83561838233281238</c:v>
                </c:pt>
                <c:pt idx="348">
                  <c:v>0.83786455447697794</c:v>
                </c:pt>
                <c:pt idx="349">
                  <c:v>0.84011077137961776</c:v>
                </c:pt>
                <c:pt idx="350">
                  <c:v>0.84235703250024674</c:v>
                </c:pt>
                <c:pt idx="351">
                  <c:v>0.84460333729860393</c:v>
                </c:pt>
                <c:pt idx="352">
                  <c:v>0.84684968523464987</c:v>
                </c:pt>
                <c:pt idx="353">
                  <c:v>0.84909607576856383</c:v>
                </c:pt>
                <c:pt idx="354">
                  <c:v>0.85134250836074088</c:v>
                </c:pt>
                <c:pt idx="355">
                  <c:v>0.85358898247178927</c:v>
                </c:pt>
                <c:pt idx="356">
                  <c:v>0.85583549756252764</c:v>
                </c:pt>
                <c:pt idx="357">
                  <c:v>0.85808205309398222</c:v>
                </c:pt>
                <c:pt idx="358">
                  <c:v>0.860328648527384</c:v>
                </c:pt>
                <c:pt idx="359">
                  <c:v>0.862575283324166</c:v>
                </c:pt>
                <c:pt idx="360">
                  <c:v>0.86482195694596053</c:v>
                </c:pt>
                <c:pt idx="361">
                  <c:v>0.86706866885459666</c:v>
                </c:pt>
                <c:pt idx="362">
                  <c:v>0.86931541851209704</c:v>
                </c:pt>
                <c:pt idx="363">
                  <c:v>0.87156220538067541</c:v>
                </c:pt>
                <c:pt idx="364">
                  <c:v>0.87380902892273382</c:v>
                </c:pt>
                <c:pt idx="365">
                  <c:v>0.87605588860086003</c:v>
                </c:pt>
                <c:pt idx="366">
                  <c:v>0.87830278387782446</c:v>
                </c:pt>
                <c:pt idx="367">
                  <c:v>0.88054971421657768</c:v>
                </c:pt>
                <c:pt idx="368">
                  <c:v>0.88279667908024761</c:v>
                </c:pt>
                <c:pt idx="369">
                  <c:v>0.8850436779321369</c:v>
                </c:pt>
                <c:pt idx="370">
                  <c:v>0.88729071023572015</c:v>
                </c:pt>
                <c:pt idx="371">
                  <c:v>0.88953777545464097</c:v>
                </c:pt>
                <c:pt idx="372">
                  <c:v>0.89178487305270959</c:v>
                </c:pt>
                <c:pt idx="373">
                  <c:v>0.89403200249390002</c:v>
                </c:pt>
                <c:pt idx="374">
                  <c:v>0.89627916324234724</c:v>
                </c:pt>
                <c:pt idx="375">
                  <c:v>0.89852635476234466</c:v>
                </c:pt>
                <c:pt idx="376">
                  <c:v>0.90077357651834122</c:v>
                </c:pt>
                <c:pt idx="377">
                  <c:v>0.90302082797493899</c:v>
                </c:pt>
                <c:pt idx="378">
                  <c:v>0.90526810859689011</c:v>
                </c:pt>
                <c:pt idx="379">
                  <c:v>0.90751541784909429</c:v>
                </c:pt>
                <c:pt idx="380">
                  <c:v>0.90976275519659611</c:v>
                </c:pt>
                <c:pt idx="381">
                  <c:v>0.91201012010458238</c:v>
                </c:pt>
                <c:pt idx="382">
                  <c:v>0.91425751203837924</c:v>
                </c:pt>
                <c:pt idx="383">
                  <c:v>0.91650493046344972</c:v>
                </c:pt>
                <c:pt idx="384">
                  <c:v>0.91875237484539085</c:v>
                </c:pt>
                <c:pt idx="385">
                  <c:v>0.92099984464993112</c:v>
                </c:pt>
                <c:pt idx="386">
                  <c:v>0.92324733934292769</c:v>
                </c:pt>
                <c:pt idx="387">
                  <c:v>0.92549485839036383</c:v>
                </c:pt>
                <c:pt idx="388">
                  <c:v>0.92774240125834617</c:v>
                </c:pt>
                <c:pt idx="389">
                  <c:v>0.92998996741310203</c:v>
                </c:pt>
                <c:pt idx="390">
                  <c:v>0.93223755632097682</c:v>
                </c:pt>
                <c:pt idx="391">
                  <c:v>0.93448516744843113</c:v>
                </c:pt>
                <c:pt idx="392">
                  <c:v>0.93673280026203842</c:v>
                </c:pt>
                <c:pt idx="393">
                  <c:v>0.93898045422848209</c:v>
                </c:pt>
                <c:pt idx="394">
                  <c:v>0.94122812881455287</c:v>
                </c:pt>
                <c:pt idx="395">
                  <c:v>0.9434758234871462</c:v>
                </c:pt>
                <c:pt idx="396">
                  <c:v>0.94572353771325968</c:v>
                </c:pt>
                <c:pt idx="397">
                  <c:v>0.94797127095999023</c:v>
                </c:pt>
                <c:pt idx="398">
                  <c:v>0.9502190226945314</c:v>
                </c:pt>
                <c:pt idx="399">
                  <c:v>0.95246679238417098</c:v>
                </c:pt>
                <c:pt idx="400">
                  <c:v>0.95471457949628802</c:v>
                </c:pt>
                <c:pt idx="401">
                  <c:v>0.95696238349835039</c:v>
                </c:pt>
                <c:pt idx="402">
                  <c:v>0.959210203857912</c:v>
                </c:pt>
                <c:pt idx="403">
                  <c:v>0.96145804004261048</c:v>
                </c:pt>
                <c:pt idx="404">
                  <c:v>0.96370589152016395</c:v>
                </c:pt>
                <c:pt idx="405">
                  <c:v>0.965953757758369</c:v>
                </c:pt>
                <c:pt idx="406">
                  <c:v>0.96820163822509753</c:v>
                </c:pt>
                <c:pt idx="407">
                  <c:v>0.97044953238829446</c:v>
                </c:pt>
                <c:pt idx="408">
                  <c:v>0.97269743971597489</c:v>
                </c:pt>
                <c:pt idx="409">
                  <c:v>0.97494535967622153</c:v>
                </c:pt>
                <c:pt idx="410">
                  <c:v>0.97719329173718217</c:v>
                </c:pt>
                <c:pt idx="411">
                  <c:v>0.97944123536706673</c:v>
                </c:pt>
                <c:pt idx="412">
                  <c:v>0.98168919003414501</c:v>
                </c:pt>
                <c:pt idx="413">
                  <c:v>0.98393715520674385</c:v>
                </c:pt>
                <c:pt idx="414">
                  <c:v>0.9861851303532444</c:v>
                </c:pt>
                <c:pt idx="415">
                  <c:v>0.98843311494207975</c:v>
                </c:pt>
                <c:pt idx="416">
                  <c:v>0.99068110844173196</c:v>
                </c:pt>
                <c:pt idx="417">
                  <c:v>0.99292911032072984</c:v>
                </c:pt>
                <c:pt idx="418">
                  <c:v>0.99517712004764591</c:v>
                </c:pt>
                <c:pt idx="419">
                  <c:v>0.99742513709109404</c:v>
                </c:pt>
                <c:pt idx="420">
                  <c:v>0.99967316091972669</c:v>
                </c:pt>
                <c:pt idx="421">
                  <c:v>1.0019211910022323</c:v>
                </c:pt>
                <c:pt idx="422">
                  <c:v>1.004169226807333</c:v>
                </c:pt>
                <c:pt idx="423">
                  <c:v>1.0064172678037813</c:v>
                </c:pt>
                <c:pt idx="424">
                  <c:v>1.0086653134603578</c:v>
                </c:pt>
                <c:pt idx="425">
                  <c:v>1.0109133632458691</c:v>
                </c:pt>
                <c:pt idx="426">
                  <c:v>1.0131614166291441</c:v>
                </c:pt>
                <c:pt idx="427">
                  <c:v>1.0154094730790322</c:v>
                </c:pt>
                <c:pt idx="428">
                  <c:v>1.0176575320644006</c:v>
                </c:pt>
                <c:pt idx="429">
                  <c:v>1.0199055930541312</c:v>
                </c:pt>
                <c:pt idx="430">
                  <c:v>1.0221536555171182</c:v>
                </c:pt>
                <c:pt idx="431">
                  <c:v>1.0244017189222661</c:v>
                </c:pt>
                <c:pt idx="432">
                  <c:v>1.0266497827384859</c:v>
                </c:pt>
                <c:pt idx="433">
                  <c:v>1.0288978464346934</c:v>
                </c:pt>
                <c:pt idx="434">
                  <c:v>1.0311459094798063</c:v>
                </c:pt>
                <c:pt idx="435">
                  <c:v>1.0333939713427416</c:v>
                </c:pt>
                <c:pt idx="436">
                  <c:v>1.0356420314924126</c:v>
                </c:pt>
                <c:pt idx="437">
                  <c:v>1.037890089397727</c:v>
                </c:pt>
                <c:pt idx="438">
                  <c:v>1.0401381445275837</c:v>
                </c:pt>
                <c:pt idx="439">
                  <c:v>1.0423861963508705</c:v>
                </c:pt>
                <c:pt idx="440">
                  <c:v>1.0446342443364609</c:v>
                </c:pt>
                <c:pt idx="441">
                  <c:v>1.0468822879532125</c:v>
                </c:pt>
                <c:pt idx="442">
                  <c:v>1.0491303266699634</c:v>
                </c:pt>
                <c:pt idx="443">
                  <c:v>1.0513783599555302</c:v>
                </c:pt>
                <c:pt idx="444">
                  <c:v>1.0536263872787048</c:v>
                </c:pt>
                <c:pt idx="445">
                  <c:v>1.0558744081082525</c:v>
                </c:pt>
                <c:pt idx="446">
                  <c:v>1.0581224219129088</c:v>
                </c:pt>
                <c:pt idx="447">
                  <c:v>1.0603704281613771</c:v>
                </c:pt>
                <c:pt idx="448">
                  <c:v>1.0626184263223255</c:v>
                </c:pt>
                <c:pt idx="449">
                  <c:v>1.064866415864385</c:v>
                </c:pt>
                <c:pt idx="450">
                  <c:v>1.0671143962561465</c:v>
                </c:pt>
                <c:pt idx="451">
                  <c:v>1.0693623669661578</c:v>
                </c:pt>
                <c:pt idx="452">
                  <c:v>1.0716103274629218</c:v>
                </c:pt>
                <c:pt idx="453">
                  <c:v>1.073858277214893</c:v>
                </c:pt>
                <c:pt idx="454">
                  <c:v>1.0761062156904755</c:v>
                </c:pt>
                <c:pt idx="455">
                  <c:v>1.0783541423580199</c:v>
                </c:pt>
                <c:pt idx="456">
                  <c:v>1.080602056685821</c:v>
                </c:pt>
                <c:pt idx="457">
                  <c:v>1.0828499581421149</c:v>
                </c:pt>
                <c:pt idx="458">
                  <c:v>1.0850978461950769</c:v>
                </c:pt>
                <c:pt idx="459">
                  <c:v>1.0873457203128181</c:v>
                </c:pt>
                <c:pt idx="460">
                  <c:v>1.0895935799633834</c:v>
                </c:pt>
                <c:pt idx="461">
                  <c:v>1.0918414246147483</c:v>
                </c:pt>
                <c:pt idx="462">
                  <c:v>1.094089253734817</c:v>
                </c:pt>
                <c:pt idx="463">
                  <c:v>1.096337066791419</c:v>
                </c:pt>
                <c:pt idx="464">
                  <c:v>1.098584863252307</c:v>
                </c:pt>
                <c:pt idx="465">
                  <c:v>1.1008326425851538</c:v>
                </c:pt>
                <c:pt idx="466">
                  <c:v>1.1030804042575499</c:v>
                </c:pt>
                <c:pt idx="467">
                  <c:v>1.1053281477370014</c:v>
                </c:pt>
                <c:pt idx="468">
                  <c:v>1.1075758724909259</c:v>
                </c:pt>
                <c:pt idx="469">
                  <c:v>1.1098235779866517</c:v>
                </c:pt>
                <c:pt idx="470">
                  <c:v>1.1120712636914134</c:v>
                </c:pt>
                <c:pt idx="471">
                  <c:v>1.1143189290723505</c:v>
                </c:pt>
                <c:pt idx="472">
                  <c:v>1.1165665735965042</c:v>
                </c:pt>
                <c:pt idx="473">
                  <c:v>1.1188141967308147</c:v>
                </c:pt>
                <c:pt idx="474">
                  <c:v>1.1210617979421191</c:v>
                </c:pt>
                <c:pt idx="475">
                  <c:v>1.1233093766971478</c:v>
                </c:pt>
                <c:pt idx="476">
                  <c:v>1.1255569324625228</c:v>
                </c:pt>
                <c:pt idx="477">
                  <c:v>1.1278044647047543</c:v>
                </c:pt>
                <c:pt idx="478">
                  <c:v>1.1300519728902383</c:v>
                </c:pt>
                <c:pt idx="479">
                  <c:v>1.1322994564852544</c:v>
                </c:pt>
                <c:pt idx="480">
                  <c:v>1.1345469149559624</c:v>
                </c:pt>
                <c:pt idx="481">
                  <c:v>1.1367943477683997</c:v>
                </c:pt>
                <c:pt idx="482">
                  <c:v>1.1390417543884794</c:v>
                </c:pt>
                <c:pt idx="483">
                  <c:v>1.1412891342819869</c:v>
                </c:pt>
                <c:pt idx="484">
                  <c:v>1.143536486914577</c:v>
                </c:pt>
                <c:pt idx="485">
                  <c:v>1.145783811751772</c:v>
                </c:pt>
                <c:pt idx="486">
                  <c:v>1.1480311082589587</c:v>
                </c:pt>
                <c:pt idx="487">
                  <c:v>1.1502783759013855</c:v>
                </c:pt>
                <c:pt idx="488">
                  <c:v>1.1525256141441598</c:v>
                </c:pt>
                <c:pt idx="489">
                  <c:v>1.1547728224522456</c:v>
                </c:pt>
                <c:pt idx="490">
                  <c:v>1.1570200002904605</c:v>
                </c:pt>
                <c:pt idx="491">
                  <c:v>1.159267147123473</c:v>
                </c:pt>
                <c:pt idx="492">
                  <c:v>1.1615142624158001</c:v>
                </c:pt>
                <c:pt idx="493">
                  <c:v>1.1637613456318043</c:v>
                </c:pt>
                <c:pt idx="494">
                  <c:v>1.1660083962356911</c:v>
                </c:pt>
                <c:pt idx="495">
                  <c:v>1.168255413691506</c:v>
                </c:pt>
                <c:pt idx="496">
                  <c:v>1.1705023974631321</c:v>
                </c:pt>
                <c:pt idx="497">
                  <c:v>1.1727493470142873</c:v>
                </c:pt>
                <c:pt idx="498">
                  <c:v>1.1749962618085215</c:v>
                </c:pt>
                <c:pt idx="499">
                  <c:v>1.1772431413092139</c:v>
                </c:pt>
                <c:pt idx="500">
                  <c:v>1.1794899849795706</c:v>
                </c:pt>
                <c:pt idx="501">
                  <c:v>1.1817367922826212</c:v>
                </c:pt>
                <c:pt idx="502">
                  <c:v>1.183983562681217</c:v>
                </c:pt>
                <c:pt idx="503">
                  <c:v>1.1862302956380271</c:v>
                </c:pt>
                <c:pt idx="504">
                  <c:v>1.188476990615537</c:v>
                </c:pt>
                <c:pt idx="505">
                  <c:v>1.1907236470760447</c:v>
                </c:pt>
                <c:pt idx="506">
                  <c:v>1.1929702644816587</c:v>
                </c:pt>
                <c:pt idx="507">
                  <c:v>1.1952168422942948</c:v>
                </c:pt>
                <c:pt idx="508">
                  <c:v>1.197463379975674</c:v>
                </c:pt>
                <c:pt idx="509">
                  <c:v>1.1997098769873187</c:v>
                </c:pt>
                <c:pt idx="510">
                  <c:v>1.2019563327905511</c:v>
                </c:pt>
                <c:pt idx="511">
                  <c:v>1.2042027468464895</c:v>
                </c:pt>
                <c:pt idx="512">
                  <c:v>1.2064491186160462</c:v>
                </c:pt>
                <c:pt idx="513">
                  <c:v>1.2086954475599245</c:v>
                </c:pt>
                <c:pt idx="514">
                  <c:v>1.2109417331386159</c:v>
                </c:pt>
                <c:pt idx="515">
                  <c:v>1.213187974812397</c:v>
                </c:pt>
                <c:pt idx="516">
                  <c:v>1.2154341720413275</c:v>
                </c:pt>
                <c:pt idx="517">
                  <c:v>1.217680324285247</c:v>
                </c:pt>
                <c:pt idx="518">
                  <c:v>1.2199264310037721</c:v>
                </c:pt>
                <c:pt idx="519">
                  <c:v>1.2221724916562935</c:v>
                </c:pt>
                <c:pt idx="520">
                  <c:v>1.2244185057019739</c:v>
                </c:pt>
                <c:pt idx="521">
                  <c:v>1.2266644725997442</c:v>
                </c:pt>
                <c:pt idx="522">
                  <c:v>1.228910391808302</c:v>
                </c:pt>
                <c:pt idx="523">
                  <c:v>1.2311562627861072</c:v>
                </c:pt>
                <c:pt idx="524">
                  <c:v>1.2334020849913807</c:v>
                </c:pt>
                <c:pt idx="525">
                  <c:v>1.2356478578821009</c:v>
                </c:pt>
                <c:pt idx="526">
                  <c:v>1.2378935809160003</c:v>
                </c:pt>
                <c:pt idx="527">
                  <c:v>1.240139253550564</c:v>
                </c:pt>
                <c:pt idx="528">
                  <c:v>1.2423848752430258</c:v>
                </c:pt>
                <c:pt idx="529">
                  <c:v>1.2446304454503658</c:v>
                </c:pt>
                <c:pt idx="530">
                  <c:v>1.2468759636293076</c:v>
                </c:pt>
                <c:pt idx="531">
                  <c:v>1.2491214292363155</c:v>
                </c:pt>
                <c:pt idx="532">
                  <c:v>1.2513668417275914</c:v>
                </c:pt>
                <c:pt idx="533">
                  <c:v>1.253612200559072</c:v>
                </c:pt>
                <c:pt idx="534">
                  <c:v>1.255857505186426</c:v>
                </c:pt>
                <c:pt idx="535">
                  <c:v>1.2581027550650516</c:v>
                </c:pt>
                <c:pt idx="536">
                  <c:v>1.2603479496500734</c:v>
                </c:pt>
                <c:pt idx="537">
                  <c:v>1.2625930883963388</c:v>
                </c:pt>
                <c:pt idx="538">
                  <c:v>1.2648381707584164</c:v>
                </c:pt>
                <c:pt idx="539">
                  <c:v>1.2670831961905924</c:v>
                </c:pt>
                <c:pt idx="540">
                  <c:v>1.2693281641468677</c:v>
                </c:pt>
                <c:pt idx="541">
                  <c:v>1.271573074080955</c:v>
                </c:pt>
                <c:pt idx="542">
                  <c:v>1.2738179254462767</c:v>
                </c:pt>
                <c:pt idx="543">
                  <c:v>1.2760627176959607</c:v>
                </c:pt>
                <c:pt idx="544">
                  <c:v>1.2783074502828384</c:v>
                </c:pt>
                <c:pt idx="545">
                  <c:v>1.2805521226594418</c:v>
                </c:pt>
                <c:pt idx="546">
                  <c:v>1.282796734278</c:v>
                </c:pt>
                <c:pt idx="547">
                  <c:v>1.2850412845904366</c:v>
                </c:pt>
                <c:pt idx="548">
                  <c:v>1.2872857730483673</c:v>
                </c:pt>
                <c:pt idx="549">
                  <c:v>1.2895301991030959</c:v>
                </c:pt>
                <c:pt idx="550">
                  <c:v>1.2917745622056123</c:v>
                </c:pt>
                <c:pt idx="551">
                  <c:v>1.2940188618065889</c:v>
                </c:pt>
                <c:pt idx="552">
                  <c:v>1.2962630973563785</c:v>
                </c:pt>
                <c:pt idx="553">
                  <c:v>1.2985072683050101</c:v>
                </c:pt>
                <c:pt idx="554">
                  <c:v>1.3007513741021872</c:v>
                </c:pt>
                <c:pt idx="555">
                  <c:v>1.3029954141972842</c:v>
                </c:pt>
                <c:pt idx="556">
                  <c:v>1.3052393880393431</c:v>
                </c:pt>
                <c:pt idx="557">
                  <c:v>1.3074832950770716</c:v>
                </c:pt>
                <c:pt idx="558">
                  <c:v>1.3097271347588391</c:v>
                </c:pt>
                <c:pt idx="559">
                  <c:v>1.3119709065326739</c:v>
                </c:pt>
                <c:pt idx="560">
                  <c:v>1.3142146098462606</c:v>
                </c:pt>
                <c:pt idx="561">
                  <c:v>1.316458244146937</c:v>
                </c:pt>
                <c:pt idx="562">
                  <c:v>1.3187018088816909</c:v>
                </c:pt>
                <c:pt idx="563">
                  <c:v>1.320945303497157</c:v>
                </c:pt>
                <c:pt idx="564">
                  <c:v>1.3231887274396144</c:v>
                </c:pt>
                <c:pt idx="565">
                  <c:v>1.3254320801549828</c:v>
                </c:pt>
                <c:pt idx="566">
                  <c:v>1.3276753610888201</c:v>
                </c:pt>
                <c:pt idx="567">
                  <c:v>1.3299185696863192</c:v>
                </c:pt>
                <c:pt idx="568">
                  <c:v>1.3321617053923047</c:v>
                </c:pt>
                <c:pt idx="569">
                  <c:v>1.3344047676512303</c:v>
                </c:pt>
                <c:pt idx="570">
                  <c:v>1.3366477559071754</c:v>
                </c:pt>
                <c:pt idx="571">
                  <c:v>1.3388906696038421</c:v>
                </c:pt>
                <c:pt idx="572">
                  <c:v>1.3411335081845521</c:v>
                </c:pt>
                <c:pt idx="573">
                  <c:v>1.3433762710922439</c:v>
                </c:pt>
                <c:pt idx="574">
                  <c:v>1.3456189577694693</c:v>
                </c:pt>
                <c:pt idx="575">
                  <c:v>1.3478615676583903</c:v>
                </c:pt>
                <c:pt idx="576">
                  <c:v>1.3501041002007768</c:v>
                </c:pt>
                <c:pt idx="577">
                  <c:v>1.3523465548380023</c:v>
                </c:pt>
                <c:pt idx="578">
                  <c:v>1.3545889310110417</c:v>
                </c:pt>
                <c:pt idx="579">
                  <c:v>1.3568312281604678</c:v>
                </c:pt>
                <c:pt idx="580">
                  <c:v>1.3590734457264479</c:v>
                </c:pt>
                <c:pt idx="581">
                  <c:v>1.3613155831487416</c:v>
                </c:pt>
                <c:pt idx="582">
                  <c:v>1.3635576398666964</c:v>
                </c:pt>
                <c:pt idx="583">
                  <c:v>1.3657996153192455</c:v>
                </c:pt>
                <c:pt idx="584">
                  <c:v>1.3680415089449045</c:v>
                </c:pt>
                <c:pt idx="585">
                  <c:v>1.3702833201817677</c:v>
                </c:pt>
                <c:pt idx="586">
                  <c:v>1.3725250484675053</c:v>
                </c:pt>
                <c:pt idx="587">
                  <c:v>1.3747666932393605</c:v>
                </c:pt>
                <c:pt idx="588">
                  <c:v>1.3770082539341457</c:v>
                </c:pt>
                <c:pt idx="589">
                  <c:v>1.3792497299882398</c:v>
                </c:pt>
                <c:pt idx="590">
                  <c:v>1.3814911208375846</c:v>
                </c:pt>
                <c:pt idx="591">
                  <c:v>1.383732425917682</c:v>
                </c:pt>
                <c:pt idx="592">
                  <c:v>1.3859736446635904</c:v>
                </c:pt>
                <c:pt idx="593">
                  <c:v>1.3882147765099215</c:v>
                </c:pt>
                <c:pt idx="594">
                  <c:v>1.3904558208908375</c:v>
                </c:pt>
                <c:pt idx="595">
                  <c:v>1.3926967772400471</c:v>
                </c:pt>
                <c:pt idx="596">
                  <c:v>1.3949376449908031</c:v>
                </c:pt>
                <c:pt idx="597">
                  <c:v>1.3971784235758984</c:v>
                </c:pt>
                <c:pt idx="598">
                  <c:v>1.3994191124276631</c:v>
                </c:pt>
                <c:pt idx="599">
                  <c:v>1.4016597109779612</c:v>
                </c:pt>
                <c:pt idx="600">
                  <c:v>1.403900218658187</c:v>
                </c:pt>
                <c:pt idx="601">
                  <c:v>1.4061406348992627</c:v>
                </c:pt>
                <c:pt idx="602">
                  <c:v>1.4083809591316334</c:v>
                </c:pt>
                <c:pt idx="603">
                  <c:v>1.4106211907852657</c:v>
                </c:pt>
                <c:pt idx="604">
                  <c:v>1.412861329289643</c:v>
                </c:pt>
                <c:pt idx="605">
                  <c:v>1.415101374073763</c:v>
                </c:pt>
                <c:pt idx="606">
                  <c:v>1.4173413245661335</c:v>
                </c:pt>
                <c:pt idx="607">
                  <c:v>1.41958118019477</c:v>
                </c:pt>
                <c:pt idx="608">
                  <c:v>1.4218209403871915</c:v>
                </c:pt>
                <c:pt idx="609">
                  <c:v>1.4240606045704178</c:v>
                </c:pt>
                <c:pt idx="610">
                  <c:v>1.4263001721709656</c:v>
                </c:pt>
                <c:pt idx="611">
                  <c:v>1.4285396426148456</c:v>
                </c:pt>
                <c:pt idx="612">
                  <c:v>1.4307790153275584</c:v>
                </c:pt>
                <c:pt idx="613">
                  <c:v>1.4330182897340915</c:v>
                </c:pt>
                <c:pt idx="614">
                  <c:v>1.4352574652589163</c:v>
                </c:pt>
                <c:pt idx="615">
                  <c:v>1.4374965413259837</c:v>
                </c:pt>
                <c:pt idx="616">
                  <c:v>1.4397355173587216</c:v>
                </c:pt>
                <c:pt idx="617">
                  <c:v>1.441974392780031</c:v>
                </c:pt>
                <c:pt idx="618">
                  <c:v>1.4442131670122824</c:v>
                </c:pt>
                <c:pt idx="619">
                  <c:v>1.4464518394773125</c:v>
                </c:pt>
                <c:pt idx="620">
                  <c:v>1.4486904095964206</c:v>
                </c:pt>
                <c:pt idx="621">
                  <c:v>1.4509288767903654</c:v>
                </c:pt>
                <c:pt idx="622">
                  <c:v>1.4531672404793612</c:v>
                </c:pt>
                <c:pt idx="623">
                  <c:v>1.4554055000830746</c:v>
                </c:pt>
                <c:pt idx="624">
                  <c:v>1.4576436550206207</c:v>
                </c:pt>
                <c:pt idx="625">
                  <c:v>1.4598817047105597</c:v>
                </c:pt>
                <c:pt idx="626">
                  <c:v>1.4621196485708936</c:v>
                </c:pt>
                <c:pt idx="627">
                  <c:v>1.4643574860190622</c:v>
                </c:pt>
                <c:pt idx="628">
                  <c:v>1.4665952164719398</c:v>
                </c:pt>
                <c:pt idx="629">
                  <c:v>1.4688328393458314</c:v>
                </c:pt>
                <c:pt idx="630">
                  <c:v>1.4710703540564696</c:v>
                </c:pt>
                <c:pt idx="631">
                  <c:v>1.4733077600190103</c:v>
                </c:pt>
                <c:pt idx="632">
                  <c:v>1.4755450566480297</c:v>
                </c:pt>
                <c:pt idx="633">
                  <c:v>1.4777822433575203</c:v>
                </c:pt>
                <c:pt idx="634">
                  <c:v>1.4800193195608871</c:v>
                </c:pt>
                <c:pt idx="635">
                  <c:v>1.4822562846709446</c:v>
                </c:pt>
                <c:pt idx="636">
                  <c:v>1.4844931380999129</c:v>
                </c:pt>
                <c:pt idx="637">
                  <c:v>1.4867298792594135</c:v>
                </c:pt>
                <c:pt idx="638">
                  <c:v>1.4889665075604659</c:v>
                </c:pt>
                <c:pt idx="639">
                  <c:v>1.4912030224134845</c:v>
                </c:pt>
                <c:pt idx="640">
                  <c:v>1.4934394232282737</c:v>
                </c:pt>
                <c:pt idx="641">
                  <c:v>1.4956757094140256</c:v>
                </c:pt>
                <c:pt idx="642">
                  <c:v>1.4979118803793152</c:v>
                </c:pt>
                <c:pt idx="643">
                  <c:v>1.5001479355320968</c:v>
                </c:pt>
                <c:pt idx="644">
                  <c:v>1.5023838742797007</c:v>
                </c:pt>
                <c:pt idx="645">
                  <c:v>1.5046196960288289</c:v>
                </c:pt>
                <c:pt idx="646">
                  <c:v>1.5068554001855521</c:v>
                </c:pt>
                <c:pt idx="647">
                  <c:v>1.5090909861553046</c:v>
                </c:pt>
                <c:pt idx="648">
                  <c:v>1.5113264533428818</c:v>
                </c:pt>
                <c:pt idx="649">
                  <c:v>1.5135618011524359</c:v>
                </c:pt>
                <c:pt idx="650">
                  <c:v>1.5157970289874716</c:v>
                </c:pt>
                <c:pt idx="651">
                  <c:v>1.5180321362508429</c:v>
                </c:pt>
                <c:pt idx="652">
                  <c:v>1.5202671223447488</c:v>
                </c:pt>
                <c:pt idx="653">
                  <c:v>1.5225019866707299</c:v>
                </c:pt>
                <c:pt idx="654">
                  <c:v>1.524736728629664</c:v>
                </c:pt>
                <c:pt idx="655">
                  <c:v>1.5269713476217628</c:v>
                </c:pt>
                <c:pt idx="656">
                  <c:v>1.5292058430465671</c:v>
                </c:pt>
                <c:pt idx="657">
                  <c:v>1.5314402143029437</c:v>
                </c:pt>
                <c:pt idx="658">
                  <c:v>1.5336744607890811</c:v>
                </c:pt>
                <c:pt idx="659">
                  <c:v>1.5359085819024856</c:v>
                </c:pt>
                <c:pt idx="660">
                  <c:v>1.538142577039977</c:v>
                </c:pt>
                <c:pt idx="661">
                  <c:v>1.5403764455976856</c:v>
                </c:pt>
                <c:pt idx="662">
                  <c:v>1.5426101869710469</c:v>
                </c:pt>
                <c:pt idx="663">
                  <c:v>1.5448438005547984</c:v>
                </c:pt>
                <c:pt idx="664">
                  <c:v>1.5470772857429755</c:v>
                </c:pt>
                <c:pt idx="665">
                  <c:v>1.5493106419289073</c:v>
                </c:pt>
                <c:pt idx="666">
                  <c:v>1.5515438685052125</c:v>
                </c:pt>
                <c:pt idx="667">
                  <c:v>1.5537769648637956</c:v>
                </c:pt>
                <c:pt idx="668">
                  <c:v>1.5560099303958423</c:v>
                </c:pt>
                <c:pt idx="669">
                  <c:v>1.5582427644918164</c:v>
                </c:pt>
                <c:pt idx="670">
                  <c:v>1.5604754665414544</c:v>
                </c:pt>
                <c:pt idx="671">
                  <c:v>1.562708035933762</c:v>
                </c:pt>
                <c:pt idx="672">
                  <c:v>1.5649404720570101</c:v>
                </c:pt>
                <c:pt idx="673">
                  <c:v>1.5671727742987309</c:v>
                </c:pt>
                <c:pt idx="674">
                  <c:v>1.5694049420457126</c:v>
                </c:pt>
                <c:pt idx="675">
                  <c:v>1.5716369746839962</c:v>
                </c:pt>
                <c:pt idx="676">
                  <c:v>1.5738688715988713</c:v>
                </c:pt>
                <c:pt idx="677">
                  <c:v>1.5761006321748712</c:v>
                </c:pt>
                <c:pt idx="678">
                  <c:v>1.5783322557957689</c:v>
                </c:pt>
                <c:pt idx="679">
                  <c:v>1.5805637418445733</c:v>
                </c:pt>
                <c:pt idx="680">
                  <c:v>1.5827950897035246</c:v>
                </c:pt>
                <c:pt idx="681">
                  <c:v>1.58502629875409</c:v>
                </c:pt>
                <c:pt idx="682">
                  <c:v>1.5872573683769593</c:v>
                </c:pt>
                <c:pt idx="683">
                  <c:v>1.5894882979520411</c:v>
                </c:pt>
                <c:pt idx="684">
                  <c:v>1.5917190868584572</c:v>
                </c:pt>
                <c:pt idx="685">
                  <c:v>1.5939497344745401</c:v>
                </c:pt>
                <c:pt idx="686">
                  <c:v>1.5961802401778271</c:v>
                </c:pt>
                <c:pt idx="687">
                  <c:v>1.5984106033450565</c:v>
                </c:pt>
                <c:pt idx="688">
                  <c:v>1.600640823352163</c:v>
                </c:pt>
                <c:pt idx="689">
                  <c:v>1.6028708995742738</c:v>
                </c:pt>
                <c:pt idx="690">
                  <c:v>1.6051008313857034</c:v>
                </c:pt>
                <c:pt idx="691">
                  <c:v>1.6073306181599498</c:v>
                </c:pt>
                <c:pt idx="692">
                  <c:v>1.6095602592696898</c:v>
                </c:pt>
                <c:pt idx="693">
                  <c:v>1.6117897540867743</c:v>
                </c:pt>
                <c:pt idx="694">
                  <c:v>1.6140191019822236</c:v>
                </c:pt>
                <c:pt idx="695">
                  <c:v>1.616248302326224</c:v>
                </c:pt>
                <c:pt idx="696">
                  <c:v>1.6184773544881219</c:v>
                </c:pt>
                <c:pt idx="697">
                  <c:v>1.62070625783642</c:v>
                </c:pt>
                <c:pt idx="698">
                  <c:v>1.6229350117387724</c:v>
                </c:pt>
                <c:pt idx="699">
                  <c:v>1.6251636155619804</c:v>
                </c:pt>
                <c:pt idx="700">
                  <c:v>1.6273920686719872</c:v>
                </c:pt>
                <c:pt idx="701">
                  <c:v>1.6296203704338741</c:v>
                </c:pt>
                <c:pt idx="702">
                  <c:v>1.6318485202118551</c:v>
                </c:pt>
                <c:pt idx="703">
                  <c:v>1.6340765173692726</c:v>
                </c:pt>
                <c:pt idx="704">
                  <c:v>1.6363043612685928</c:v>
                </c:pt>
                <c:pt idx="705">
                  <c:v>1.6385320512714006</c:v>
                </c:pt>
                <c:pt idx="706">
                  <c:v>1.6407595867383953</c:v>
                </c:pt>
                <c:pt idx="707">
                  <c:v>1.6429869670293853</c:v>
                </c:pt>
                <c:pt idx="708">
                  <c:v>1.6452141915032841</c:v>
                </c:pt>
                <c:pt idx="709">
                  <c:v>1.6474412595181047</c:v>
                </c:pt>
                <c:pt idx="710">
                  <c:v>1.6496681704309555</c:v>
                </c:pt>
                <c:pt idx="711">
                  <c:v>1.6518949235980349</c:v>
                </c:pt>
                <c:pt idx="712">
                  <c:v>1.6541215183746267</c:v>
                </c:pt>
                <c:pt idx="713">
                  <c:v>1.6563479541150952</c:v>
                </c:pt>
                <c:pt idx="714">
                  <c:v>1.6585742301728803</c:v>
                </c:pt>
                <c:pt idx="715">
                  <c:v>1.6608003459004925</c:v>
                </c:pt>
                <c:pt idx="716">
                  <c:v>1.6630263006495083</c:v>
                </c:pt>
                <c:pt idx="717">
                  <c:v>1.6652520937705646</c:v>
                </c:pt>
                <c:pt idx="718">
                  <c:v>1.6674777246133545</c:v>
                </c:pt>
                <c:pt idx="719">
                  <c:v>1.6697031925266219</c:v>
                </c:pt>
                <c:pt idx="720">
                  <c:v>1.6719284968581563</c:v>
                </c:pt>
                <c:pt idx="721">
                  <c:v>1.6741536369547878</c:v>
                </c:pt>
                <c:pt idx="722">
                  <c:v>1.6763786121623827</c:v>
                </c:pt>
                <c:pt idx="723">
                  <c:v>1.6786034218258374</c:v>
                </c:pt>
                <c:pt idx="724">
                  <c:v>1.6808280652890739</c:v>
                </c:pt>
                <c:pt idx="725">
                  <c:v>1.6830525418950348</c:v>
                </c:pt>
                <c:pt idx="726">
                  <c:v>1.6852768509856779</c:v>
                </c:pt>
                <c:pt idx="727">
                  <c:v>1.6875009919019708</c:v>
                </c:pt>
                <c:pt idx="728">
                  <c:v>1.6897249639838858</c:v>
                </c:pt>
                <c:pt idx="729">
                  <c:v>1.6919487665703954</c:v>
                </c:pt>
                <c:pt idx="730">
                  <c:v>1.6941723989994659</c:v>
                </c:pt>
                <c:pt idx="731">
                  <c:v>1.6963958606080529</c:v>
                </c:pt>
                <c:pt idx="732">
                  <c:v>1.698619150732096</c:v>
                </c:pt>
                <c:pt idx="733">
                  <c:v>1.700842268706513</c:v>
                </c:pt>
                <c:pt idx="734">
                  <c:v>1.7030652138651949</c:v>
                </c:pt>
                <c:pt idx="735">
                  <c:v>1.7052879855410008</c:v>
                </c:pt>
                <c:pt idx="736">
                  <c:v>1.707510583065752</c:v>
                </c:pt>
                <c:pt idx="737">
                  <c:v>1.7097580126887582</c:v>
                </c:pt>
                <c:pt idx="738">
                  <c:v>1.7120078517059847</c:v>
                </c:pt>
                <c:pt idx="739">
                  <c:v>1.7142601207909929</c:v>
                </c:pt>
                <c:pt idx="740">
                  <c:v>1.7165148405004058</c:v>
                </c:pt>
                <c:pt idx="741">
                  <c:v>1.71877203128009</c:v>
                </c:pt>
                <c:pt idx="742">
                  <c:v>1.7210317134711541</c:v>
                </c:pt>
                <c:pt idx="743">
                  <c:v>1.7232939073157729</c:v>
                </c:pt>
                <c:pt idx="744">
                  <c:v>1.7255586329628418</c:v>
                </c:pt>
                <c:pt idx="745">
                  <c:v>1.727825910473469</c:v>
                </c:pt>
                <c:pt idx="746">
                  <c:v>1.7300957598263109</c:v>
                </c:pt>
                <c:pt idx="747">
                  <c:v>1.7323682009227555</c:v>
                </c:pt>
                <c:pt idx="748">
                  <c:v>1.7346432535919605</c:v>
                </c:pt>
                <c:pt idx="749">
                  <c:v>1.7369209375957511</c:v>
                </c:pt>
                <c:pt idx="750">
                  <c:v>1.7392012726333814</c:v>
                </c:pt>
                <c:pt idx="751">
                  <c:v>1.7414842783461659</c:v>
                </c:pt>
                <c:pt idx="752">
                  <c:v>1.7437699743219846</c:v>
                </c:pt>
                <c:pt idx="753">
                  <c:v>1.7460583800996659</c:v>
                </c:pt>
                <c:pt idx="754">
                  <c:v>1.7483495151732535</c:v>
                </c:pt>
                <c:pt idx="755">
                  <c:v>1.7506433989961594</c:v>
                </c:pt>
                <c:pt idx="756">
                  <c:v>1.752940050985208</c:v>
                </c:pt>
                <c:pt idx="757">
                  <c:v>1.7552394905245747</c:v>
                </c:pt>
                <c:pt idx="758">
                  <c:v>1.7575417369696233</c:v>
                </c:pt>
                <c:pt idx="759">
                  <c:v>1.7598468096506461</c:v>
                </c:pt>
                <c:pt idx="760">
                  <c:v>1.7621547278765075</c:v>
                </c:pt>
                <c:pt idx="761">
                  <c:v>1.764465510938199</c:v>
                </c:pt>
                <c:pt idx="762">
                  <c:v>1.7667791781123046</c:v>
                </c:pt>
                <c:pt idx="763">
                  <c:v>1.7690957486643819</c:v>
                </c:pt>
                <c:pt idx="764">
                  <c:v>1.7714152418522615</c:v>
                </c:pt>
                <c:pt idx="765">
                  <c:v>1.7737376769292672</c:v>
                </c:pt>
                <c:pt idx="766">
                  <c:v>1.7760630731473601</c:v>
                </c:pt>
                <c:pt idx="767">
                  <c:v>1.7783914497602096</c:v>
                </c:pt>
                <c:pt idx="768">
                  <c:v>1.7807228260261925</c:v>
                </c:pt>
                <c:pt idx="769">
                  <c:v>1.7830572212113251</c:v>
                </c:pt>
                <c:pt idx="770">
                  <c:v>1.7853946545921286</c:v>
                </c:pt>
                <c:pt idx="771">
                  <c:v>1.7877351454584305</c:v>
                </c:pt>
                <c:pt idx="772">
                  <c:v>1.7900787131161056</c:v>
                </c:pt>
                <c:pt idx="773">
                  <c:v>1.7924253768897567</c:v>
                </c:pt>
                <c:pt idx="774">
                  <c:v>1.7947751561253398</c:v>
                </c:pt>
                <c:pt idx="775">
                  <c:v>1.7971280701927326</c:v>
                </c:pt>
                <c:pt idx="776">
                  <c:v>1.7994841384882507</c:v>
                </c:pt>
                <c:pt idx="777">
                  <c:v>1.801843380437113</c:v>
                </c:pt>
                <c:pt idx="778">
                  <c:v>1.8042058154958567</c:v>
                </c:pt>
                <c:pt idx="779">
                  <c:v>1.8065714631547061</c:v>
                </c:pt>
                <c:pt idx="780">
                  <c:v>1.8089403429398945</c:v>
                </c:pt>
                <c:pt idx="781">
                  <c:v>1.8113124744159426</c:v>
                </c:pt>
                <c:pt idx="782">
                  <c:v>1.8136878771878939</c:v>
                </c:pt>
                <c:pt idx="783">
                  <c:v>1.81606657090351</c:v>
                </c:pt>
                <c:pt idx="784">
                  <c:v>1.8184485752554245</c:v>
                </c:pt>
                <c:pt idx="785">
                  <c:v>1.8208339099832618</c:v>
                </c:pt>
                <c:pt idx="786">
                  <c:v>1.8232225948757161</c:v>
                </c:pt>
                <c:pt idx="787">
                  <c:v>1.8256146497725982</c:v>
                </c:pt>
                <c:pt idx="788">
                  <c:v>1.828010094566846</c:v>
                </c:pt>
                <c:pt idx="789">
                  <c:v>1.8304089492065037</c:v>
                </c:pt>
                <c:pt idx="790">
                  <c:v>1.8328112336966693</c:v>
                </c:pt>
                <c:pt idx="791">
                  <c:v>1.8352169681014125</c:v>
                </c:pt>
                <c:pt idx="792">
                  <c:v>1.8376261725456622</c:v>
                </c:pt>
                <c:pt idx="793">
                  <c:v>1.8400388672170673</c:v>
                </c:pt>
                <c:pt idx="794">
                  <c:v>1.8424550723678315</c:v>
                </c:pt>
                <c:pt idx="795">
                  <c:v>1.8448748083165198</c:v>
                </c:pt>
                <c:pt idx="796">
                  <c:v>1.8472980954498437</c:v>
                </c:pt>
                <c:pt idx="797">
                  <c:v>1.8497249542244194</c:v>
                </c:pt>
                <c:pt idx="798">
                  <c:v>1.8521554051685063</c:v>
                </c:pt>
                <c:pt idx="799">
                  <c:v>1.8545894688837221</c:v>
                </c:pt>
                <c:pt idx="800">
                  <c:v>1.857027166046737</c:v>
                </c:pt>
                <c:pt idx="801">
                  <c:v>1.8594685174109493</c:v>
                </c:pt>
                <c:pt idx="802">
                  <c:v>1.8619135438081404</c:v>
                </c:pt>
                <c:pt idx="803">
                  <c:v>1.8643622661501129</c:v>
                </c:pt>
                <c:pt idx="804">
                  <c:v>1.8668147054303101</c:v>
                </c:pt>
                <c:pt idx="805">
                  <c:v>1.8692708827254203</c:v>
                </c:pt>
                <c:pt idx="806">
                  <c:v>1.8717308191969635</c:v>
                </c:pt>
                <c:pt idx="807">
                  <c:v>1.8741945360928651</c:v>
                </c:pt>
                <c:pt idx="808">
                  <c:v>1.8766620547490134</c:v>
                </c:pt>
                <c:pt idx="809">
                  <c:v>1.8791333965908046</c:v>
                </c:pt>
                <c:pt idx="810">
                  <c:v>1.8816085831346741</c:v>
                </c:pt>
                <c:pt idx="811">
                  <c:v>1.8840876359896164</c:v>
                </c:pt>
                <c:pt idx="812">
                  <c:v>1.8865705768586922</c:v>
                </c:pt>
                <c:pt idx="813">
                  <c:v>1.8890574275405256</c:v>
                </c:pt>
                <c:pt idx="814">
                  <c:v>1.8915482099307901</c:v>
                </c:pt>
                <c:pt idx="815">
                  <c:v>1.8940429460236852</c:v>
                </c:pt>
                <c:pt idx="816">
                  <c:v>1.8965416579134038</c:v>
                </c:pt>
                <c:pt idx="817">
                  <c:v>1.899044367795591</c:v>
                </c:pt>
                <c:pt idx="818">
                  <c:v>1.9015510979687946</c:v>
                </c:pt>
                <c:pt idx="819">
                  <c:v>1.9040618708359076</c:v>
                </c:pt>
                <c:pt idx="820">
                  <c:v>1.9065767089056052</c:v>
                </c:pt>
                <c:pt idx="821">
                  <c:v>1.9090956347937731</c:v>
                </c:pt>
                <c:pt idx="822">
                  <c:v>1.9116186712249323</c:v>
                </c:pt>
                <c:pt idx="823">
                  <c:v>1.9141458410336565</c:v>
                </c:pt>
                <c:pt idx="824">
                  <c:v>1.9166771671659846</c:v>
                </c:pt>
                <c:pt idx="825">
                  <c:v>1.9192126726808296</c:v>
                </c:pt>
                <c:pt idx="826">
                  <c:v>1.9217523807513825</c:v>
                </c:pt>
                <c:pt idx="827">
                  <c:v>1.9242963146665135</c:v>
                </c:pt>
                <c:pt idx="828">
                  <c:v>1.9268444978321682</c:v>
                </c:pt>
                <c:pt idx="829">
                  <c:v>1.9293969537727631</c:v>
                </c:pt>
                <c:pt idx="830">
                  <c:v>1.9319537061325769</c:v>
                </c:pt>
                <c:pt idx="831">
                  <c:v>1.9345147786771411</c:v>
                </c:pt>
                <c:pt idx="832">
                  <c:v>1.9370801952946277</c:v>
                </c:pt>
                <c:pt idx="833">
                  <c:v>1.9396499799972373</c:v>
                </c:pt>
                <c:pt idx="834">
                  <c:v>1.9422241569225847</c:v>
                </c:pt>
                <c:pt idx="835">
                  <c:v>1.9439906938054712</c:v>
                </c:pt>
                <c:pt idx="836">
                  <c:v>1.9457572306883577</c:v>
                </c:pt>
                <c:pt idx="837">
                  <c:v>1.9475237675712442</c:v>
                </c:pt>
                <c:pt idx="838">
                  <c:v>1.9492903044541308</c:v>
                </c:pt>
                <c:pt idx="839">
                  <c:v>1.9510568413370173</c:v>
                </c:pt>
                <c:pt idx="840">
                  <c:v>1.9528233782199038</c:v>
                </c:pt>
                <c:pt idx="841">
                  <c:v>1.9545899151027903</c:v>
                </c:pt>
                <c:pt idx="842">
                  <c:v>1.9563564519856769</c:v>
                </c:pt>
                <c:pt idx="843">
                  <c:v>1.9581229888685634</c:v>
                </c:pt>
                <c:pt idx="844">
                  <c:v>1.9598895257514499</c:v>
                </c:pt>
                <c:pt idx="845">
                  <c:v>1.9616560626343365</c:v>
                </c:pt>
                <c:pt idx="846">
                  <c:v>1.963422599517223</c:v>
                </c:pt>
                <c:pt idx="847">
                  <c:v>1.9651891364001095</c:v>
                </c:pt>
                <c:pt idx="848">
                  <c:v>1.966955673282996</c:v>
                </c:pt>
                <c:pt idx="849">
                  <c:v>1.9687222101658826</c:v>
                </c:pt>
                <c:pt idx="850">
                  <c:v>1.9704887470487691</c:v>
                </c:pt>
                <c:pt idx="851">
                  <c:v>1.9722552839316556</c:v>
                </c:pt>
                <c:pt idx="852">
                  <c:v>1.9740218208145421</c:v>
                </c:pt>
                <c:pt idx="853">
                  <c:v>1.9757883576974287</c:v>
                </c:pt>
                <c:pt idx="854">
                  <c:v>1.9775548945803152</c:v>
                </c:pt>
                <c:pt idx="855">
                  <c:v>1.9793214314632017</c:v>
                </c:pt>
                <c:pt idx="856">
                  <c:v>1.9810879683460882</c:v>
                </c:pt>
                <c:pt idx="857">
                  <c:v>1.9828545052289748</c:v>
                </c:pt>
                <c:pt idx="858">
                  <c:v>1.9846210421118613</c:v>
                </c:pt>
                <c:pt idx="859">
                  <c:v>1.9863875789947478</c:v>
                </c:pt>
                <c:pt idx="860">
                  <c:v>1.9881541158776344</c:v>
                </c:pt>
                <c:pt idx="861">
                  <c:v>1.9899206527605209</c:v>
                </c:pt>
                <c:pt idx="862">
                  <c:v>1.9916871896434074</c:v>
                </c:pt>
                <c:pt idx="863">
                  <c:v>1.9934537265262939</c:v>
                </c:pt>
                <c:pt idx="864">
                  <c:v>1.9952202634091805</c:v>
                </c:pt>
                <c:pt idx="865">
                  <c:v>1.996986800292067</c:v>
                </c:pt>
                <c:pt idx="866">
                  <c:v>1.9987533371749535</c:v>
                </c:pt>
                <c:pt idx="867">
                  <c:v>2.00051987405784</c:v>
                </c:pt>
                <c:pt idx="868">
                  <c:v>2.0022864109407266</c:v>
                </c:pt>
                <c:pt idx="869">
                  <c:v>2.0040529478236131</c:v>
                </c:pt>
                <c:pt idx="870">
                  <c:v>2.0058194847064996</c:v>
                </c:pt>
                <c:pt idx="871">
                  <c:v>2.0075860215893861</c:v>
                </c:pt>
                <c:pt idx="872">
                  <c:v>2.0093525584722727</c:v>
                </c:pt>
                <c:pt idx="873">
                  <c:v>2.0111190953551592</c:v>
                </c:pt>
                <c:pt idx="874">
                  <c:v>2.0128856322380457</c:v>
                </c:pt>
                <c:pt idx="875">
                  <c:v>2.0146521691209323</c:v>
                </c:pt>
                <c:pt idx="876">
                  <c:v>2.0164187060038188</c:v>
                </c:pt>
                <c:pt idx="877">
                  <c:v>2.0181852428867053</c:v>
                </c:pt>
                <c:pt idx="878">
                  <c:v>2.0199517797695918</c:v>
                </c:pt>
                <c:pt idx="879">
                  <c:v>2.0217183166524784</c:v>
                </c:pt>
                <c:pt idx="880">
                  <c:v>2.0234848535353649</c:v>
                </c:pt>
                <c:pt idx="881">
                  <c:v>2.0252513904182514</c:v>
                </c:pt>
                <c:pt idx="882">
                  <c:v>2.0270179273011379</c:v>
                </c:pt>
              </c:numCache>
            </c:numRef>
          </c:xVal>
          <c:yVal>
            <c:numRef>
              <c:f>Pressure!$AD$28:$AD$910</c:f>
              <c:numCache>
                <c:formatCode>0.0</c:formatCode>
                <c:ptCount val="883"/>
                <c:pt idx="0">
                  <c:v>0</c:v>
                </c:pt>
                <c:pt idx="1">
                  <c:v>271.45187175779881</c:v>
                </c:pt>
                <c:pt idx="2">
                  <c:v>374.28159315584139</c:v>
                </c:pt>
                <c:pt idx="3">
                  <c:v>415.56476774687553</c:v>
                </c:pt>
                <c:pt idx="4">
                  <c:v>448.70749185141113</c:v>
                </c:pt>
                <c:pt idx="5">
                  <c:v>475.80369234263088</c:v>
                </c:pt>
                <c:pt idx="6">
                  <c:v>498.25762772090218</c:v>
                </c:pt>
                <c:pt idx="7">
                  <c:v>517.06608654843649</c:v>
                </c:pt>
                <c:pt idx="8">
                  <c:v>532.96473142137052</c:v>
                </c:pt>
                <c:pt idx="9">
                  <c:v>546.5120238776442</c:v>
                </c:pt>
                <c:pt idx="10">
                  <c:v>558.14097873318724</c:v>
                </c:pt>
                <c:pt idx="11">
                  <c:v>568.19288301029098</c:v>
                </c:pt>
                <c:pt idx="12">
                  <c:v>576.94022951697491</c:v>
                </c:pt>
                <c:pt idx="13">
                  <c:v>584.60286136376078</c:v>
                </c:pt>
                <c:pt idx="14">
                  <c:v>591.35966077576495</c:v>
                </c:pt>
                <c:pt idx="15">
                  <c:v>597.35721051604594</c:v>
                </c:pt>
                <c:pt idx="16">
                  <c:v>602.71633750449098</c:v>
                </c:pt>
                <c:pt idx="17">
                  <c:v>607.53713769044111</c:v>
                </c:pt>
                <c:pt idx="18">
                  <c:v>611.90288833007673</c:v>
                </c:pt>
                <c:pt idx="19">
                  <c:v>615.88313006619808</c:v>
                </c:pt>
                <c:pt idx="20">
                  <c:v>619.53611956364148</c:v>
                </c:pt>
                <c:pt idx="21">
                  <c:v>622.91079822480356</c:v>
                </c:pt>
                <c:pt idx="22">
                  <c:v>626.04838432819315</c:v>
                </c:pt>
                <c:pt idx="23">
                  <c:v>628.98366899249618</c:v>
                </c:pt>
                <c:pt idx="24">
                  <c:v>631.7460770288825</c:v>
                </c:pt>
                <c:pt idx="25">
                  <c:v>634.36053962403241</c:v>
                </c:pt>
                <c:pt idx="26">
                  <c:v>636.84821534111359</c:v>
                </c:pt>
                <c:pt idx="27">
                  <c:v>639.22708807698234</c:v>
                </c:pt>
                <c:pt idx="28">
                  <c:v>641.51246464867927</c:v>
                </c:pt>
                <c:pt idx="29">
                  <c:v>643.71739010153419</c:v>
                </c:pt>
                <c:pt idx="30">
                  <c:v>645.85299527425366</c:v>
                </c:pt>
                <c:pt idx="31">
                  <c:v>647.92878837289231</c:v>
                </c:pt>
                <c:pt idx="32">
                  <c:v>649.95290010652241</c:v>
                </c:pt>
                <c:pt idx="33">
                  <c:v>651.932290188715</c:v>
                </c:pt>
                <c:pt idx="34">
                  <c:v>653.87292160768516</c:v>
                </c:pt>
                <c:pt idx="35">
                  <c:v>655.77990794021775</c:v>
                </c:pt>
                <c:pt idx="36">
                  <c:v>657.65763806931704</c:v>
                </c:pt>
                <c:pt idx="37">
                  <c:v>659.50988192285149</c:v>
                </c:pt>
                <c:pt idx="38">
                  <c:v>661.33988023884342</c:v>
                </c:pt>
                <c:pt idx="39">
                  <c:v>663.15042086690653</c:v>
                </c:pt>
                <c:pt idx="40">
                  <c:v>664.94390369997961</c:v>
                </c:pt>
                <c:pt idx="41">
                  <c:v>666.72239599363263</c:v>
                </c:pt>
                <c:pt idx="42">
                  <c:v>668.48767954427115</c:v>
                </c:pt>
                <c:pt idx="43">
                  <c:v>670.24129096634886</c:v>
                </c:pt>
                <c:pt idx="44">
                  <c:v>671.98455611048394</c:v>
                </c:pt>
                <c:pt idx="45">
                  <c:v>673.7186195028404</c:v>
                </c:pt>
                <c:pt idx="46">
                  <c:v>675.44446954827151</c:v>
                </c:pt>
                <c:pt idx="47">
                  <c:v>677.16296012617954</c:v>
                </c:pt>
                <c:pt idx="48">
                  <c:v>678.8748291106109</c:v>
                </c:pt>
                <c:pt idx="49">
                  <c:v>680.58071426581785</c:v>
                </c:pt>
                <c:pt idx="50">
                  <c:v>682.2811669008936</c:v>
                </c:pt>
                <c:pt idx="51">
                  <c:v>683.97666360727419</c:v>
                </c:pt>
                <c:pt idx="52">
                  <c:v>685.66761635780699</c:v>
                </c:pt>
                <c:pt idx="53">
                  <c:v>687.35438120125661</c:v>
                </c:pt>
                <c:pt idx="54">
                  <c:v>689.03726575362634</c:v>
                </c:pt>
                <c:pt idx="55">
                  <c:v>690.71653565797726</c:v>
                </c:pt>
                <c:pt idx="56">
                  <c:v>692.39242015791308</c:v>
                </c:pt>
                <c:pt idx="57">
                  <c:v>694.06511691097774</c:v>
                </c:pt>
                <c:pt idx="58">
                  <c:v>695.73479614668543</c:v>
                </c:pt>
                <c:pt idx="59">
                  <c:v>697.4016042630293</c:v>
                </c:pt>
                <c:pt idx="60">
                  <c:v>699.06566693802961</c:v>
                </c:pt>
                <c:pt idx="61">
                  <c:v>700.72709182370738</c:v>
                </c:pt>
                <c:pt idx="62">
                  <c:v>702.38597088059248</c:v>
                </c:pt>
                <c:pt idx="63">
                  <c:v>704.04238240156974</c:v>
                </c:pt>
                <c:pt idx="64">
                  <c:v>705.6963927679119</c:v>
                </c:pt>
                <c:pt idx="65">
                  <c:v>707.34805797359729</c:v>
                </c:pt>
                <c:pt idx="66">
                  <c:v>708.99742494934821</c:v>
                </c:pt>
                <c:pt idx="67">
                  <c:v>710.64453271430841</c:v>
                </c:pt>
                <c:pt idx="68">
                  <c:v>712.2894133766988</c:v>
                </c:pt>
                <c:pt idx="69">
                  <c:v>713.93209300547869</c:v>
                </c:pt>
                <c:pt idx="70">
                  <c:v>715.57259238922063</c:v>
                </c:pt>
                <c:pt idx="71">
                  <c:v>717.21092769765914</c:v>
                </c:pt>
                <c:pt idx="72">
                  <c:v>718.847111057966</c:v>
                </c:pt>
                <c:pt idx="73">
                  <c:v>720.48115105829345</c:v>
                </c:pt>
                <c:pt idx="74">
                  <c:v>722.11305318657492</c:v>
                </c:pt>
                <c:pt idx="75">
                  <c:v>723.74282021465797</c:v>
                </c:pt>
                <c:pt idx="76">
                  <c:v>725.37045253341739</c:v>
                </c:pt>
                <c:pt idx="77">
                  <c:v>726.99594844597152</c:v>
                </c:pt>
                <c:pt idx="78">
                  <c:v>728.61930442461585</c:v>
                </c:pt>
                <c:pt idx="79">
                  <c:v>730.24051533544059</c:v>
                </c:pt>
                <c:pt idx="80">
                  <c:v>731.85957463506008</c:v>
                </c:pt>
                <c:pt idx="81">
                  <c:v>733.4764745434104</c:v>
                </c:pt>
                <c:pt idx="82">
                  <c:v>735.09120619496605</c:v>
                </c:pt>
                <c:pt idx="83">
                  <c:v>736.70375977192805</c:v>
                </c:pt>
                <c:pt idx="84">
                  <c:v>738.314124620504</c:v>
                </c:pt>
                <c:pt idx="85">
                  <c:v>739.92228935349203</c:v>
                </c:pt>
                <c:pt idx="86">
                  <c:v>741.5282419404258</c:v>
                </c:pt>
                <c:pt idx="87">
                  <c:v>743.13196978714711</c:v>
                </c:pt>
                <c:pt idx="88">
                  <c:v>744.73345980489955</c:v>
                </c:pt>
                <c:pt idx="89">
                  <c:v>746.33269847242207</c:v>
                </c:pt>
                <c:pt idx="90">
                  <c:v>747.92967188946307</c:v>
                </c:pt>
                <c:pt idx="91">
                  <c:v>749.52436582506652</c:v>
                </c:pt>
                <c:pt idx="92">
                  <c:v>751.11676575923343</c:v>
                </c:pt>
                <c:pt idx="93">
                  <c:v>752.70685692024028</c:v>
                </c:pt>
                <c:pt idx="94">
                  <c:v>754.29462431739171</c:v>
                </c:pt>
                <c:pt idx="95">
                  <c:v>755.88005277000309</c:v>
                </c:pt>
                <c:pt idx="96">
                  <c:v>757.46312693297159</c:v>
                </c:pt>
                <c:pt idx="97">
                  <c:v>759.04383131950601</c:v>
                </c:pt>
                <c:pt idx="98">
                  <c:v>760.62215032117069</c:v>
                </c:pt>
                <c:pt idx="99">
                  <c:v>762.19806822554642</c:v>
                </c:pt>
                <c:pt idx="100">
                  <c:v>763.77156923205268</c:v>
                </c:pt>
                <c:pt idx="101">
                  <c:v>765.34263746580302</c:v>
                </c:pt>
                <c:pt idx="102">
                  <c:v>766.91125699013924</c:v>
                </c:pt>
                <c:pt idx="103">
                  <c:v>768.47741181758352</c:v>
                </c:pt>
                <c:pt idx="104">
                  <c:v>770.04108591918089</c:v>
                </c:pt>
                <c:pt idx="105">
                  <c:v>771.60226323384063</c:v>
                </c:pt>
                <c:pt idx="106">
                  <c:v>773.16092767550151</c:v>
                </c:pt>
                <c:pt idx="107">
                  <c:v>774.71706314030519</c:v>
                </c:pt>
                <c:pt idx="108">
                  <c:v>776.2706535124488</c:v>
                </c:pt>
                <c:pt idx="109">
                  <c:v>777.82168266983831</c:v>
                </c:pt>
                <c:pt idx="110">
                  <c:v>779.370134488742</c:v>
                </c:pt>
                <c:pt idx="111">
                  <c:v>780.91599284834149</c:v>
                </c:pt>
                <c:pt idx="112">
                  <c:v>782.45924163432608</c:v>
                </c:pt>
                <c:pt idx="113">
                  <c:v>783.99986474260425</c:v>
                </c:pt>
                <c:pt idx="114">
                  <c:v>785.53784608212777</c:v>
                </c:pt>
                <c:pt idx="115">
                  <c:v>787.07316957783166</c:v>
                </c:pt>
                <c:pt idx="116">
                  <c:v>788.60581917304285</c:v>
                </c:pt>
                <c:pt idx="117">
                  <c:v>790.13577883169501</c:v>
                </c:pt>
                <c:pt idx="118">
                  <c:v>791.66303254033244</c:v>
                </c:pt>
                <c:pt idx="119">
                  <c:v>793.18756430980829</c:v>
                </c:pt>
                <c:pt idx="120">
                  <c:v>794.70935817691009</c:v>
                </c:pt>
                <c:pt idx="121">
                  <c:v>796.22839820594788</c:v>
                </c:pt>
                <c:pt idx="122">
                  <c:v>797.74466848984196</c:v>
                </c:pt>
                <c:pt idx="123">
                  <c:v>799.25815315142211</c:v>
                </c:pt>
                <c:pt idx="124">
                  <c:v>800.76883634438377</c:v>
                </c:pt>
                <c:pt idx="125">
                  <c:v>802.27670225431268</c:v>
                </c:pt>
                <c:pt idx="126">
                  <c:v>803.78173509945759</c:v>
                </c:pt>
                <c:pt idx="127">
                  <c:v>805.28391913171481</c:v>
                </c:pt>
                <c:pt idx="128">
                  <c:v>806.78323863703281</c:v>
                </c:pt>
                <c:pt idx="129">
                  <c:v>808.27967793626817</c:v>
                </c:pt>
                <c:pt idx="130">
                  <c:v>809.77322138570173</c:v>
                </c:pt>
                <c:pt idx="131">
                  <c:v>811.26385337756017</c:v>
                </c:pt>
                <c:pt idx="132">
                  <c:v>812.75155834048144</c:v>
                </c:pt>
                <c:pt idx="133">
                  <c:v>814.23632074003581</c:v>
                </c:pt>
                <c:pt idx="134">
                  <c:v>815.71812507900552</c:v>
                </c:pt>
                <c:pt idx="135">
                  <c:v>817.19695589788421</c:v>
                </c:pt>
                <c:pt idx="136">
                  <c:v>818.67279777508429</c:v>
                </c:pt>
                <c:pt idx="137">
                  <c:v>820.14563532731006</c:v>
                </c:pt>
                <c:pt idx="138">
                  <c:v>821.61545320985863</c:v>
                </c:pt>
                <c:pt idx="139">
                  <c:v>823.0822361170068</c:v>
                </c:pt>
                <c:pt idx="140">
                  <c:v>824.54596878190841</c:v>
                </c:pt>
                <c:pt idx="141">
                  <c:v>826.00663597716311</c:v>
                </c:pt>
                <c:pt idx="142">
                  <c:v>827.46422251480237</c:v>
                </c:pt>
                <c:pt idx="143">
                  <c:v>828.91871324666522</c:v>
                </c:pt>
                <c:pt idx="144">
                  <c:v>830.37009306443167</c:v>
                </c:pt>
                <c:pt idx="145">
                  <c:v>831.81834689997436</c:v>
                </c:pt>
                <c:pt idx="146">
                  <c:v>833.26345972519528</c:v>
                </c:pt>
                <c:pt idx="147">
                  <c:v>834.7054165525193</c:v>
                </c:pt>
                <c:pt idx="148">
                  <c:v>836.14420243486904</c:v>
                </c:pt>
                <c:pt idx="149">
                  <c:v>837.579802465841</c:v>
                </c:pt>
                <c:pt idx="150">
                  <c:v>839.01220177968628</c:v>
                </c:pt>
                <c:pt idx="151">
                  <c:v>840.44138555179643</c:v>
                </c:pt>
                <c:pt idx="152">
                  <c:v>841.86733899834883</c:v>
                </c:pt>
                <c:pt idx="153">
                  <c:v>843.29004737670436</c:v>
                </c:pt>
                <c:pt idx="154">
                  <c:v>844.70949598557172</c:v>
                </c:pt>
                <c:pt idx="155">
                  <c:v>846.12567016473361</c:v>
                </c:pt>
                <c:pt idx="156">
                  <c:v>849.49093279559304</c:v>
                </c:pt>
                <c:pt idx="157">
                  <c:v>852.07425977669948</c:v>
                </c:pt>
                <c:pt idx="158">
                  <c:v>854.08305410240121</c:v>
                </c:pt>
                <c:pt idx="159">
                  <c:v>855.66936320758703</c:v>
                </c:pt>
                <c:pt idx="160">
                  <c:v>856.94469360456276</c:v>
                </c:pt>
                <c:pt idx="161">
                  <c:v>857.99086023568339</c:v>
                </c:pt>
                <c:pt idx="162">
                  <c:v>858.86792723681117</c:v>
                </c:pt>
                <c:pt idx="163">
                  <c:v>859.62001872125916</c:v>
                </c:pt>
                <c:pt idx="164">
                  <c:v>860.27957125661044</c:v>
                </c:pt>
                <c:pt idx="165">
                  <c:v>860.87044680514498</c:v>
                </c:pt>
                <c:pt idx="166">
                  <c:v>861.41021245712989</c:v>
                </c:pt>
                <c:pt idx="167">
                  <c:v>861.91181085508515</c:v>
                </c:pt>
                <c:pt idx="168">
                  <c:v>862.38478489895999</c:v>
                </c:pt>
                <c:pt idx="169">
                  <c:v>862.83617625469481</c:v>
                </c:pt>
                <c:pt idx="170">
                  <c:v>863.27118500611903</c:v>
                </c:pt>
                <c:pt idx="171">
                  <c:v>863.69365429757761</c:v>
                </c:pt>
                <c:pt idx="172">
                  <c:v>864.10642666309593</c:v>
                </c:pt>
                <c:pt idx="173">
                  <c:v>864.51160621183556</c:v>
                </c:pt>
                <c:pt idx="174">
                  <c:v>864.91075169066517</c:v>
                </c:pt>
                <c:pt idx="175">
                  <c:v>865.30501875704385</c:v>
                </c:pt>
                <c:pt idx="176">
                  <c:v>865.69526490438</c:v>
                </c:pt>
                <c:pt idx="177">
                  <c:v>866.08212690422351</c:v>
                </c:pt>
                <c:pt idx="178">
                  <c:v>866.46607800774723</c:v>
                </c:pt>
                <c:pt idx="179">
                  <c:v>866.84747022977217</c:v>
                </c:pt>
                <c:pt idx="180">
                  <c:v>867.22656562968973</c:v>
                </c:pt>
                <c:pt idx="181">
                  <c:v>867.6035594698825</c:v>
                </c:pt>
                <c:pt idx="182">
                  <c:v>867.97859737483714</c:v>
                </c:pt>
                <c:pt idx="183">
                  <c:v>868.35178805365626</c:v>
                </c:pt>
                <c:pt idx="184">
                  <c:v>868.72321274137062</c:v>
                </c:pt>
                <c:pt idx="185">
                  <c:v>869.09293220982067</c:v>
                </c:pt>
                <c:pt idx="186">
                  <c:v>869.46099197788396</c:v>
                </c:pt>
                <c:pt idx="187">
                  <c:v>869.827426186818</c:v>
                </c:pt>
                <c:pt idx="188">
                  <c:v>870.1922604844558</c:v>
                </c:pt>
                <c:pt idx="189">
                  <c:v>870.55551417317997</c:v>
                </c:pt>
                <c:pt idx="190">
                  <c:v>870.91720181172855</c:v>
                </c:pt>
                <c:pt idx="191">
                  <c:v>871.27733440922327</c:v>
                </c:pt>
                <c:pt idx="192">
                  <c:v>871.63592031720668</c:v>
                </c:pt>
                <c:pt idx="193">
                  <c:v>871.99296589552216</c:v>
                </c:pt>
                <c:pt idx="194">
                  <c:v>872.3484760104551</c:v>
                </c:pt>
                <c:pt idx="195">
                  <c:v>872.70245440733265</c:v>
                </c:pt>
                <c:pt idx="196">
                  <c:v>873.0549039891614</c:v>
                </c:pt>
                <c:pt idx="197">
                  <c:v>873.40582702595771</c:v>
                </c:pt>
                <c:pt idx="198">
                  <c:v>873.75522531122726</c:v>
                </c:pt>
                <c:pt idx="199">
                  <c:v>874.10310027957041</c:v>
                </c:pt>
                <c:pt idx="200">
                  <c:v>874.44945309493346</c:v>
                </c:pt>
                <c:pt idx="201">
                  <c:v>874.79428471685537</c:v>
                </c:pt>
                <c:pt idx="202">
                  <c:v>875.13759595053318</c:v>
                </c:pt>
                <c:pt idx="203">
                  <c:v>875.47938748404545</c:v>
                </c:pt>
                <c:pt idx="204">
                  <c:v>875.81965991693892</c:v>
                </c:pt>
                <c:pt idx="205">
                  <c:v>876.15841378105881</c:v>
                </c:pt>
                <c:pt idx="206">
                  <c:v>876.49564955713458</c:v>
                </c:pt>
                <c:pt idx="207">
                  <c:v>876.83136768645045</c:v>
                </c:pt>
                <c:pt idx="208">
                  <c:v>877.16556858024683</c:v>
                </c:pt>
                <c:pt idx="209">
                  <c:v>877.49825262648403</c:v>
                </c:pt>
                <c:pt idx="210">
                  <c:v>877.8294201951071</c:v>
                </c:pt>
                <c:pt idx="211">
                  <c:v>878.1590716421706</c:v>
                </c:pt>
                <c:pt idx="212">
                  <c:v>878.48720731243191</c:v>
                </c:pt>
                <c:pt idx="213">
                  <c:v>878.81382754199888</c:v>
                </c:pt>
                <c:pt idx="214">
                  <c:v>879.1389326599168</c:v>
                </c:pt>
                <c:pt idx="215">
                  <c:v>879.46252298939726</c:v>
                </c:pt>
                <c:pt idx="216">
                  <c:v>879.784598848992</c:v>
                </c:pt>
                <c:pt idx="217">
                  <c:v>880.1051605531876</c:v>
                </c:pt>
                <c:pt idx="218">
                  <c:v>880.4242084129005</c:v>
                </c:pt>
                <c:pt idx="219">
                  <c:v>880.74174273626841</c:v>
                </c:pt>
                <c:pt idx="220">
                  <c:v>881.05776382860574</c:v>
                </c:pt>
                <c:pt idx="221">
                  <c:v>881.37227199285769</c:v>
                </c:pt>
                <c:pt idx="222">
                  <c:v>881.68526752977516</c:v>
                </c:pt>
                <c:pt idx="223">
                  <c:v>881.99675073797482</c:v>
                </c:pt>
                <c:pt idx="224">
                  <c:v>882.30672191419933</c:v>
                </c:pt>
                <c:pt idx="225">
                  <c:v>882.61518135323979</c:v>
                </c:pt>
                <c:pt idx="226">
                  <c:v>882.92212934814518</c:v>
                </c:pt>
                <c:pt idx="227">
                  <c:v>883.22756619016707</c:v>
                </c:pt>
                <c:pt idx="228">
                  <c:v>883.5314921689145</c:v>
                </c:pt>
                <c:pt idx="229">
                  <c:v>883.83390757236054</c:v>
                </c:pt>
                <c:pt idx="230">
                  <c:v>884.13481268663668</c:v>
                </c:pt>
                <c:pt idx="231">
                  <c:v>884.43420779643873</c:v>
                </c:pt>
                <c:pt idx="232">
                  <c:v>884.73209318476643</c:v>
                </c:pt>
                <c:pt idx="233">
                  <c:v>885.02846913306394</c:v>
                </c:pt>
                <c:pt idx="234">
                  <c:v>885.32333592114492</c:v>
                </c:pt>
                <c:pt idx="235">
                  <c:v>885.61669382727723</c:v>
                </c:pt>
                <c:pt idx="236">
                  <c:v>885.90854312812291</c:v>
                </c:pt>
                <c:pt idx="237">
                  <c:v>886.19888409884845</c:v>
                </c:pt>
                <c:pt idx="238">
                  <c:v>886.48771701297198</c:v>
                </c:pt>
                <c:pt idx="239">
                  <c:v>886.77504214255919</c:v>
                </c:pt>
                <c:pt idx="240">
                  <c:v>887.06085975798624</c:v>
                </c:pt>
                <c:pt idx="241">
                  <c:v>887.34517012819947</c:v>
                </c:pt>
                <c:pt idx="242">
                  <c:v>887.62797352057544</c:v>
                </c:pt>
                <c:pt idx="243">
                  <c:v>887.90927020095933</c:v>
                </c:pt>
                <c:pt idx="244">
                  <c:v>888.1890604336387</c:v>
                </c:pt>
                <c:pt idx="245">
                  <c:v>888.46734448136658</c:v>
                </c:pt>
                <c:pt idx="246">
                  <c:v>888.74412260537451</c:v>
                </c:pt>
                <c:pt idx="247">
                  <c:v>889.01939506544045</c:v>
                </c:pt>
                <c:pt idx="248">
                  <c:v>889.29316211968728</c:v>
                </c:pt>
                <c:pt idx="249">
                  <c:v>889.56542402482307</c:v>
                </c:pt>
                <c:pt idx="250">
                  <c:v>889.83618103602339</c:v>
                </c:pt>
                <c:pt idx="251">
                  <c:v>890.10543340687616</c:v>
                </c:pt>
                <c:pt idx="252">
                  <c:v>890.37318138952344</c:v>
                </c:pt>
                <c:pt idx="253">
                  <c:v>890.63942523462867</c:v>
                </c:pt>
                <c:pt idx="254">
                  <c:v>890.90416519126711</c:v>
                </c:pt>
                <c:pt idx="255">
                  <c:v>891.16740150708324</c:v>
                </c:pt>
                <c:pt idx="256">
                  <c:v>891.42913442822669</c:v>
                </c:pt>
                <c:pt idx="257">
                  <c:v>891.68936419920578</c:v>
                </c:pt>
                <c:pt idx="258">
                  <c:v>891.94809106321702</c:v>
                </c:pt>
                <c:pt idx="259">
                  <c:v>892.20531526192337</c:v>
                </c:pt>
                <c:pt idx="260">
                  <c:v>892.46103703539427</c:v>
                </c:pt>
                <c:pt idx="261">
                  <c:v>892.71525662232671</c:v>
                </c:pt>
                <c:pt idx="262">
                  <c:v>892.9679742598305</c:v>
                </c:pt>
                <c:pt idx="263">
                  <c:v>893.21919018368703</c:v>
                </c:pt>
                <c:pt idx="264">
                  <c:v>893.46890462799593</c:v>
                </c:pt>
                <c:pt idx="265">
                  <c:v>893.71711782555667</c:v>
                </c:pt>
                <c:pt idx="266">
                  <c:v>893.96383000757919</c:v>
                </c:pt>
                <c:pt idx="267">
                  <c:v>894.20904140387927</c:v>
                </c:pt>
                <c:pt idx="268">
                  <c:v>894.45275224275633</c:v>
                </c:pt>
                <c:pt idx="269">
                  <c:v>894.69496275101619</c:v>
                </c:pt>
                <c:pt idx="270">
                  <c:v>894.93567315404835</c:v>
                </c:pt>
                <c:pt idx="271">
                  <c:v>895.17488367578574</c:v>
                </c:pt>
                <c:pt idx="272">
                  <c:v>895.41259453867485</c:v>
                </c:pt>
                <c:pt idx="273">
                  <c:v>895.64880596371518</c:v>
                </c:pt>
                <c:pt idx="274">
                  <c:v>895.88351817039188</c:v>
                </c:pt>
                <c:pt idx="275">
                  <c:v>896.11673137682726</c:v>
                </c:pt>
                <c:pt idx="276">
                  <c:v>896.34844579961452</c:v>
                </c:pt>
                <c:pt idx="277">
                  <c:v>896.57866165397911</c:v>
                </c:pt>
                <c:pt idx="278">
                  <c:v>896.80737915363375</c:v>
                </c:pt>
                <c:pt idx="279">
                  <c:v>897.03459851084222</c:v>
                </c:pt>
                <c:pt idx="280">
                  <c:v>897.26031993646575</c:v>
                </c:pt>
                <c:pt idx="281">
                  <c:v>897.48454363989561</c:v>
                </c:pt>
                <c:pt idx="282">
                  <c:v>897.70726982910958</c:v>
                </c:pt>
                <c:pt idx="283">
                  <c:v>897.92849871063402</c:v>
                </c:pt>
                <c:pt idx="284">
                  <c:v>898.14823048951348</c:v>
                </c:pt>
                <c:pt idx="285">
                  <c:v>898.36646536944636</c:v>
                </c:pt>
                <c:pt idx="286">
                  <c:v>898.58320355265903</c:v>
                </c:pt>
                <c:pt idx="287">
                  <c:v>898.79844523993802</c:v>
                </c:pt>
                <c:pt idx="288">
                  <c:v>899.0121906306631</c:v>
                </c:pt>
                <c:pt idx="289">
                  <c:v>899.22443992275942</c:v>
                </c:pt>
                <c:pt idx="290">
                  <c:v>899.43519331279265</c:v>
                </c:pt>
                <c:pt idx="291">
                  <c:v>899.64445099583111</c:v>
                </c:pt>
                <c:pt idx="292">
                  <c:v>899.85221316557784</c:v>
                </c:pt>
                <c:pt idx="293">
                  <c:v>900.05848001429774</c:v>
                </c:pt>
                <c:pt idx="294">
                  <c:v>900.26325173284499</c:v>
                </c:pt>
                <c:pt idx="295">
                  <c:v>900.46652851065187</c:v>
                </c:pt>
                <c:pt idx="296">
                  <c:v>900.6683105357672</c:v>
                </c:pt>
                <c:pt idx="297">
                  <c:v>900.86859799480203</c:v>
                </c:pt>
                <c:pt idx="298">
                  <c:v>901.06739107298279</c:v>
                </c:pt>
                <c:pt idx="299">
                  <c:v>901.2646899540847</c:v>
                </c:pt>
                <c:pt idx="300">
                  <c:v>901.46049482055366</c:v>
                </c:pt>
                <c:pt idx="301">
                  <c:v>901.6548058533923</c:v>
                </c:pt>
                <c:pt idx="302">
                  <c:v>901.8476232322015</c:v>
                </c:pt>
                <c:pt idx="303">
                  <c:v>902.0389471351798</c:v>
                </c:pt>
                <c:pt idx="304">
                  <c:v>902.22877773913092</c:v>
                </c:pt>
                <c:pt idx="305">
                  <c:v>902.4171152194898</c:v>
                </c:pt>
                <c:pt idx="306">
                  <c:v>902.60395975027939</c:v>
                </c:pt>
                <c:pt idx="307">
                  <c:v>902.78931150411859</c:v>
                </c:pt>
                <c:pt idx="308">
                  <c:v>902.9731706522914</c:v>
                </c:pt>
                <c:pt idx="309">
                  <c:v>903.15553736459538</c:v>
                </c:pt>
                <c:pt idx="310">
                  <c:v>903.33641180957193</c:v>
                </c:pt>
                <c:pt idx="311">
                  <c:v>903.51579415427102</c:v>
                </c:pt>
                <c:pt idx="312">
                  <c:v>903.69368456437746</c:v>
                </c:pt>
                <c:pt idx="313">
                  <c:v>903.87008320428015</c:v>
                </c:pt>
                <c:pt idx="314">
                  <c:v>904.04499023688913</c:v>
                </c:pt>
                <c:pt idx="315">
                  <c:v>904.2184058237475</c:v>
                </c:pt>
                <c:pt idx="316">
                  <c:v>904.39033012509731</c:v>
                </c:pt>
                <c:pt idx="317">
                  <c:v>904.56076329971643</c:v>
                </c:pt>
                <c:pt idx="318">
                  <c:v>904.72970550508626</c:v>
                </c:pt>
                <c:pt idx="319">
                  <c:v>904.8971568972612</c:v>
                </c:pt>
                <c:pt idx="320">
                  <c:v>905.06311763095664</c:v>
                </c:pt>
                <c:pt idx="321">
                  <c:v>905.22758785952408</c:v>
                </c:pt>
                <c:pt idx="322">
                  <c:v>905.39056773488801</c:v>
                </c:pt>
                <c:pt idx="323">
                  <c:v>905.5520574077176</c:v>
                </c:pt>
                <c:pt idx="324">
                  <c:v>905.71205702720965</c:v>
                </c:pt>
                <c:pt idx="325">
                  <c:v>905.8705667412828</c:v>
                </c:pt>
                <c:pt idx="326">
                  <c:v>906.02758669642151</c:v>
                </c:pt>
                <c:pt idx="327">
                  <c:v>906.18311703782342</c:v>
                </c:pt>
                <c:pt idx="328">
                  <c:v>906.33715790926897</c:v>
                </c:pt>
                <c:pt idx="329">
                  <c:v>906.4897094532264</c:v>
                </c:pt>
                <c:pt idx="330">
                  <c:v>906.64077181077914</c:v>
                </c:pt>
                <c:pt idx="331">
                  <c:v>906.79034512164208</c:v>
                </c:pt>
                <c:pt idx="332">
                  <c:v>906.93842952425462</c:v>
                </c:pt>
                <c:pt idx="333">
                  <c:v>907.08502515561349</c:v>
                </c:pt>
                <c:pt idx="334">
                  <c:v>907.23013215144829</c:v>
                </c:pt>
                <c:pt idx="335">
                  <c:v>907.37375064605033</c:v>
                </c:pt>
                <c:pt idx="336">
                  <c:v>907.5158807724456</c:v>
                </c:pt>
                <c:pt idx="337">
                  <c:v>907.65652266228528</c:v>
                </c:pt>
                <c:pt idx="338">
                  <c:v>907.79567644585541</c:v>
                </c:pt>
                <c:pt idx="339">
                  <c:v>907.93334225214846</c:v>
                </c:pt>
                <c:pt idx="340">
                  <c:v>908.06952020874849</c:v>
                </c:pt>
                <c:pt idx="341">
                  <c:v>908.20421044194518</c:v>
                </c:pt>
                <c:pt idx="342">
                  <c:v>908.33741307671789</c:v>
                </c:pt>
                <c:pt idx="343">
                  <c:v>908.46912823662024</c:v>
                </c:pt>
                <c:pt idx="344">
                  <c:v>908.59935604395412</c:v>
                </c:pt>
                <c:pt idx="345">
                  <c:v>908.72809661964095</c:v>
                </c:pt>
                <c:pt idx="346">
                  <c:v>908.85535008327531</c:v>
                </c:pt>
                <c:pt idx="347">
                  <c:v>908.9811165531263</c:v>
                </c:pt>
                <c:pt idx="348">
                  <c:v>909.10539614612401</c:v>
                </c:pt>
                <c:pt idx="349">
                  <c:v>909.22818897788011</c:v>
                </c:pt>
                <c:pt idx="350">
                  <c:v>909.34949516266704</c:v>
                </c:pt>
                <c:pt idx="351">
                  <c:v>909.46931481341687</c:v>
                </c:pt>
                <c:pt idx="352">
                  <c:v>909.58764804174371</c:v>
                </c:pt>
                <c:pt idx="353">
                  <c:v>909.70449495796868</c:v>
                </c:pt>
                <c:pt idx="354">
                  <c:v>909.8198556710438</c:v>
                </c:pt>
                <c:pt idx="355">
                  <c:v>909.93373028860526</c:v>
                </c:pt>
                <c:pt idx="356">
                  <c:v>910.04611891697482</c:v>
                </c:pt>
                <c:pt idx="357">
                  <c:v>910.15702166113124</c:v>
                </c:pt>
                <c:pt idx="358">
                  <c:v>910.26643862480364</c:v>
                </c:pt>
                <c:pt idx="359">
                  <c:v>910.3743699102962</c:v>
                </c:pt>
                <c:pt idx="360">
                  <c:v>910.48081561869049</c:v>
                </c:pt>
                <c:pt idx="361">
                  <c:v>910.58577584965428</c:v>
                </c:pt>
                <c:pt idx="362">
                  <c:v>910.68925070164391</c:v>
                </c:pt>
                <c:pt idx="363">
                  <c:v>910.79124027170371</c:v>
                </c:pt>
                <c:pt idx="364">
                  <c:v>910.89174465561484</c:v>
                </c:pt>
                <c:pt idx="365">
                  <c:v>910.99076394787369</c:v>
                </c:pt>
                <c:pt idx="366">
                  <c:v>911.08829824156828</c:v>
                </c:pt>
                <c:pt idx="367">
                  <c:v>911.18434762857146</c:v>
                </c:pt>
                <c:pt idx="368">
                  <c:v>911.27891219937453</c:v>
                </c:pt>
                <c:pt idx="369">
                  <c:v>911.37199204322474</c:v>
                </c:pt>
                <c:pt idx="370">
                  <c:v>911.4635872479912</c:v>
                </c:pt>
                <c:pt idx="371">
                  <c:v>911.55369790029499</c:v>
                </c:pt>
                <c:pt idx="372">
                  <c:v>911.64232408540147</c:v>
                </c:pt>
                <c:pt idx="373">
                  <c:v>911.72946588727291</c:v>
                </c:pt>
                <c:pt idx="374">
                  <c:v>911.81512338860557</c:v>
                </c:pt>
                <c:pt idx="375">
                  <c:v>911.89929667076433</c:v>
                </c:pt>
                <c:pt idx="376">
                  <c:v>911.98198581379017</c:v>
                </c:pt>
                <c:pt idx="377">
                  <c:v>912.06319089644899</c:v>
                </c:pt>
                <c:pt idx="378">
                  <c:v>912.14291199620789</c:v>
                </c:pt>
                <c:pt idx="379">
                  <c:v>912.22114918921443</c:v>
                </c:pt>
                <c:pt idx="380">
                  <c:v>912.29790255031151</c:v>
                </c:pt>
                <c:pt idx="381">
                  <c:v>912.3731721530645</c:v>
                </c:pt>
                <c:pt idx="382">
                  <c:v>912.44695806969321</c:v>
                </c:pt>
                <c:pt idx="383">
                  <c:v>912.51926037115686</c:v>
                </c:pt>
                <c:pt idx="384">
                  <c:v>912.59007912712889</c:v>
                </c:pt>
                <c:pt idx="385">
                  <c:v>912.65941440592007</c:v>
                </c:pt>
                <c:pt idx="386">
                  <c:v>912.72726627464419</c:v>
                </c:pt>
                <c:pt idx="387">
                  <c:v>912.79363479899791</c:v>
                </c:pt>
                <c:pt idx="388">
                  <c:v>912.85852004348374</c:v>
                </c:pt>
                <c:pt idx="389">
                  <c:v>912.92192207127005</c:v>
                </c:pt>
                <c:pt idx="390">
                  <c:v>912.98384094419259</c:v>
                </c:pt>
                <c:pt idx="391">
                  <c:v>913.04427672286772</c:v>
                </c:pt>
                <c:pt idx="392">
                  <c:v>913.10322946656845</c:v>
                </c:pt>
                <c:pt idx="393">
                  <c:v>913.16069923325631</c:v>
                </c:pt>
                <c:pt idx="394">
                  <c:v>913.2166860796973</c:v>
                </c:pt>
                <c:pt idx="395">
                  <c:v>913.27119006125599</c:v>
                </c:pt>
                <c:pt idx="396">
                  <c:v>913.32421123204722</c:v>
                </c:pt>
                <c:pt idx="397">
                  <c:v>913.37574964487965</c:v>
                </c:pt>
                <c:pt idx="398">
                  <c:v>913.42580535132356</c:v>
                </c:pt>
                <c:pt idx="399">
                  <c:v>913.4743784016091</c:v>
                </c:pt>
                <c:pt idx="400">
                  <c:v>913.52146884468186</c:v>
                </c:pt>
                <c:pt idx="401">
                  <c:v>913.56707672821187</c:v>
                </c:pt>
                <c:pt idx="402">
                  <c:v>913.61120209860962</c:v>
                </c:pt>
                <c:pt idx="403">
                  <c:v>913.65384500090568</c:v>
                </c:pt>
                <c:pt idx="404">
                  <c:v>913.69500547896848</c:v>
                </c:pt>
                <c:pt idx="405">
                  <c:v>913.73468357526212</c:v>
                </c:pt>
                <c:pt idx="406">
                  <c:v>913.77287933101127</c:v>
                </c:pt>
                <c:pt idx="407">
                  <c:v>913.80959278620173</c:v>
                </c:pt>
                <c:pt idx="408">
                  <c:v>913.84482397948409</c:v>
                </c:pt>
                <c:pt idx="409">
                  <c:v>913.87857294820788</c:v>
                </c:pt>
                <c:pt idx="410">
                  <c:v>913.91083972845979</c:v>
                </c:pt>
                <c:pt idx="411">
                  <c:v>913.94162435505939</c:v>
                </c:pt>
                <c:pt idx="412">
                  <c:v>913.9709268615303</c:v>
                </c:pt>
                <c:pt idx="413">
                  <c:v>913.99874728006375</c:v>
                </c:pt>
                <c:pt idx="414">
                  <c:v>914.02508564165271</c:v>
                </c:pt>
                <c:pt idx="415">
                  <c:v>914.04994197591986</c:v>
                </c:pt>
                <c:pt idx="416">
                  <c:v>914.07331631132502</c:v>
                </c:pt>
                <c:pt idx="417">
                  <c:v>914.09520867487993</c:v>
                </c:pt>
                <c:pt idx="418">
                  <c:v>914.11561909246245</c:v>
                </c:pt>
                <c:pt idx="419">
                  <c:v>914.13454758860155</c:v>
                </c:pt>
                <c:pt idx="420">
                  <c:v>914.1519941865389</c:v>
                </c:pt>
                <c:pt idx="421">
                  <c:v>914.16795890823664</c:v>
                </c:pt>
                <c:pt idx="422">
                  <c:v>914.1824417744192</c:v>
                </c:pt>
                <c:pt idx="423">
                  <c:v>914.19544280446382</c:v>
                </c:pt>
                <c:pt idx="424">
                  <c:v>914.20696201652322</c:v>
                </c:pt>
                <c:pt idx="425">
                  <c:v>914.21699942741964</c:v>
                </c:pt>
                <c:pt idx="426">
                  <c:v>914.22555505273829</c:v>
                </c:pt>
                <c:pt idx="427">
                  <c:v>914.23262890677597</c:v>
                </c:pt>
                <c:pt idx="428">
                  <c:v>914.23822100252028</c:v>
                </c:pt>
                <c:pt idx="429">
                  <c:v>914.24233135169584</c:v>
                </c:pt>
                <c:pt idx="430">
                  <c:v>914.24495996476458</c:v>
                </c:pt>
                <c:pt idx="431">
                  <c:v>914.24610685088021</c:v>
                </c:pt>
                <c:pt idx="432">
                  <c:v>914.24577201793215</c:v>
                </c:pt>
                <c:pt idx="433">
                  <c:v>914.24395547253755</c:v>
                </c:pt>
                <c:pt idx="434">
                  <c:v>914.24065722002433</c:v>
                </c:pt>
                <c:pt idx="435">
                  <c:v>914.23587726440724</c:v>
                </c:pt>
                <c:pt idx="436">
                  <c:v>914.22961560849262</c:v>
                </c:pt>
                <c:pt idx="437">
                  <c:v>914.22187225374898</c:v>
                </c:pt>
                <c:pt idx="438">
                  <c:v>914.21264720039642</c:v>
                </c:pt>
                <c:pt idx="439">
                  <c:v>914.20194044733341</c:v>
                </c:pt>
                <c:pt idx="440">
                  <c:v>914.1897519922702</c:v>
                </c:pt>
                <c:pt idx="441">
                  <c:v>914.17608183152549</c:v>
                </c:pt>
                <c:pt idx="442">
                  <c:v>914.16092996020427</c:v>
                </c:pt>
                <c:pt idx="443">
                  <c:v>914.14429637213755</c:v>
                </c:pt>
                <c:pt idx="444">
                  <c:v>914.12618105982494</c:v>
                </c:pt>
                <c:pt idx="445">
                  <c:v>914.10658401456806</c:v>
                </c:pt>
                <c:pt idx="446">
                  <c:v>914.08550522630173</c:v>
                </c:pt>
                <c:pt idx="447">
                  <c:v>914.06294468370436</c:v>
                </c:pt>
                <c:pt idx="448">
                  <c:v>914.03890237422809</c:v>
                </c:pt>
                <c:pt idx="449">
                  <c:v>914.01337828401256</c:v>
                </c:pt>
                <c:pt idx="450">
                  <c:v>913.9863723978699</c:v>
                </c:pt>
                <c:pt idx="451">
                  <c:v>913.95788469941908</c:v>
                </c:pt>
                <c:pt idx="452">
                  <c:v>913.92791517092041</c:v>
                </c:pt>
                <c:pt idx="453">
                  <c:v>913.89646379340525</c:v>
                </c:pt>
                <c:pt idx="454">
                  <c:v>913.86353054657911</c:v>
                </c:pt>
                <c:pt idx="455">
                  <c:v>913.82911540895861</c:v>
                </c:pt>
                <c:pt idx="456">
                  <c:v>913.7932183576487</c:v>
                </c:pt>
                <c:pt idx="457">
                  <c:v>913.75583936858777</c:v>
                </c:pt>
                <c:pt idx="458">
                  <c:v>913.71697841635</c:v>
                </c:pt>
                <c:pt idx="459">
                  <c:v>913.67663547430618</c:v>
                </c:pt>
                <c:pt idx="460">
                  <c:v>913.63481051445456</c:v>
                </c:pt>
                <c:pt idx="461">
                  <c:v>913.59150350760319</c:v>
                </c:pt>
                <c:pt idx="462">
                  <c:v>913.54671442321489</c:v>
                </c:pt>
                <c:pt idx="463">
                  <c:v>913.50044322949213</c:v>
                </c:pt>
                <c:pt idx="464">
                  <c:v>913.45268989334181</c:v>
                </c:pt>
                <c:pt idx="465">
                  <c:v>913.40345438042903</c:v>
                </c:pt>
                <c:pt idx="466">
                  <c:v>913.352736655081</c:v>
                </c:pt>
                <c:pt idx="467">
                  <c:v>913.30053668036226</c:v>
                </c:pt>
                <c:pt idx="468">
                  <c:v>913.24685441809083</c:v>
                </c:pt>
                <c:pt idx="469">
                  <c:v>913.19168982871747</c:v>
                </c:pt>
                <c:pt idx="470">
                  <c:v>913.1350428715059</c:v>
                </c:pt>
                <c:pt idx="471">
                  <c:v>913.07691350436721</c:v>
                </c:pt>
                <c:pt idx="472">
                  <c:v>913.0173016839417</c:v>
                </c:pt>
                <c:pt idx="473">
                  <c:v>912.95620736560033</c:v>
                </c:pt>
                <c:pt idx="474">
                  <c:v>912.89363050340921</c:v>
                </c:pt>
                <c:pt idx="475">
                  <c:v>912.82957105016067</c:v>
                </c:pt>
                <c:pt idx="476">
                  <c:v>912.76402895736226</c:v>
                </c:pt>
                <c:pt idx="477">
                  <c:v>912.69700417520096</c:v>
                </c:pt>
                <c:pt idx="478">
                  <c:v>912.62849665264037</c:v>
                </c:pt>
                <c:pt idx="479">
                  <c:v>912.55850633729608</c:v>
                </c:pt>
                <c:pt idx="480">
                  <c:v>912.48703317552054</c:v>
                </c:pt>
                <c:pt idx="481">
                  <c:v>912.41407711238003</c:v>
                </c:pt>
                <c:pt idx="482">
                  <c:v>912.33963809163743</c:v>
                </c:pt>
                <c:pt idx="483">
                  <c:v>912.2637160557598</c:v>
                </c:pt>
                <c:pt idx="484">
                  <c:v>912.18631094595469</c:v>
                </c:pt>
                <c:pt idx="485">
                  <c:v>912.10742270212427</c:v>
                </c:pt>
                <c:pt idx="486">
                  <c:v>912.02705126286548</c:v>
                </c:pt>
                <c:pt idx="487">
                  <c:v>911.94519656550369</c:v>
                </c:pt>
                <c:pt idx="488">
                  <c:v>911.86185854605299</c:v>
                </c:pt>
                <c:pt idx="489">
                  <c:v>911.77703713923927</c:v>
                </c:pt>
                <c:pt idx="490">
                  <c:v>911.69073227848958</c:v>
                </c:pt>
                <c:pt idx="491">
                  <c:v>911.60294389598346</c:v>
                </c:pt>
                <c:pt idx="492">
                  <c:v>911.51367192251587</c:v>
                </c:pt>
                <c:pt idx="493">
                  <c:v>911.42291628765634</c:v>
                </c:pt>
                <c:pt idx="494">
                  <c:v>911.33067691964868</c:v>
                </c:pt>
                <c:pt idx="495">
                  <c:v>911.2369537454648</c:v>
                </c:pt>
                <c:pt idx="496">
                  <c:v>911.14174669075078</c:v>
                </c:pt>
                <c:pt idx="497">
                  <c:v>911.04505567986064</c:v>
                </c:pt>
                <c:pt idx="498">
                  <c:v>910.94688063586489</c:v>
                </c:pt>
                <c:pt idx="499">
                  <c:v>910.84722148052333</c:v>
                </c:pt>
                <c:pt idx="500">
                  <c:v>910.74607813428679</c:v>
                </c:pt>
                <c:pt idx="501">
                  <c:v>910.64345051632733</c:v>
                </c:pt>
                <c:pt idx="502">
                  <c:v>910.53933854448371</c:v>
                </c:pt>
                <c:pt idx="503">
                  <c:v>910.43374213532854</c:v>
                </c:pt>
                <c:pt idx="504">
                  <c:v>910.32666120409533</c:v>
                </c:pt>
                <c:pt idx="505">
                  <c:v>910.218095664732</c:v>
                </c:pt>
                <c:pt idx="506">
                  <c:v>910.10804542988581</c:v>
                </c:pt>
                <c:pt idx="507">
                  <c:v>909.99651041089737</c:v>
                </c:pt>
                <c:pt idx="508">
                  <c:v>909.88349051777686</c:v>
                </c:pt>
                <c:pt idx="509">
                  <c:v>909.76898565924284</c:v>
                </c:pt>
                <c:pt idx="510">
                  <c:v>909.65299574271899</c:v>
                </c:pt>
                <c:pt idx="511">
                  <c:v>909.53552067430451</c:v>
                </c:pt>
                <c:pt idx="512">
                  <c:v>909.41656035880305</c:v>
                </c:pt>
                <c:pt idx="513">
                  <c:v>909.29611469968154</c:v>
                </c:pt>
                <c:pt idx="514">
                  <c:v>909.17418359909652</c:v>
                </c:pt>
                <c:pt idx="515">
                  <c:v>909.05076695794662</c:v>
                </c:pt>
                <c:pt idx="516">
                  <c:v>908.92586467574449</c:v>
                </c:pt>
                <c:pt idx="517">
                  <c:v>908.79947665072064</c:v>
                </c:pt>
                <c:pt idx="518">
                  <c:v>908.67160277977825</c:v>
                </c:pt>
                <c:pt idx="519">
                  <c:v>908.54224295854374</c:v>
                </c:pt>
                <c:pt idx="520">
                  <c:v>908.4113970812823</c:v>
                </c:pt>
                <c:pt idx="521">
                  <c:v>908.27906504096472</c:v>
                </c:pt>
                <c:pt idx="522">
                  <c:v>908.14524672918628</c:v>
                </c:pt>
                <c:pt idx="523">
                  <c:v>908.00994203633275</c:v>
                </c:pt>
                <c:pt idx="524">
                  <c:v>907.87315085136572</c:v>
                </c:pt>
                <c:pt idx="525">
                  <c:v>907.7348730619459</c:v>
                </c:pt>
                <c:pt idx="526">
                  <c:v>907.59510855445683</c:v>
                </c:pt>
                <c:pt idx="527">
                  <c:v>907.45385721393393</c:v>
                </c:pt>
                <c:pt idx="528">
                  <c:v>907.31111892404465</c:v>
                </c:pt>
                <c:pt idx="529">
                  <c:v>907.16689356719678</c:v>
                </c:pt>
                <c:pt idx="530">
                  <c:v>907.02118102443092</c:v>
                </c:pt>
                <c:pt idx="531">
                  <c:v>906.87398117545933</c:v>
                </c:pt>
                <c:pt idx="532">
                  <c:v>906.72529389866793</c:v>
                </c:pt>
                <c:pt idx="533">
                  <c:v>906.57511907112553</c:v>
                </c:pt>
                <c:pt idx="534">
                  <c:v>906.42345656854661</c:v>
                </c:pt>
                <c:pt idx="535">
                  <c:v>906.27030626533985</c:v>
                </c:pt>
                <c:pt idx="536">
                  <c:v>906.11566803453229</c:v>
                </c:pt>
                <c:pt idx="537">
                  <c:v>905.95954174787516</c:v>
                </c:pt>
                <c:pt idx="538">
                  <c:v>905.80192727574172</c:v>
                </c:pt>
                <c:pt idx="539">
                  <c:v>905.6428244871687</c:v>
                </c:pt>
                <c:pt idx="540">
                  <c:v>905.48223324986816</c:v>
                </c:pt>
                <c:pt idx="541">
                  <c:v>905.3201534302292</c:v>
                </c:pt>
                <c:pt idx="542">
                  <c:v>905.15658489323823</c:v>
                </c:pt>
                <c:pt idx="543">
                  <c:v>904.99152750258486</c:v>
                </c:pt>
                <c:pt idx="544">
                  <c:v>904.82498112062035</c:v>
                </c:pt>
                <c:pt idx="545">
                  <c:v>904.65694560831525</c:v>
                </c:pt>
                <c:pt idx="546">
                  <c:v>904.48742082532158</c:v>
                </c:pt>
                <c:pt idx="547">
                  <c:v>904.31640662993493</c:v>
                </c:pt>
                <c:pt idx="548">
                  <c:v>904.14390287907815</c:v>
                </c:pt>
                <c:pt idx="549">
                  <c:v>903.96990942836783</c:v>
                </c:pt>
                <c:pt idx="550">
                  <c:v>903.79442613202934</c:v>
                </c:pt>
                <c:pt idx="551">
                  <c:v>903.61745284296671</c:v>
                </c:pt>
                <c:pt idx="552">
                  <c:v>903.43898941267526</c:v>
                </c:pt>
                <c:pt idx="553">
                  <c:v>903.25903569135676</c:v>
                </c:pt>
                <c:pt idx="554">
                  <c:v>903.0775915278108</c:v>
                </c:pt>
                <c:pt idx="555">
                  <c:v>902.8946567694984</c:v>
                </c:pt>
                <c:pt idx="556">
                  <c:v>902.71023126252408</c:v>
                </c:pt>
                <c:pt idx="557">
                  <c:v>902.5243148515965</c:v>
                </c:pt>
                <c:pt idx="558">
                  <c:v>902.33690738009409</c:v>
                </c:pt>
                <c:pt idx="559">
                  <c:v>902.1480086900275</c:v>
                </c:pt>
                <c:pt idx="560">
                  <c:v>901.95761862201732</c:v>
                </c:pt>
                <c:pt idx="561">
                  <c:v>901.76573701533653</c:v>
                </c:pt>
                <c:pt idx="562">
                  <c:v>901.57236370787462</c:v>
                </c:pt>
                <c:pt idx="563">
                  <c:v>901.37749853615196</c:v>
                </c:pt>
                <c:pt idx="564">
                  <c:v>901.18114133532197</c:v>
                </c:pt>
                <c:pt idx="565">
                  <c:v>900.98329193915572</c:v>
                </c:pt>
                <c:pt idx="566">
                  <c:v>900.78395018006449</c:v>
                </c:pt>
                <c:pt idx="567">
                  <c:v>900.58311588906327</c:v>
                </c:pt>
                <c:pt idx="568">
                  <c:v>900.38078889578401</c:v>
                </c:pt>
                <c:pt idx="569">
                  <c:v>900.17696902849639</c:v>
                </c:pt>
                <c:pt idx="570">
                  <c:v>899.97165611407615</c:v>
                </c:pt>
                <c:pt idx="571">
                  <c:v>899.76484997801106</c:v>
                </c:pt>
                <c:pt idx="572">
                  <c:v>899.55655044440346</c:v>
                </c:pt>
                <c:pt idx="573">
                  <c:v>899.34675733597965</c:v>
                </c:pt>
                <c:pt idx="574">
                  <c:v>899.13547047405245</c:v>
                </c:pt>
                <c:pt idx="575">
                  <c:v>898.9226896785774</c:v>
                </c:pt>
                <c:pt idx="576">
                  <c:v>898.70841476807652</c:v>
                </c:pt>
                <c:pt idx="577">
                  <c:v>898.4926455597091</c:v>
                </c:pt>
                <c:pt idx="578">
                  <c:v>898.27538186922072</c:v>
                </c:pt>
                <c:pt idx="579">
                  <c:v>898.05662351096817</c:v>
                </c:pt>
                <c:pt idx="580">
                  <c:v>897.83637029789656</c:v>
                </c:pt>
                <c:pt idx="581">
                  <c:v>897.61462204155725</c:v>
                </c:pt>
                <c:pt idx="582">
                  <c:v>897.39137855209913</c:v>
                </c:pt>
                <c:pt idx="583">
                  <c:v>897.16663963826238</c:v>
                </c:pt>
                <c:pt idx="584">
                  <c:v>896.94040510737068</c:v>
                </c:pt>
                <c:pt idx="585">
                  <c:v>896.7126747653416</c:v>
                </c:pt>
                <c:pt idx="586">
                  <c:v>896.48344841669689</c:v>
                </c:pt>
                <c:pt idx="587">
                  <c:v>896.25272586452229</c:v>
                </c:pt>
                <c:pt idx="588">
                  <c:v>896.02050691051113</c:v>
                </c:pt>
                <c:pt idx="589">
                  <c:v>895.78679135491643</c:v>
                </c:pt>
                <c:pt idx="590">
                  <c:v>895.5515789965832</c:v>
                </c:pt>
                <c:pt idx="591">
                  <c:v>895.31486963293855</c:v>
                </c:pt>
                <c:pt idx="592">
                  <c:v>895.07666305996452</c:v>
                </c:pt>
                <c:pt idx="593">
                  <c:v>894.83695907225854</c:v>
                </c:pt>
                <c:pt idx="594">
                  <c:v>894.59575746295093</c:v>
                </c:pt>
                <c:pt idx="595">
                  <c:v>894.35305802377536</c:v>
                </c:pt>
                <c:pt idx="596">
                  <c:v>894.10886054500531</c:v>
                </c:pt>
                <c:pt idx="597">
                  <c:v>893.8631648154925</c:v>
                </c:pt>
                <c:pt idx="598">
                  <c:v>893.61597062265321</c:v>
                </c:pt>
                <c:pt idx="599">
                  <c:v>893.36727775247834</c:v>
                </c:pt>
                <c:pt idx="600">
                  <c:v>893.11708598949053</c:v>
                </c:pt>
                <c:pt idx="601">
                  <c:v>892.86539511679428</c:v>
                </c:pt>
                <c:pt idx="602">
                  <c:v>892.61220491604445</c:v>
                </c:pt>
                <c:pt idx="603">
                  <c:v>892.35751516743574</c:v>
                </c:pt>
                <c:pt idx="604">
                  <c:v>892.10132564974424</c:v>
                </c:pt>
                <c:pt idx="605">
                  <c:v>891.84363614025835</c:v>
                </c:pt>
                <c:pt idx="606">
                  <c:v>891.58444641484925</c:v>
                </c:pt>
                <c:pt idx="607">
                  <c:v>891.32375624789449</c:v>
                </c:pt>
                <c:pt idx="608">
                  <c:v>891.0615654123626</c:v>
                </c:pt>
                <c:pt idx="609">
                  <c:v>890.79787367971369</c:v>
                </c:pt>
                <c:pt idx="610">
                  <c:v>890.53268081997408</c:v>
                </c:pt>
                <c:pt idx="611">
                  <c:v>890.26598660169498</c:v>
                </c:pt>
                <c:pt idx="612">
                  <c:v>889.99779079196878</c:v>
                </c:pt>
                <c:pt idx="613">
                  <c:v>889.72809315641757</c:v>
                </c:pt>
                <c:pt idx="614">
                  <c:v>889.45689345918527</c:v>
                </c:pt>
                <c:pt idx="615">
                  <c:v>889.18419146295787</c:v>
                </c:pt>
                <c:pt idx="616">
                  <c:v>888.90998692891606</c:v>
                </c:pt>
                <c:pt idx="617">
                  <c:v>888.63427961677905</c:v>
                </c:pt>
                <c:pt idx="618">
                  <c:v>888.3570692847959</c:v>
                </c:pt>
                <c:pt idx="619">
                  <c:v>888.07835568972064</c:v>
                </c:pt>
                <c:pt idx="620">
                  <c:v>887.79813858682178</c:v>
                </c:pt>
                <c:pt idx="621">
                  <c:v>887.51641772987716</c:v>
                </c:pt>
                <c:pt idx="622">
                  <c:v>887.23319287118329</c:v>
                </c:pt>
                <c:pt idx="623">
                  <c:v>886.94846376152577</c:v>
                </c:pt>
                <c:pt idx="624">
                  <c:v>886.6622301502141</c:v>
                </c:pt>
                <c:pt idx="625">
                  <c:v>886.37449178506063</c:v>
                </c:pt>
                <c:pt idx="626">
                  <c:v>886.08524841234043</c:v>
                </c:pt>
                <c:pt idx="627">
                  <c:v>885.79449977686897</c:v>
                </c:pt>
                <c:pt idx="628">
                  <c:v>885.50224562193546</c:v>
                </c:pt>
                <c:pt idx="629">
                  <c:v>885.20848568932138</c:v>
                </c:pt>
                <c:pt idx="630">
                  <c:v>884.91321971930142</c:v>
                </c:pt>
                <c:pt idx="631">
                  <c:v>884.61644745061278</c:v>
                </c:pt>
                <c:pt idx="632">
                  <c:v>884.31816862051403</c:v>
                </c:pt>
                <c:pt idx="633">
                  <c:v>884.01838296472408</c:v>
                </c:pt>
                <c:pt idx="634">
                  <c:v>883.71709021743868</c:v>
                </c:pt>
                <c:pt idx="635">
                  <c:v>883.41429011132857</c:v>
                </c:pt>
                <c:pt idx="636">
                  <c:v>883.1099823775362</c:v>
                </c:pt>
                <c:pt idx="637">
                  <c:v>882.80416674567437</c:v>
                </c:pt>
                <c:pt idx="638">
                  <c:v>882.4968429438286</c:v>
                </c:pt>
                <c:pt idx="639">
                  <c:v>882.18801069853794</c:v>
                </c:pt>
                <c:pt idx="640">
                  <c:v>881.87766973482019</c:v>
                </c:pt>
                <c:pt idx="641">
                  <c:v>881.56581977612677</c:v>
                </c:pt>
                <c:pt idx="642">
                  <c:v>881.25246054437764</c:v>
                </c:pt>
                <c:pt idx="643">
                  <c:v>880.93759175994614</c:v>
                </c:pt>
                <c:pt idx="644">
                  <c:v>880.6212131416529</c:v>
                </c:pt>
                <c:pt idx="645">
                  <c:v>880.30332440677273</c:v>
                </c:pt>
                <c:pt idx="646">
                  <c:v>879.98392527099543</c:v>
                </c:pt>
                <c:pt idx="647">
                  <c:v>879.66301544848568</c:v>
                </c:pt>
                <c:pt idx="648">
                  <c:v>879.34059465183168</c:v>
                </c:pt>
                <c:pt idx="649">
                  <c:v>879.01666259205035</c:v>
                </c:pt>
                <c:pt idx="650">
                  <c:v>878.69121897859168</c:v>
                </c:pt>
                <c:pt idx="651">
                  <c:v>878.36426351935245</c:v>
                </c:pt>
                <c:pt idx="652">
                  <c:v>878.03579592063568</c:v>
                </c:pt>
                <c:pt idx="653">
                  <c:v>877.70581588717539</c:v>
                </c:pt>
                <c:pt idx="654">
                  <c:v>877.37432312211547</c:v>
                </c:pt>
                <c:pt idx="655">
                  <c:v>877.04131732702115</c:v>
                </c:pt>
                <c:pt idx="656">
                  <c:v>876.70679820186012</c:v>
                </c:pt>
                <c:pt idx="657">
                  <c:v>876.37076544504134</c:v>
                </c:pt>
                <c:pt idx="658">
                  <c:v>876.03321875334598</c:v>
                </c:pt>
                <c:pt idx="659">
                  <c:v>875.6941578219654</c:v>
                </c:pt>
                <c:pt idx="660">
                  <c:v>875.35358234450894</c:v>
                </c:pt>
                <c:pt idx="661">
                  <c:v>875.01149201296494</c:v>
                </c:pt>
                <c:pt idx="662">
                  <c:v>874.66788651772742</c:v>
                </c:pt>
                <c:pt idx="663">
                  <c:v>874.32276554756322</c:v>
                </c:pt>
                <c:pt idx="664">
                  <c:v>873.9761287896398</c:v>
                </c:pt>
                <c:pt idx="665">
                  <c:v>873.62797592951574</c:v>
                </c:pt>
                <c:pt idx="666">
                  <c:v>873.27830665111321</c:v>
                </c:pt>
                <c:pt idx="667">
                  <c:v>872.92712063672207</c:v>
                </c:pt>
                <c:pt idx="668">
                  <c:v>872.57441756704191</c:v>
                </c:pt>
                <c:pt idx="669">
                  <c:v>872.22019712110375</c:v>
                </c:pt>
                <c:pt idx="670">
                  <c:v>871.86445897632143</c:v>
                </c:pt>
                <c:pt idx="671">
                  <c:v>871.50720280848589</c:v>
                </c:pt>
                <c:pt idx="672">
                  <c:v>871.14842829172312</c:v>
                </c:pt>
                <c:pt idx="673">
                  <c:v>870.78813509851614</c:v>
                </c:pt>
                <c:pt idx="674">
                  <c:v>870.42632289972198</c:v>
                </c:pt>
                <c:pt idx="675">
                  <c:v>870.06299136452492</c:v>
                </c:pt>
                <c:pt idx="676">
                  <c:v>869.69814016046587</c:v>
                </c:pt>
                <c:pt idx="677">
                  <c:v>869.33176895340966</c:v>
                </c:pt>
                <c:pt idx="678">
                  <c:v>868.96387740760372</c:v>
                </c:pt>
                <c:pt idx="679">
                  <c:v>868.5944651855724</c:v>
                </c:pt>
                <c:pt idx="680">
                  <c:v>868.2235319482055</c:v>
                </c:pt>
                <c:pt idx="681">
                  <c:v>867.8510773547157</c:v>
                </c:pt>
                <c:pt idx="682">
                  <c:v>867.47710106262366</c:v>
                </c:pt>
                <c:pt idx="683">
                  <c:v>867.10160272777443</c:v>
                </c:pt>
                <c:pt idx="684">
                  <c:v>866.72458200435494</c:v>
                </c:pt>
                <c:pt idx="685">
                  <c:v>866.3460385448119</c:v>
                </c:pt>
                <c:pt idx="686">
                  <c:v>865.96597199995267</c:v>
                </c:pt>
                <c:pt idx="687">
                  <c:v>865.58438201885679</c:v>
                </c:pt>
                <c:pt idx="688">
                  <c:v>865.20126824891997</c:v>
                </c:pt>
                <c:pt idx="689">
                  <c:v>864.81663033581424</c:v>
                </c:pt>
                <c:pt idx="690">
                  <c:v>864.43046792352811</c:v>
                </c:pt>
                <c:pt idx="691">
                  <c:v>864.0427806543205</c:v>
                </c:pt>
                <c:pt idx="692">
                  <c:v>863.65356816873668</c:v>
                </c:pt>
                <c:pt idx="693">
                  <c:v>863.26283010560746</c:v>
                </c:pt>
                <c:pt idx="694">
                  <c:v>862.87056610204661</c:v>
                </c:pt>
                <c:pt idx="695">
                  <c:v>862.47677579341746</c:v>
                </c:pt>
                <c:pt idx="696">
                  <c:v>862.08145881336873</c:v>
                </c:pt>
                <c:pt idx="697">
                  <c:v>861.68461479380892</c:v>
                </c:pt>
                <c:pt idx="698">
                  <c:v>861.28624336491703</c:v>
                </c:pt>
                <c:pt idx="699">
                  <c:v>860.88634415509591</c:v>
                </c:pt>
                <c:pt idx="700">
                  <c:v>860.48491679104416</c:v>
                </c:pt>
                <c:pt idx="701">
                  <c:v>860.08196089766386</c:v>
                </c:pt>
                <c:pt idx="702">
                  <c:v>859.67747609812989</c:v>
                </c:pt>
                <c:pt idx="703">
                  <c:v>859.27146201384448</c:v>
                </c:pt>
                <c:pt idx="704">
                  <c:v>858.8639182644481</c:v>
                </c:pt>
                <c:pt idx="705">
                  <c:v>858.45484446780426</c:v>
                </c:pt>
                <c:pt idx="706">
                  <c:v>858.04424024000957</c:v>
                </c:pt>
                <c:pt idx="707">
                  <c:v>857.63210519538086</c:v>
                </c:pt>
                <c:pt idx="708">
                  <c:v>857.2184389464436</c:v>
                </c:pt>
                <c:pt idx="709">
                  <c:v>856.80324110394668</c:v>
                </c:pt>
                <c:pt idx="710">
                  <c:v>856.38651127684159</c:v>
                </c:pt>
                <c:pt idx="711">
                  <c:v>855.96824907227415</c:v>
                </c:pt>
                <c:pt idx="712">
                  <c:v>855.54845409560892</c:v>
                </c:pt>
                <c:pt idx="713">
                  <c:v>855.12712595039363</c:v>
                </c:pt>
                <c:pt idx="714">
                  <c:v>854.70426423835636</c:v>
                </c:pt>
                <c:pt idx="715">
                  <c:v>854.27986855943482</c:v>
                </c:pt>
                <c:pt idx="716">
                  <c:v>853.8539385117258</c:v>
                </c:pt>
                <c:pt idx="717">
                  <c:v>853.42647369150995</c:v>
                </c:pt>
                <c:pt idx="718">
                  <c:v>852.99747369323723</c:v>
                </c:pt>
                <c:pt idx="719">
                  <c:v>852.56693810952243</c:v>
                </c:pt>
                <c:pt idx="720">
                  <c:v>852.13486653114467</c:v>
                </c:pt>
                <c:pt idx="721">
                  <c:v>851.70125854704202</c:v>
                </c:pt>
                <c:pt idx="722">
                  <c:v>851.26611374429456</c:v>
                </c:pt>
                <c:pt idx="723">
                  <c:v>850.82943170814724</c:v>
                </c:pt>
                <c:pt idx="724">
                  <c:v>850.3912120219843</c:v>
                </c:pt>
                <c:pt idx="725">
                  <c:v>849.95145426730028</c:v>
                </c:pt>
                <c:pt idx="726">
                  <c:v>849.5101580237548</c:v>
                </c:pt>
                <c:pt idx="727">
                  <c:v>849.06732286912006</c:v>
                </c:pt>
                <c:pt idx="728">
                  <c:v>848.62294837929369</c:v>
                </c:pt>
                <c:pt idx="729">
                  <c:v>848.1770341282903</c:v>
                </c:pt>
                <c:pt idx="730">
                  <c:v>847.72957968823175</c:v>
                </c:pt>
                <c:pt idx="731">
                  <c:v>847.28058462936872</c:v>
                </c:pt>
                <c:pt idx="732">
                  <c:v>846.83004852001818</c:v>
                </c:pt>
                <c:pt idx="733">
                  <c:v>846.37797092663141</c:v>
                </c:pt>
                <c:pt idx="734">
                  <c:v>845.92435141372709</c:v>
                </c:pt>
                <c:pt idx="735">
                  <c:v>845.46918954391583</c:v>
                </c:pt>
                <c:pt idx="736">
                  <c:v>845.01248487788973</c:v>
                </c:pt>
                <c:pt idx="737">
                  <c:v>843.67507824363952</c:v>
                </c:pt>
                <c:pt idx="738">
                  <c:v>842.32975018324612</c:v>
                </c:pt>
                <c:pt idx="739">
                  <c:v>840.97664282241215</c:v>
                </c:pt>
                <c:pt idx="740">
                  <c:v>839.61589435041344</c:v>
                </c:pt>
                <c:pt idx="741">
                  <c:v>838.2476391487204</c:v>
                </c:pt>
                <c:pt idx="742">
                  <c:v>836.8720079153918</c:v>
                </c:pt>
                <c:pt idx="743">
                  <c:v>835.4891277852505</c:v>
                </c:pt>
                <c:pt idx="744">
                  <c:v>834.09912244615759</c:v>
                </c:pt>
                <c:pt idx="745">
                  <c:v>832.70211225142293</c:v>
                </c:pt>
                <c:pt idx="746">
                  <c:v>831.29821432841584</c:v>
                </c:pt>
                <c:pt idx="747">
                  <c:v>829.88754268374589</c:v>
                </c:pt>
                <c:pt idx="748">
                  <c:v>828.47020830482711</c:v>
                </c:pt>
                <c:pt idx="749">
                  <c:v>827.0463192581999</c:v>
                </c:pt>
                <c:pt idx="750">
                  <c:v>825.61598078458098</c:v>
                </c:pt>
                <c:pt idx="751">
                  <c:v>824.17929539082274</c:v>
                </c:pt>
                <c:pt idx="752">
                  <c:v>822.73636293883817</c:v>
                </c:pt>
                <c:pt idx="753">
                  <c:v>821.28728073162756</c:v>
                </c:pt>
                <c:pt idx="754">
                  <c:v>819.8321435965122</c:v>
                </c:pt>
                <c:pt idx="755">
                  <c:v>818.37104396565769</c:v>
                </c:pt>
                <c:pt idx="756">
                  <c:v>816.90407195390833</c:v>
                </c:pt>
                <c:pt idx="757">
                  <c:v>815.43131543421032</c:v>
                </c:pt>
                <c:pt idx="758">
                  <c:v>813.95286011047745</c:v>
                </c:pt>
                <c:pt idx="759">
                  <c:v>812.46878958817376</c:v>
                </c:pt>
                <c:pt idx="760">
                  <c:v>810.97918544256163</c:v>
                </c:pt>
                <c:pt idx="761">
                  <c:v>809.48412728473613</c:v>
                </c:pt>
                <c:pt idx="762">
                  <c:v>807.98369282561737</c:v>
                </c:pt>
                <c:pt idx="763">
                  <c:v>806.47795793773116</c:v>
                </c:pt>
                <c:pt idx="764">
                  <c:v>804.96699671514818</c:v>
                </c:pt>
                <c:pt idx="765">
                  <c:v>803.45088153137215</c:v>
                </c:pt>
                <c:pt idx="766">
                  <c:v>801.92968309546154</c:v>
                </c:pt>
                <c:pt idx="767">
                  <c:v>800.40347050629748</c:v>
                </c:pt>
                <c:pt idx="768">
                  <c:v>798.87231130510554</c:v>
                </c:pt>
                <c:pt idx="769">
                  <c:v>797.33627152636814</c:v>
                </c:pt>
                <c:pt idx="770">
                  <c:v>795.7954157469652</c:v>
                </c:pt>
                <c:pt idx="771">
                  <c:v>794.24980713393074</c:v>
                </c:pt>
                <c:pt idx="772">
                  <c:v>792.6995074904986</c:v>
                </c:pt>
                <c:pt idx="773">
                  <c:v>791.14457730083859</c:v>
                </c:pt>
                <c:pt idx="774">
                  <c:v>789.58507577322098</c:v>
                </c:pt>
                <c:pt idx="775">
                  <c:v>788.02106088195433</c:v>
                </c:pt>
                <c:pt idx="776">
                  <c:v>786.45258940786539</c:v>
                </c:pt>
                <c:pt idx="777">
                  <c:v>784.87971697754199</c:v>
                </c:pt>
                <c:pt idx="778">
                  <c:v>783.30249810136036</c:v>
                </c:pt>
                <c:pt idx="779">
                  <c:v>781.72098621024611</c:v>
                </c:pt>
                <c:pt idx="780">
                  <c:v>780.13523369132474</c:v>
                </c:pt>
                <c:pt idx="781">
                  <c:v>778.54529192238135</c:v>
                </c:pt>
                <c:pt idx="782">
                  <c:v>776.95121130529333</c:v>
                </c:pt>
                <c:pt idx="783">
                  <c:v>775.35304129836925</c:v>
                </c:pt>
                <c:pt idx="784">
                  <c:v>773.7508304476637</c:v>
                </c:pt>
                <c:pt idx="785">
                  <c:v>772.1446264173419</c:v>
                </c:pt>
                <c:pt idx="786">
                  <c:v>770.53447601900882</c:v>
                </c:pt>
                <c:pt idx="787">
                  <c:v>768.92042524021906</c:v>
                </c:pt>
                <c:pt idx="788">
                  <c:v>767.30251927198435</c:v>
                </c:pt>
                <c:pt idx="789">
                  <c:v>765.68080253549715</c:v>
                </c:pt>
                <c:pt idx="790">
                  <c:v>764.05531870794175</c:v>
                </c:pt>
                <c:pt idx="791">
                  <c:v>762.42611074755177</c:v>
                </c:pt>
                <c:pt idx="792">
                  <c:v>760.79322091787571</c:v>
                </c:pt>
                <c:pt idx="793">
                  <c:v>759.15669081121212</c:v>
                </c:pt>
                <c:pt idx="794">
                  <c:v>757.51656137141924</c:v>
                </c:pt>
                <c:pt idx="795">
                  <c:v>755.87287291587836</c:v>
                </c:pt>
                <c:pt idx="796">
                  <c:v>754.22566515690824</c:v>
                </c:pt>
                <c:pt idx="797">
                  <c:v>752.57497722239464</c:v>
                </c:pt>
                <c:pt idx="798">
                  <c:v>750.92084767583015</c:v>
                </c:pt>
                <c:pt idx="799">
                  <c:v>749.26331453571402</c:v>
                </c:pt>
                <c:pt idx="800">
                  <c:v>747.60241529433699</c:v>
                </c:pt>
                <c:pt idx="801">
                  <c:v>745.93818693598439</c:v>
                </c:pt>
                <c:pt idx="802">
                  <c:v>744.27066595458996</c:v>
                </c:pt>
                <c:pt idx="803">
                  <c:v>742.59988837078095</c:v>
                </c:pt>
                <c:pt idx="804">
                  <c:v>740.92588974845637</c:v>
                </c:pt>
                <c:pt idx="805">
                  <c:v>739.2487052108138</c:v>
                </c:pt>
                <c:pt idx="806">
                  <c:v>737.56836945586576</c:v>
                </c:pt>
                <c:pt idx="807">
                  <c:v>735.88491677148602</c:v>
                </c:pt>
                <c:pt idx="808">
                  <c:v>734.19838105000952</c:v>
                </c:pt>
                <c:pt idx="809">
                  <c:v>732.5087958023006</c:v>
                </c:pt>
                <c:pt idx="810">
                  <c:v>730.81619417148579</c:v>
                </c:pt>
                <c:pt idx="811">
                  <c:v>729.12060894617071</c:v>
                </c:pt>
                <c:pt idx="812">
                  <c:v>727.42207257327686</c:v>
                </c:pt>
                <c:pt idx="813">
                  <c:v>725.7206171705219</c:v>
                </c:pt>
                <c:pt idx="814">
                  <c:v>724.01627453838751</c:v>
                </c:pt>
                <c:pt idx="815">
                  <c:v>722.30907617187631</c:v>
                </c:pt>
                <c:pt idx="816">
                  <c:v>720.59905327175557</c:v>
                </c:pt>
                <c:pt idx="817">
                  <c:v>718.88623675553902</c:v>
                </c:pt>
                <c:pt idx="818">
                  <c:v>717.1706572681054</c:v>
                </c:pt>
                <c:pt idx="819">
                  <c:v>715.45234519195981</c:v>
                </c:pt>
                <c:pt idx="820">
                  <c:v>713.73133065720458</c:v>
                </c:pt>
                <c:pt idx="821">
                  <c:v>712.00764355118395</c:v>
                </c:pt>
                <c:pt idx="822">
                  <c:v>710.28131352782657</c:v>
                </c:pt>
                <c:pt idx="823">
                  <c:v>708.55237001670287</c:v>
                </c:pt>
                <c:pt idx="824">
                  <c:v>706.82084223180664</c:v>
                </c:pt>
                <c:pt idx="825">
                  <c:v>705.08675918002371</c:v>
                </c:pt>
                <c:pt idx="826">
                  <c:v>703.35014966939286</c:v>
                </c:pt>
                <c:pt idx="827">
                  <c:v>701.61104231705531</c:v>
                </c:pt>
                <c:pt idx="828">
                  <c:v>699.86946555698296</c:v>
                </c:pt>
                <c:pt idx="829">
                  <c:v>698.12544764745087</c:v>
                </c:pt>
                <c:pt idx="830">
                  <c:v>696.37901667830693</c:v>
                </c:pt>
                <c:pt idx="831">
                  <c:v>694.63020057796427</c:v>
                </c:pt>
                <c:pt idx="832">
                  <c:v>692.87902712020662</c:v>
                </c:pt>
                <c:pt idx="833">
                  <c:v>691.12552393074611</c:v>
                </c:pt>
                <c:pt idx="834">
                  <c:v>689.36971849365455</c:v>
                </c:pt>
                <c:pt idx="835">
                  <c:v>643.42673873638535</c:v>
                </c:pt>
                <c:pt idx="836">
                  <c:v>600.48191718802923</c:v>
                </c:pt>
                <c:pt idx="837">
                  <c:v>560.33959930695312</c:v>
                </c:pt>
                <c:pt idx="838">
                  <c:v>522.81689862345127</c:v>
                </c:pt>
                <c:pt idx="839">
                  <c:v>487.74286351778528</c:v>
                </c:pt>
                <c:pt idx="840">
                  <c:v>454.95769837282575</c:v>
                </c:pt>
                <c:pt idx="841">
                  <c:v>424.31203555290608</c:v>
                </c:pt>
                <c:pt idx="842">
                  <c:v>395.66625489205745</c:v>
                </c:pt>
                <c:pt idx="843">
                  <c:v>368.88984759124781</c:v>
                </c:pt>
                <c:pt idx="844">
                  <c:v>343.86082162656976</c:v>
                </c:pt>
                <c:pt idx="845">
                  <c:v>320.46514595944677</c:v>
                </c:pt>
                <c:pt idx="846">
                  <c:v>298.59623101670525</c:v>
                </c:pt>
                <c:pt idx="847">
                  <c:v>278.15444307360582</c:v>
                </c:pt>
                <c:pt idx="848">
                  <c:v>259.04665032738444</c:v>
                </c:pt>
                <c:pt idx="849">
                  <c:v>241.18579859323856</c:v>
                </c:pt>
                <c:pt idx="850">
                  <c:v>224.49051468964768</c:v>
                </c:pt>
                <c:pt idx="851">
                  <c:v>208.88473570607164</c:v>
                </c:pt>
                <c:pt idx="852">
                  <c:v>194.29736246398841</c:v>
                </c:pt>
                <c:pt idx="853">
                  <c:v>180.66193559245619</c:v>
                </c:pt>
                <c:pt idx="854">
                  <c:v>167.91633274241568</c:v>
                </c:pt>
                <c:pt idx="855">
                  <c:v>156.00248556025483</c:v>
                </c:pt>
                <c:pt idx="856">
                  <c:v>144.86611513118342</c:v>
                </c:pt>
                <c:pt idx="857">
                  <c:v>134.45648468710695</c:v>
                </c:pt>
                <c:pt idx="858">
                  <c:v>124.72616845235135</c:v>
                </c:pt>
                <c:pt idx="859">
                  <c:v>115.63083557411042</c:v>
                </c:pt>
                <c:pt idx="860">
                  <c:v>107.1290481532118</c:v>
                </c:pt>
                <c:pt idx="861">
                  <c:v>99.182072455041464</c:v>
                </c:pt>
                <c:pt idx="862">
                  <c:v>91.753702440511702</c:v>
                </c:pt>
                <c:pt idx="863">
                  <c:v>84.810094813088128</c:v>
                </c:pt>
                <c:pt idx="864">
                  <c:v>78.319614830358475</c:v>
                </c:pt>
                <c:pt idx="865">
                  <c:v>72.25269217766747</c:v>
                </c:pt>
                <c:pt idx="866">
                  <c:v>66.581686247185331</c:v>
                </c:pt>
                <c:pt idx="867">
                  <c:v>61.280760208627918</c:v>
                </c:pt>
                <c:pt idx="868">
                  <c:v>56.325763297900487</c:v>
                </c:pt>
                <c:pt idx="869">
                  <c:v>51.694120787377891</c:v>
                </c:pt>
                <c:pt idx="870">
                  <c:v>47.364731136531425</c:v>
                </c:pt>
                <c:pt idx="871">
                  <c:v>43.317869854324655</c:v>
                </c:pt>
                <c:pt idx="872">
                  <c:v>39.535099635381194</c:v>
                </c:pt>
                <c:pt idx="873">
                  <c:v>35.999186360507899</c:v>
                </c:pt>
                <c:pt idx="874">
                  <c:v>32.694020578876817</c:v>
                </c:pt>
                <c:pt idx="875">
                  <c:v>29.604544114141778</c:v>
                </c:pt>
                <c:pt idx="876">
                  <c:v>26.716681460111403</c:v>
                </c:pt>
                <c:pt idx="877">
                  <c:v>24.017275653419627</c:v>
                </c:pt>
                <c:pt idx="878">
                  <c:v>21.494028331033352</c:v>
                </c:pt>
                <c:pt idx="879">
                  <c:v>19.135443699502133</c:v>
                </c:pt>
                <c:pt idx="880">
                  <c:v>16.93077616067589</c:v>
                </c:pt>
                <c:pt idx="881">
                  <c:v>14.869981355276542</c:v>
                </c:pt>
                <c:pt idx="882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FB-4FA4-8709-EEAA67BD2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87311"/>
        <c:axId val="1"/>
      </c:scatterChart>
      <c:valAx>
        <c:axId val="461587311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(sec.)</a:t>
                </a:r>
              </a:p>
            </c:rich>
          </c:tx>
          <c:layout>
            <c:manualLayout>
              <c:xMode val="edge"/>
              <c:yMode val="edge"/>
              <c:x val="0.47218925532859113"/>
              <c:y val="0.90156247734226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Chamber pressure  (psi)</a:t>
                </a:r>
              </a:p>
            </c:rich>
          </c:tx>
          <c:layout>
            <c:manualLayout>
              <c:xMode val="edge"/>
              <c:yMode val="edge"/>
              <c:x val="5.5689959044974452E-2"/>
              <c:y val="0.27700874407273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158731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993300"/>
                </a:solidFill>
                <a:latin typeface="Arial"/>
                <a:ea typeface="Arial"/>
                <a:cs typeface="Arial"/>
              </a:defRPr>
            </a:pPr>
            <a:r>
              <a:rPr lang="pt-PT"/>
              <a:t>Thrust vs time</a:t>
            </a:r>
          </a:p>
        </c:rich>
      </c:tx>
      <c:layout>
        <c:manualLayout>
          <c:xMode val="edge"/>
          <c:yMode val="edge"/>
          <c:x val="0.37613290044905529"/>
          <c:y val="0.1562602383518765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27305624458102"/>
          <c:y val="0.26720647773279355"/>
          <c:w val="0.69960575574418848"/>
          <c:h val="0.5323886639676113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Performance!$L$28:$L$910</c:f>
              <c:numCache>
                <c:formatCode>0.0000</c:formatCode>
                <c:ptCount val="883"/>
                <c:pt idx="0">
                  <c:v>0</c:v>
                </c:pt>
                <c:pt idx="1">
                  <c:v>1.3690952744175942E-2</c:v>
                </c:pt>
                <c:pt idx="2">
                  <c:v>1.7603502742996727E-2</c:v>
                </c:pt>
                <c:pt idx="3">
                  <c:v>2.1482688517604476E-2</c:v>
                </c:pt>
                <c:pt idx="4">
                  <c:v>2.5101691753813781E-2</c:v>
                </c:pt>
                <c:pt idx="5">
                  <c:v>2.8540497141026907E-2</c:v>
                </c:pt>
                <c:pt idx="6">
                  <c:v>3.1847400549835231E-2</c:v>
                </c:pt>
                <c:pt idx="7">
                  <c:v>3.505398044593093E-2</c:v>
                </c:pt>
                <c:pt idx="8">
                  <c:v>3.8182062527316811E-2</c:v>
                </c:pt>
                <c:pt idx="9">
                  <c:v>4.1247358195279173E-2</c:v>
                </c:pt>
                <c:pt idx="10">
                  <c:v>4.4261532609196852E-2</c:v>
                </c:pt>
                <c:pt idx="11">
                  <c:v>4.7233458299545526E-2</c:v>
                </c:pt>
                <c:pt idx="12">
                  <c:v>5.0170014749963202E-2</c:v>
                </c:pt>
                <c:pt idx="13">
                  <c:v>5.3076619871607132E-2</c:v>
                </c:pt>
                <c:pt idx="14">
                  <c:v>5.5957595527643941E-2</c:v>
                </c:pt>
                <c:pt idx="15">
                  <c:v>5.8816426223393073E-2</c:v>
                </c:pt>
                <c:pt idx="16">
                  <c:v>6.1655946687005456E-2</c:v>
                </c:pt>
                <c:pt idx="17">
                  <c:v>6.447848074263067E-2</c:v>
                </c:pt>
                <c:pt idx="18">
                  <c:v>6.7285945979161821E-2</c:v>
                </c:pt>
                <c:pt idx="19">
                  <c:v>7.0079933869475156E-2</c:v>
                </c:pt>
                <c:pt idx="20">
                  <c:v>7.2861771927823435E-2</c:v>
                </c:pt>
                <c:pt idx="21">
                  <c:v>7.5632572499824011E-2</c:v>
                </c:pt>
                <c:pt idx="22">
                  <c:v>7.8393271452929084E-2</c:v>
                </c:pt>
                <c:pt idx="23">
                  <c:v>8.1144659133212921E-2</c:v>
                </c:pt>
                <c:pt idx="24">
                  <c:v>8.388740532889101E-2</c:v>
                </c:pt>
                <c:pt idx="25">
                  <c:v>8.6622079539594929E-2</c:v>
                </c:pt>
                <c:pt idx="26">
                  <c:v>8.9349167533829196E-2</c:v>
                </c:pt>
                <c:pt idx="27">
                  <c:v>9.2069084946529559E-2</c:v>
                </c:pt>
                <c:pt idx="28">
                  <c:v>9.4782188498493264E-2</c:v>
                </c:pt>
                <c:pt idx="29">
                  <c:v>9.7488785292256686E-2</c:v>
                </c:pt>
                <c:pt idx="30">
                  <c:v>0.10018914054278401</c:v>
                </c:pt>
                <c:pt idx="31">
                  <c:v>0.10288348402777035</c:v>
                </c:pt>
                <c:pt idx="32">
                  <c:v>0.10557201548555165</c:v>
                </c:pt>
                <c:pt idx="33">
                  <c:v>0.10825490914433769</c:v>
                </c:pt>
                <c:pt idx="34">
                  <c:v>0.11093231753168455</c:v>
                </c:pt>
                <c:pt idx="35">
                  <c:v>0.11360437468556009</c:v>
                </c:pt>
                <c:pt idx="36">
                  <c:v>0.11627119886636905</c:v>
                </c:pt>
                <c:pt idx="37">
                  <c:v>0.11893289485165438</c:v>
                </c:pt>
                <c:pt idx="38">
                  <c:v>0.12158955588093497</c:v>
                </c:pt>
                <c:pt idx="39">
                  <c:v>0.12424126530657287</c:v>
                </c:pt>
                <c:pt idx="40">
                  <c:v>0.12688809799711875</c:v>
                </c:pt>
                <c:pt idx="41">
                  <c:v>0.12953012153185386</c:v>
                </c:pt>
                <c:pt idx="42">
                  <c:v>0.13216739721887991</c:v>
                </c:pt>
                <c:pt idx="43">
                  <c:v>0.13479998096386012</c:v>
                </c:pt>
                <c:pt idx="44">
                  <c:v>0.13742792401215989</c:v>
                </c:pt>
                <c:pt idx="45">
                  <c:v>0.14005127358352346</c:v>
                </c:pt>
                <c:pt idx="46">
                  <c:v>0.14267007341541077</c:v>
                </c:pt>
                <c:pt idx="47">
                  <c:v>0.14528436422860522</c:v>
                </c:pt>
                <c:pt idx="48">
                  <c:v>0.14789418412659722</c:v>
                </c:pt>
                <c:pt idx="49">
                  <c:v>0.15049956893848515</c:v>
                </c:pt>
                <c:pt idx="50">
                  <c:v>0.15310055251365182</c:v>
                </c:pt>
                <c:pt idx="51">
                  <c:v>0.15569716697522437</c:v>
                </c:pt>
                <c:pt idx="52">
                  <c:v>0.15828944293827713</c:v>
                </c:pt>
                <c:pt idx="53">
                  <c:v>0.16087740969784278</c:v>
                </c:pt>
                <c:pt idx="54">
                  <c:v>0.16346109539105047</c:v>
                </c:pt>
                <c:pt idx="55">
                  <c:v>0.16604052713707076</c:v>
                </c:pt>
                <c:pt idx="56">
                  <c:v>0.16861573115800763</c:v>
                </c:pt>
                <c:pt idx="57">
                  <c:v>0.17118673288342171</c:v>
                </c:pt>
                <c:pt idx="58">
                  <c:v>0.17375355704077683</c:v>
                </c:pt>
                <c:pt idx="59">
                  <c:v>0.176316227733776</c:v>
                </c:pt>
                <c:pt idx="60">
                  <c:v>0.17887476851026521</c:v>
                </c:pt>
                <c:pt idx="61">
                  <c:v>0.18142920242114741</c:v>
                </c:pt>
                <c:pt idx="62">
                  <c:v>0.18397955207154371</c:v>
                </c:pt>
                <c:pt idx="63">
                  <c:v>0.18652583966526221</c:v>
                </c:pt>
                <c:pt idx="64">
                  <c:v>0.18906808704348699</c:v>
                </c:pt>
                <c:pt idx="65">
                  <c:v>0.19160631571847109</c:v>
                </c:pt>
                <c:pt idx="66">
                  <c:v>0.19414054690290869</c:v>
                </c:pt>
                <c:pt idx="67">
                  <c:v>0.19667080153556757</c:v>
                </c:pt>
                <c:pt idx="68">
                  <c:v>0.19919710030368101</c:v>
                </c:pt>
                <c:pt idx="69">
                  <c:v>0.20171946366253329</c:v>
                </c:pt>
                <c:pt idx="70">
                  <c:v>0.20423791185260956</c:v>
                </c:pt>
                <c:pt idx="71">
                  <c:v>0.2067524649146322</c:v>
                </c:pt>
                <c:pt idx="72">
                  <c:v>0.20926314270276122</c:v>
                </c:pt>
                <c:pt idx="73">
                  <c:v>0.21176996489620026</c:v>
                </c:pt>
                <c:pt idx="74">
                  <c:v>0.2142729510094141</c:v>
                </c:pt>
                <c:pt idx="75">
                  <c:v>0.21677212040113999</c:v>
                </c:pt>
                <c:pt idx="76">
                  <c:v>0.21926749228234643</c:v>
                </c:pt>
                <c:pt idx="77">
                  <c:v>0.22175908572327607</c:v>
                </c:pt>
                <c:pt idx="78">
                  <c:v>0.22424691965968988</c:v>
                </c:pt>
                <c:pt idx="79">
                  <c:v>0.22673101289841333</c:v>
                </c:pt>
                <c:pt idx="80">
                  <c:v>0.22921138412227382</c:v>
                </c:pt>
                <c:pt idx="81">
                  <c:v>0.23168805189450636</c:v>
                </c:pt>
                <c:pt idx="82">
                  <c:v>0.23416103466269333</c:v>
                </c:pt>
                <c:pt idx="83">
                  <c:v>0.23663035076229727</c:v>
                </c:pt>
                <c:pt idx="84">
                  <c:v>0.23909601841983627</c:v>
                </c:pt>
                <c:pt idx="85">
                  <c:v>0.24155805575574746</c:v>
                </c:pt>
                <c:pt idx="86">
                  <c:v>0.24401648078697602</c:v>
                </c:pt>
                <c:pt idx="87">
                  <c:v>0.24647131142932335</c:v>
                </c:pt>
                <c:pt idx="88">
                  <c:v>0.24892256549958292</c:v>
                </c:pt>
                <c:pt idx="89">
                  <c:v>0.25137026071749147</c:v>
                </c:pt>
                <c:pt idx="90">
                  <c:v>0.25381441470751515</c:v>
                </c:pt>
                <c:pt idx="91">
                  <c:v>0.25625504500049234</c:v>
                </c:pt>
                <c:pt idx="92">
                  <c:v>0.25869216903514841</c:v>
                </c:pt>
                <c:pt idx="93">
                  <c:v>0.26112580415949871</c:v>
                </c:pt>
                <c:pt idx="94">
                  <c:v>0.26355596763215211</c:v>
                </c:pt>
                <c:pt idx="95">
                  <c:v>0.2659826766235267</c:v>
                </c:pt>
                <c:pt idx="96">
                  <c:v>0.26840594821698782</c:v>
                </c:pt>
                <c:pt idx="97">
                  <c:v>0.27082579940991708</c:v>
                </c:pt>
                <c:pt idx="98">
                  <c:v>0.27324224711472</c:v>
                </c:pt>
                <c:pt idx="99">
                  <c:v>0.27565530815977929</c:v>
                </c:pt>
                <c:pt idx="100">
                  <c:v>0.27806499929035977</c:v>
                </c:pt>
                <c:pt idx="101">
                  <c:v>0.28047133716946987</c:v>
                </c:pt>
                <c:pt idx="102">
                  <c:v>0.28287433837868459</c:v>
                </c:pt>
                <c:pt idx="103">
                  <c:v>0.28527401941893377</c:v>
                </c:pt>
                <c:pt idx="104">
                  <c:v>0.2876703967112591</c:v>
                </c:pt>
                <c:pt idx="105">
                  <c:v>0.2900634865975445</c:v>
                </c:pt>
                <c:pt idx="106">
                  <c:v>0.29245330534121977</c:v>
                </c:pt>
                <c:pt idx="107">
                  <c:v>0.29483986912794291</c:v>
                </c:pt>
                <c:pt idx="108">
                  <c:v>0.29722319406626124</c:v>
                </c:pt>
                <c:pt idx="109">
                  <c:v>0.29960329618825465</c:v>
                </c:pt>
                <c:pt idx="110">
                  <c:v>0.30198019145016158</c:v>
                </c:pt>
                <c:pt idx="111">
                  <c:v>0.30435389573298993</c:v>
                </c:pt>
                <c:pt idx="112">
                  <c:v>0.3067244248431138</c:v>
                </c:pt>
                <c:pt idx="113">
                  <c:v>0.30909179451285762</c:v>
                </c:pt>
                <c:pt idx="114">
                  <c:v>0.31145602040106835</c:v>
                </c:pt>
                <c:pt idx="115">
                  <c:v>0.31381711809367718</c:v>
                </c:pt>
                <c:pt idx="116">
                  <c:v>0.31617510310425095</c:v>
                </c:pt>
                <c:pt idx="117">
                  <c:v>0.31852999087453426</c:v>
                </c:pt>
                <c:pt idx="118">
                  <c:v>0.32088179677498324</c:v>
                </c:pt>
                <c:pt idx="119">
                  <c:v>0.32323053610529101</c:v>
                </c:pt>
                <c:pt idx="120">
                  <c:v>0.325576224094906</c:v>
                </c:pt>
                <c:pt idx="121">
                  <c:v>0.32791887590354307</c:v>
                </c:pt>
                <c:pt idx="122">
                  <c:v>0.33025850662168765</c:v>
                </c:pt>
                <c:pt idx="123">
                  <c:v>0.33259513127109436</c:v>
                </c:pt>
                <c:pt idx="124">
                  <c:v>0.33492876480527894</c:v>
                </c:pt>
                <c:pt idx="125">
                  <c:v>0.33725942211000526</c:v>
                </c:pt>
                <c:pt idx="126">
                  <c:v>0.33958711800376656</c:v>
                </c:pt>
                <c:pt idx="127">
                  <c:v>0.34191186723826184</c:v>
                </c:pt>
                <c:pt idx="128">
                  <c:v>0.34423368449886693</c:v>
                </c:pt>
                <c:pt idx="129">
                  <c:v>0.3465525844051015</c:v>
                </c:pt>
                <c:pt idx="130">
                  <c:v>0.34886858151109112</c:v>
                </c:pt>
                <c:pt idx="131">
                  <c:v>0.3511816903060252</c:v>
                </c:pt>
                <c:pt idx="132">
                  <c:v>0.35349192521461054</c:v>
                </c:pt>
                <c:pt idx="133">
                  <c:v>0.35579930059752107</c:v>
                </c:pt>
                <c:pt idx="134">
                  <c:v>0.35810383075184349</c:v>
                </c:pt>
                <c:pt idx="135">
                  <c:v>0.36040552991151903</c:v>
                </c:pt>
                <c:pt idx="136">
                  <c:v>0.36270441224778166</c:v>
                </c:pt>
                <c:pt idx="137">
                  <c:v>0.36500049186959271</c:v>
                </c:pt>
                <c:pt idx="138">
                  <c:v>0.36729378282407166</c:v>
                </c:pt>
                <c:pt idx="139">
                  <c:v>0.36958429909692375</c:v>
                </c:pt>
                <c:pt idx="140">
                  <c:v>0.37187205461286399</c:v>
                </c:pt>
                <c:pt idx="141">
                  <c:v>0.37415706323603803</c:v>
                </c:pt>
                <c:pt idx="142">
                  <c:v>0.37643933877043978</c:v>
                </c:pt>
                <c:pt idx="143">
                  <c:v>0.37871889496032579</c:v>
                </c:pt>
                <c:pt idx="144">
                  <c:v>0.38099574549062643</c:v>
                </c:pt>
                <c:pt idx="145">
                  <c:v>0.38326990398735394</c:v>
                </c:pt>
                <c:pt idx="146">
                  <c:v>0.38554138401800758</c:v>
                </c:pt>
                <c:pt idx="147">
                  <c:v>0.387810199091976</c:v>
                </c:pt>
                <c:pt idx="148">
                  <c:v>0.39007636266093615</c:v>
                </c:pt>
                <c:pt idx="149">
                  <c:v>0.39233988811924969</c:v>
                </c:pt>
                <c:pt idx="150">
                  <c:v>0.39460078880435623</c:v>
                </c:pt>
                <c:pt idx="151">
                  <c:v>0.3968590779971643</c:v>
                </c:pt>
                <c:pt idx="152">
                  <c:v>0.39911476892243869</c:v>
                </c:pt>
                <c:pt idx="153">
                  <c:v>0.40136787474918584</c:v>
                </c:pt>
                <c:pt idx="154">
                  <c:v>0.40361840859103615</c:v>
                </c:pt>
                <c:pt idx="155">
                  <c:v>0.40586638350662335</c:v>
                </c:pt>
                <c:pt idx="156">
                  <c:v>0.4080892321846642</c:v>
                </c:pt>
                <c:pt idx="157">
                  <c:v>0.41031336577271849</c:v>
                </c:pt>
                <c:pt idx="158">
                  <c:v>0.41253848282651479</c:v>
                </c:pt>
                <c:pt idx="159">
                  <c:v>0.4147643628986073</c:v>
                </c:pt>
                <c:pt idx="160">
                  <c:v>0.41699084445127033</c:v>
                </c:pt>
                <c:pt idx="161">
                  <c:v>0.4192178088938775</c:v>
                </c:pt>
                <c:pt idx="162">
                  <c:v>0.42144516900686885</c:v>
                </c:pt>
                <c:pt idx="163">
                  <c:v>0.42367286052384107</c:v>
                </c:pt>
                <c:pt idx="164">
                  <c:v>0.42590083599651141</c:v>
                </c:pt>
                <c:pt idx="165">
                  <c:v>0.42812906031514847</c:v>
                </c:pt>
                <c:pt idx="166">
                  <c:v>0.4303575074325825</c:v>
                </c:pt>
                <c:pt idx="167">
                  <c:v>0.43258615796510774</c:v>
                </c:pt>
                <c:pt idx="168">
                  <c:v>0.43481499743339447</c:v>
                </c:pt>
                <c:pt idx="169">
                  <c:v>0.43704401497123102</c:v>
                </c:pt>
                <c:pt idx="170">
                  <c:v>0.43927320237669365</c:v>
                </c:pt>
                <c:pt idx="171">
                  <c:v>0.44150255341425659</c:v>
                </c:pt>
                <c:pt idx="172">
                  <c:v>0.44373206330099896</c:v>
                </c:pt>
                <c:pt idx="173">
                  <c:v>0.44596172832800757</c:v>
                </c:pt>
                <c:pt idx="174">
                  <c:v>0.44819154558115992</c:v>
                </c:pt>
                <c:pt idx="175">
                  <c:v>0.45042151273502645</c:v>
                </c:pt>
                <c:pt idx="176">
                  <c:v>0.45265162790061758</c:v>
                </c:pt>
                <c:pt idx="177">
                  <c:v>0.45488188951281694</c:v>
                </c:pt>
                <c:pt idx="178">
                  <c:v>0.45711229624708849</c:v>
                </c:pt>
                <c:pt idx="179">
                  <c:v>0.45934284695779565</c:v>
                </c:pt>
                <c:pt idx="180">
                  <c:v>0.46157354063248845</c:v>
                </c:pt>
                <c:pt idx="181">
                  <c:v>0.46380437635799843</c:v>
                </c:pt>
                <c:pt idx="182">
                  <c:v>0.4660353532952709</c:v>
                </c:pt>
                <c:pt idx="183">
                  <c:v>0.46826647066066923</c:v>
                </c:pt>
                <c:pt idx="184">
                  <c:v>0.47049772771207488</c:v>
                </c:pt>
                <c:pt idx="185">
                  <c:v>0.47272912373854575</c:v>
                </c:pt>
                <c:pt idx="186">
                  <c:v>0.47496065805261545</c:v>
                </c:pt>
                <c:pt idx="187">
                  <c:v>0.47719232998455441</c:v>
                </c:pt>
                <c:pt idx="188">
                  <c:v>0.47942413887808971</c:v>
                </c:pt>
                <c:pt idx="189">
                  <c:v>0.48165608408721039</c:v>
                </c:pt>
                <c:pt idx="190">
                  <c:v>0.48388816497378029</c:v>
                </c:pt>
                <c:pt idx="191">
                  <c:v>0.4861203809057536</c:v>
                </c:pt>
                <c:pt idx="192">
                  <c:v>0.48835273125583895</c:v>
                </c:pt>
                <c:pt idx="193">
                  <c:v>0.4905852154004986</c:v>
                </c:pt>
                <c:pt idx="194">
                  <c:v>0.49281783271919816</c:v>
                </c:pt>
                <c:pt idx="195">
                  <c:v>0.49505058259384266</c:v>
                </c:pt>
                <c:pt idx="196">
                  <c:v>0.49728346440835325</c:v>
                </c:pt>
                <c:pt idx="197">
                  <c:v>0.49951647754834777</c:v>
                </c:pt>
                <c:pt idx="198">
                  <c:v>0.5017496214009004</c:v>
                </c:pt>
                <c:pt idx="199">
                  <c:v>0.50398289535435947</c:v>
                </c:pt>
                <c:pt idx="200">
                  <c:v>0.50621629879820973</c:v>
                </c:pt>
                <c:pt idx="201">
                  <c:v>0.50844983112296782</c:v>
                </c:pt>
                <c:pt idx="202">
                  <c:v>0.51068349172010208</c:v>
                </c:pt>
                <c:pt idx="203">
                  <c:v>0.51291727998197134</c:v>
                </c:pt>
                <c:pt idx="204">
                  <c:v>0.51515119530177778</c:v>
                </c:pt>
                <c:pt idx="205">
                  <c:v>0.51738523707353046</c:v>
                </c:pt>
                <c:pt idx="206">
                  <c:v>0.51961940469201662</c:v>
                </c:pt>
                <c:pt idx="207">
                  <c:v>0.52185369755277911</c:v>
                </c:pt>
                <c:pt idx="208">
                  <c:v>0.52408811505209818</c:v>
                </c:pt>
                <c:pt idx="209">
                  <c:v>0.52632265658697697</c:v>
                </c:pt>
                <c:pt idx="210">
                  <c:v>0.52855732155512936</c:v>
                </c:pt>
                <c:pt idx="211">
                  <c:v>0.53079210935497012</c:v>
                </c:pt>
                <c:pt idx="212">
                  <c:v>0.53302701938560626</c:v>
                </c:pt>
                <c:pt idx="213">
                  <c:v>0.53526205104682922</c:v>
                </c:pt>
                <c:pt idx="214">
                  <c:v>0.5374972037391087</c:v>
                </c:pt>
                <c:pt idx="215">
                  <c:v>0.5397324768635865</c:v>
                </c:pt>
                <c:pt idx="216">
                  <c:v>0.54196786982207101</c:v>
                </c:pt>
                <c:pt idx="217">
                  <c:v>0.54420338201703244</c:v>
                </c:pt>
                <c:pt idx="218">
                  <c:v>0.54643901285159768</c:v>
                </c:pt>
                <c:pt idx="219">
                  <c:v>0.54867476172954599</c:v>
                </c:pt>
                <c:pt idx="220">
                  <c:v>0.55091062805530444</c:v>
                </c:pt>
                <c:pt idx="221">
                  <c:v>0.55314661123394393</c:v>
                </c:pt>
                <c:pt idx="222">
                  <c:v>0.55538271067117484</c:v>
                </c:pt>
                <c:pt idx="223">
                  <c:v>0.55761892577334293</c:v>
                </c:pt>
                <c:pt idx="224">
                  <c:v>0.55985525594742569</c:v>
                </c:pt>
                <c:pt idx="225">
                  <c:v>0.56209170060102798</c:v>
                </c:pt>
                <c:pt idx="226">
                  <c:v>0.56432825914237861</c:v>
                </c:pt>
                <c:pt idx="227">
                  <c:v>0.56656493098032601</c:v>
                </c:pt>
                <c:pt idx="228">
                  <c:v>0.56880171552433478</c:v>
                </c:pt>
                <c:pt idx="229">
                  <c:v>0.57103861218448182</c:v>
                </c:pt>
                <c:pt idx="230">
                  <c:v>0.57327562037145252</c:v>
                </c:pt>
                <c:pt idx="231">
                  <c:v>0.57551273949653692</c:v>
                </c:pt>
                <c:pt idx="232">
                  <c:v>0.57774996897162612</c:v>
                </c:pt>
                <c:pt idx="233">
                  <c:v>0.57998730820920863</c:v>
                </c:pt>
                <c:pt idx="234">
                  <c:v>0.5822247566223665</c:v>
                </c:pt>
                <c:pt idx="235">
                  <c:v>0.58446231362477163</c:v>
                </c:pt>
                <c:pt idx="236">
                  <c:v>0.58669997863068235</c:v>
                </c:pt>
                <c:pt idx="237">
                  <c:v>0.58893775105493962</c:v>
                </c:pt>
                <c:pt idx="238">
                  <c:v>0.59117563031296327</c:v>
                </c:pt>
                <c:pt idx="239">
                  <c:v>0.59341361582074847</c:v>
                </c:pt>
                <c:pt idx="240">
                  <c:v>0.59565170699486236</c:v>
                </c:pt>
                <c:pt idx="241">
                  <c:v>0.59788990325244007</c:v>
                </c:pt>
                <c:pt idx="242">
                  <c:v>0.60012820401118128</c:v>
                </c:pt>
                <c:pt idx="243">
                  <c:v>0.60236660868934655</c:v>
                </c:pt>
                <c:pt idx="244">
                  <c:v>0.60460511670575412</c:v>
                </c:pt>
                <c:pt idx="245">
                  <c:v>0.60684372747977589</c:v>
                </c:pt>
                <c:pt idx="246">
                  <c:v>0.60908244043133397</c:v>
                </c:pt>
                <c:pt idx="247">
                  <c:v>0.61132125498089751</c:v>
                </c:pt>
                <c:pt idx="248">
                  <c:v>0.61356017054947876</c:v>
                </c:pt>
                <c:pt idx="249">
                  <c:v>0.61579918655862964</c:v>
                </c:pt>
                <c:pt idx="250">
                  <c:v>0.61803830243043845</c:v>
                </c:pt>
                <c:pt idx="251">
                  <c:v>0.62027751758752614</c:v>
                </c:pt>
                <c:pt idx="252">
                  <c:v>0.62251683145304293</c:v>
                </c:pt>
                <c:pt idx="253">
                  <c:v>0.62475624345066483</c:v>
                </c:pt>
                <c:pt idx="254">
                  <c:v>0.62699575300459032</c:v>
                </c:pt>
                <c:pt idx="255">
                  <c:v>0.62923535953953647</c:v>
                </c:pt>
                <c:pt idx="256">
                  <c:v>0.63147506248073593</c:v>
                </c:pt>
                <c:pt idx="257">
                  <c:v>0.6337148612539335</c:v>
                </c:pt>
                <c:pt idx="258">
                  <c:v>0.63595475528538237</c:v>
                </c:pt>
                <c:pt idx="259">
                  <c:v>0.63819474400184095</c:v>
                </c:pt>
                <c:pt idx="260">
                  <c:v>0.64043482683056951</c:v>
                </c:pt>
                <c:pt idx="261">
                  <c:v>0.64267500319932658</c:v>
                </c:pt>
                <c:pt idx="262">
                  <c:v>0.64491527253636582</c:v>
                </c:pt>
                <c:pt idx="263">
                  <c:v>0.64715563427043243</c:v>
                </c:pt>
                <c:pt idx="264">
                  <c:v>0.64939608783075997</c:v>
                </c:pt>
                <c:pt idx="265">
                  <c:v>0.65163663264706673</c:v>
                </c:pt>
                <c:pt idx="266">
                  <c:v>0.65387726814955283</c:v>
                </c:pt>
                <c:pt idx="267">
                  <c:v>0.65611799376889635</c:v>
                </c:pt>
                <c:pt idx="268">
                  <c:v>0.65835880893625054</c:v>
                </c:pt>
                <c:pt idx="269">
                  <c:v>0.66059971308324006</c:v>
                </c:pt>
                <c:pt idx="270">
                  <c:v>0.66284070564195796</c:v>
                </c:pt>
                <c:pt idx="271">
                  <c:v>0.66508178604496215</c:v>
                </c:pt>
                <c:pt idx="272">
                  <c:v>0.66732295372527239</c:v>
                </c:pt>
                <c:pt idx="273">
                  <c:v>0.66956420811636685</c:v>
                </c:pt>
                <c:pt idx="274">
                  <c:v>0.67180554865217879</c:v>
                </c:pt>
                <c:pt idx="275">
                  <c:v>0.6740469747670933</c:v>
                </c:pt>
                <c:pt idx="276">
                  <c:v>0.67628848589594426</c:v>
                </c:pt>
                <c:pt idx="277">
                  <c:v>0.67853008147401084</c:v>
                </c:pt>
                <c:pt idx="278">
                  <c:v>0.6807717609370143</c:v>
                </c:pt>
                <c:pt idx="279">
                  <c:v>0.68301352372111479</c:v>
                </c:pt>
                <c:pt idx="280">
                  <c:v>0.68525536926290831</c:v>
                </c:pt>
                <c:pt idx="281">
                  <c:v>0.6874972969994233</c:v>
                </c:pt>
                <c:pt idx="282">
                  <c:v>0.68973930636811742</c:v>
                </c:pt>
                <c:pt idx="283">
                  <c:v>0.69198139680687443</c:v>
                </c:pt>
                <c:pt idx="284">
                  <c:v>0.69422356775400107</c:v>
                </c:pt>
                <c:pt idx="285">
                  <c:v>0.69646581864822354</c:v>
                </c:pt>
                <c:pt idx="286">
                  <c:v>0.69870814892868494</c:v>
                </c:pt>
                <c:pt idx="287">
                  <c:v>0.70095055803494144</c:v>
                </c:pt>
                <c:pt idx="288">
                  <c:v>0.70319304540695948</c:v>
                </c:pt>
                <c:pt idx="289">
                  <c:v>0.70543561048511272</c:v>
                </c:pt>
                <c:pt idx="290">
                  <c:v>0.7076782527101787</c:v>
                </c:pt>
                <c:pt idx="291">
                  <c:v>0.70992097152333566</c:v>
                </c:pt>
                <c:pt idx="292">
                  <c:v>0.71216376636615952</c:v>
                </c:pt>
                <c:pt idx="293">
                  <c:v>0.71440663668062088</c:v>
                </c:pt>
                <c:pt idx="294">
                  <c:v>0.71664958190908157</c:v>
                </c:pt>
                <c:pt idx="295">
                  <c:v>0.71889260149429191</c:v>
                </c:pt>
                <c:pt idx="296">
                  <c:v>0.72113569487938733</c:v>
                </c:pt>
                <c:pt idx="297">
                  <c:v>0.72337886150788555</c:v>
                </c:pt>
                <c:pt idx="298">
                  <c:v>0.72562210082368328</c:v>
                </c:pt>
                <c:pt idx="299">
                  <c:v>0.72786541227105317</c:v>
                </c:pt>
                <c:pt idx="300">
                  <c:v>0.73010879529464079</c:v>
                </c:pt>
                <c:pt idx="301">
                  <c:v>0.73235224933946164</c:v>
                </c:pt>
                <c:pt idx="302">
                  <c:v>0.73459577385089792</c:v>
                </c:pt>
                <c:pt idx="303">
                  <c:v>0.73683936827469565</c:v>
                </c:pt>
                <c:pt idx="304">
                  <c:v>0.73908303205696158</c:v>
                </c:pt>
                <c:pt idx="305">
                  <c:v>0.74132676464416003</c:v>
                </c:pt>
                <c:pt idx="306">
                  <c:v>0.74357056548310996</c:v>
                </c:pt>
                <c:pt idx="307">
                  <c:v>0.74581443402098213</c:v>
                </c:pt>
                <c:pt idx="308">
                  <c:v>0.74805836970529571</c:v>
                </c:pt>
                <c:pt idx="309">
                  <c:v>0.75030237198391558</c:v>
                </c:pt>
                <c:pt idx="310">
                  <c:v>0.75254644030504914</c:v>
                </c:pt>
                <c:pt idx="311">
                  <c:v>0.75479057411724337</c:v>
                </c:pt>
                <c:pt idx="312">
                  <c:v>0.75703477286938203</c:v>
                </c:pt>
                <c:pt idx="313">
                  <c:v>0.75927903601068225</c:v>
                </c:pt>
                <c:pt idx="314">
                  <c:v>0.76152336299069201</c:v>
                </c:pt>
                <c:pt idx="315">
                  <c:v>0.76376775325928692</c:v>
                </c:pt>
                <c:pt idx="316">
                  <c:v>0.76601220626666722</c:v>
                </c:pt>
                <c:pt idx="317">
                  <c:v>0.768256721463355</c:v>
                </c:pt>
                <c:pt idx="318">
                  <c:v>0.7705012983001911</c:v>
                </c:pt>
                <c:pt idx="319">
                  <c:v>0.7727459362283321</c:v>
                </c:pt>
                <c:pt idx="320">
                  <c:v>0.77499063469924767</c:v>
                </c:pt>
                <c:pt idx="321">
                  <c:v>0.77723539316471735</c:v>
                </c:pt>
                <c:pt idx="322">
                  <c:v>0.77948021107682774</c:v>
                </c:pt>
                <c:pt idx="323">
                  <c:v>0.78172508788796946</c:v>
                </c:pt>
                <c:pt idx="324">
                  <c:v>0.78397002305083452</c:v>
                </c:pt>
                <c:pt idx="325">
                  <c:v>0.78621501601841304</c:v>
                </c:pt>
                <c:pt idx="326">
                  <c:v>0.78846006624399056</c:v>
                </c:pt>
                <c:pt idx="327">
                  <c:v>0.79070517318114508</c:v>
                </c:pt>
                <c:pt idx="328">
                  <c:v>0.79295033628374412</c:v>
                </c:pt>
                <c:pt idx="329">
                  <c:v>0.79519555500594197</c:v>
                </c:pt>
                <c:pt idx="330">
                  <c:v>0.7974408288021767</c:v>
                </c:pt>
                <c:pt idx="331">
                  <c:v>0.79968615712716729</c:v>
                </c:pt>
                <c:pt idx="332">
                  <c:v>0.80193153943591056</c:v>
                </c:pt>
                <c:pt idx="333">
                  <c:v>0.8041769751836787</c:v>
                </c:pt>
                <c:pt idx="334">
                  <c:v>0.80642246382601612</c:v>
                </c:pt>
                <c:pt idx="335">
                  <c:v>0.80866800481873657</c:v>
                </c:pt>
                <c:pt idx="336">
                  <c:v>0.81091359761792048</c:v>
                </c:pt>
                <c:pt idx="337">
                  <c:v>0.81315924167991194</c:v>
                </c:pt>
                <c:pt idx="338">
                  <c:v>0.81540493646131595</c:v>
                </c:pt>
                <c:pt idx="339">
                  <c:v>0.81765068141899555</c:v>
                </c:pt>
                <c:pt idx="340">
                  <c:v>0.81989647601006876</c:v>
                </c:pt>
                <c:pt idx="341">
                  <c:v>0.82214231969190621</c:v>
                </c:pt>
                <c:pt idx="342">
                  <c:v>0.82438821192212797</c:v>
                </c:pt>
                <c:pt idx="343">
                  <c:v>0.8266341521586007</c:v>
                </c:pt>
                <c:pt idx="344">
                  <c:v>0.82888013985943498</c:v>
                </c:pt>
                <c:pt idx="345">
                  <c:v>0.83112617448298254</c:v>
                </c:pt>
                <c:pt idx="346">
                  <c:v>0.83337225548783322</c:v>
                </c:pt>
                <c:pt idx="347">
                  <c:v>0.83561838233281238</c:v>
                </c:pt>
                <c:pt idx="348">
                  <c:v>0.83786455447697794</c:v>
                </c:pt>
                <c:pt idx="349">
                  <c:v>0.84011077137961776</c:v>
                </c:pt>
                <c:pt idx="350">
                  <c:v>0.84235703250024674</c:v>
                </c:pt>
                <c:pt idx="351">
                  <c:v>0.84460333729860393</c:v>
                </c:pt>
                <c:pt idx="352">
                  <c:v>0.84684968523464987</c:v>
                </c:pt>
                <c:pt idx="353">
                  <c:v>0.84909607576856383</c:v>
                </c:pt>
                <c:pt idx="354">
                  <c:v>0.85134250836074088</c:v>
                </c:pt>
                <c:pt idx="355">
                  <c:v>0.85358898247178927</c:v>
                </c:pt>
                <c:pt idx="356">
                  <c:v>0.85583549756252764</c:v>
                </c:pt>
                <c:pt idx="357">
                  <c:v>0.85808205309398222</c:v>
                </c:pt>
                <c:pt idx="358">
                  <c:v>0.860328648527384</c:v>
                </c:pt>
                <c:pt idx="359">
                  <c:v>0.862575283324166</c:v>
                </c:pt>
                <c:pt idx="360">
                  <c:v>0.86482195694596053</c:v>
                </c:pt>
                <c:pt idx="361">
                  <c:v>0.86706866885459666</c:v>
                </c:pt>
                <c:pt idx="362">
                  <c:v>0.86931541851209704</c:v>
                </c:pt>
                <c:pt idx="363">
                  <c:v>0.87156220538067541</c:v>
                </c:pt>
                <c:pt idx="364">
                  <c:v>0.87380902892273382</c:v>
                </c:pt>
                <c:pt idx="365">
                  <c:v>0.87605588860086003</c:v>
                </c:pt>
                <c:pt idx="366">
                  <c:v>0.87830278387782446</c:v>
                </c:pt>
                <c:pt idx="367">
                  <c:v>0.88054971421657768</c:v>
                </c:pt>
                <c:pt idx="368">
                  <c:v>0.88279667908024761</c:v>
                </c:pt>
                <c:pt idx="369">
                  <c:v>0.8850436779321369</c:v>
                </c:pt>
                <c:pt idx="370">
                  <c:v>0.88729071023572015</c:v>
                </c:pt>
                <c:pt idx="371">
                  <c:v>0.88953777545464097</c:v>
                </c:pt>
                <c:pt idx="372">
                  <c:v>0.89178487305270959</c:v>
                </c:pt>
                <c:pt idx="373">
                  <c:v>0.89403200249390002</c:v>
                </c:pt>
                <c:pt idx="374">
                  <c:v>0.89627916324234724</c:v>
                </c:pt>
                <c:pt idx="375">
                  <c:v>0.89852635476234466</c:v>
                </c:pt>
                <c:pt idx="376">
                  <c:v>0.90077357651834122</c:v>
                </c:pt>
                <c:pt idx="377">
                  <c:v>0.90302082797493899</c:v>
                </c:pt>
                <c:pt idx="378">
                  <c:v>0.90526810859689011</c:v>
                </c:pt>
                <c:pt idx="379">
                  <c:v>0.90751541784909429</c:v>
                </c:pt>
                <c:pt idx="380">
                  <c:v>0.90976275519659611</c:v>
                </c:pt>
                <c:pt idx="381">
                  <c:v>0.91201012010458238</c:v>
                </c:pt>
                <c:pt idx="382">
                  <c:v>0.91425751203837924</c:v>
                </c:pt>
                <c:pt idx="383">
                  <c:v>0.91650493046344972</c:v>
                </c:pt>
                <c:pt idx="384">
                  <c:v>0.91875237484539085</c:v>
                </c:pt>
                <c:pt idx="385">
                  <c:v>0.92099984464993112</c:v>
                </c:pt>
                <c:pt idx="386">
                  <c:v>0.92324733934292769</c:v>
                </c:pt>
                <c:pt idx="387">
                  <c:v>0.92549485839036383</c:v>
                </c:pt>
                <c:pt idx="388">
                  <c:v>0.92774240125834617</c:v>
                </c:pt>
                <c:pt idx="389">
                  <c:v>0.92998996741310203</c:v>
                </c:pt>
                <c:pt idx="390">
                  <c:v>0.93223755632097682</c:v>
                </c:pt>
                <c:pt idx="391">
                  <c:v>0.93448516744843113</c:v>
                </c:pt>
                <c:pt idx="392">
                  <c:v>0.93673280026203842</c:v>
                </c:pt>
                <c:pt idx="393">
                  <c:v>0.93898045422848209</c:v>
                </c:pt>
                <c:pt idx="394">
                  <c:v>0.94122812881455287</c:v>
                </c:pt>
                <c:pt idx="395">
                  <c:v>0.9434758234871462</c:v>
                </c:pt>
                <c:pt idx="396">
                  <c:v>0.94572353771325968</c:v>
                </c:pt>
                <c:pt idx="397">
                  <c:v>0.94797127095999023</c:v>
                </c:pt>
                <c:pt idx="398">
                  <c:v>0.9502190226945314</c:v>
                </c:pt>
                <c:pt idx="399">
                  <c:v>0.95246679238417098</c:v>
                </c:pt>
                <c:pt idx="400">
                  <c:v>0.95471457949628802</c:v>
                </c:pt>
                <c:pt idx="401">
                  <c:v>0.95696238349835039</c:v>
                </c:pt>
                <c:pt idx="402">
                  <c:v>0.959210203857912</c:v>
                </c:pt>
                <c:pt idx="403">
                  <c:v>0.96145804004261048</c:v>
                </c:pt>
                <c:pt idx="404">
                  <c:v>0.96370589152016395</c:v>
                </c:pt>
                <c:pt idx="405">
                  <c:v>0.965953757758369</c:v>
                </c:pt>
                <c:pt idx="406">
                  <c:v>0.96820163822509753</c:v>
                </c:pt>
                <c:pt idx="407">
                  <c:v>0.97044953238829446</c:v>
                </c:pt>
                <c:pt idx="408">
                  <c:v>0.97269743971597489</c:v>
                </c:pt>
                <c:pt idx="409">
                  <c:v>0.97494535967622153</c:v>
                </c:pt>
                <c:pt idx="410">
                  <c:v>0.97719329173718217</c:v>
                </c:pt>
                <c:pt idx="411">
                  <c:v>0.97944123536706673</c:v>
                </c:pt>
                <c:pt idx="412">
                  <c:v>0.98168919003414501</c:v>
                </c:pt>
                <c:pt idx="413">
                  <c:v>0.98393715520674385</c:v>
                </c:pt>
                <c:pt idx="414">
                  <c:v>0.9861851303532444</c:v>
                </c:pt>
                <c:pt idx="415">
                  <c:v>0.98843311494207975</c:v>
                </c:pt>
                <c:pt idx="416">
                  <c:v>0.99068110844173196</c:v>
                </c:pt>
                <c:pt idx="417">
                  <c:v>0.99292911032072984</c:v>
                </c:pt>
                <c:pt idx="418">
                  <c:v>0.99517712004764591</c:v>
                </c:pt>
                <c:pt idx="419">
                  <c:v>0.99742513709109404</c:v>
                </c:pt>
                <c:pt idx="420">
                  <c:v>0.99967316091972669</c:v>
                </c:pt>
                <c:pt idx="421">
                  <c:v>1.0019211910022323</c:v>
                </c:pt>
                <c:pt idx="422">
                  <c:v>1.004169226807333</c:v>
                </c:pt>
                <c:pt idx="423">
                  <c:v>1.0064172678037813</c:v>
                </c:pt>
                <c:pt idx="424">
                  <c:v>1.0086653134603578</c:v>
                </c:pt>
                <c:pt idx="425">
                  <c:v>1.0109133632458691</c:v>
                </c:pt>
                <c:pt idx="426">
                  <c:v>1.0131614166291441</c:v>
                </c:pt>
                <c:pt idx="427">
                  <c:v>1.0154094730790322</c:v>
                </c:pt>
                <c:pt idx="428">
                  <c:v>1.0176575320644006</c:v>
                </c:pt>
                <c:pt idx="429">
                  <c:v>1.0199055930541312</c:v>
                </c:pt>
                <c:pt idx="430">
                  <c:v>1.0221536555171182</c:v>
                </c:pt>
                <c:pt idx="431">
                  <c:v>1.0244017189222661</c:v>
                </c:pt>
                <c:pt idx="432">
                  <c:v>1.0266497827384859</c:v>
                </c:pt>
                <c:pt idx="433">
                  <c:v>1.0288978464346934</c:v>
                </c:pt>
                <c:pt idx="434">
                  <c:v>1.0311459094798063</c:v>
                </c:pt>
                <c:pt idx="435">
                  <c:v>1.0333939713427416</c:v>
                </c:pt>
                <c:pt idx="436">
                  <c:v>1.0356420314924126</c:v>
                </c:pt>
                <c:pt idx="437">
                  <c:v>1.037890089397727</c:v>
                </c:pt>
                <c:pt idx="438">
                  <c:v>1.0401381445275837</c:v>
                </c:pt>
                <c:pt idx="439">
                  <c:v>1.0423861963508705</c:v>
                </c:pt>
                <c:pt idx="440">
                  <c:v>1.0446342443364609</c:v>
                </c:pt>
                <c:pt idx="441">
                  <c:v>1.0468822879532125</c:v>
                </c:pt>
                <c:pt idx="442">
                  <c:v>1.0491303266699634</c:v>
                </c:pt>
                <c:pt idx="443">
                  <c:v>1.0513783599555302</c:v>
                </c:pt>
                <c:pt idx="444">
                  <c:v>1.0536263872787048</c:v>
                </c:pt>
                <c:pt idx="445">
                  <c:v>1.0558744081082525</c:v>
                </c:pt>
                <c:pt idx="446">
                  <c:v>1.0581224219129088</c:v>
                </c:pt>
                <c:pt idx="447">
                  <c:v>1.0603704281613771</c:v>
                </c:pt>
                <c:pt idx="448">
                  <c:v>1.0626184263223255</c:v>
                </c:pt>
                <c:pt idx="449">
                  <c:v>1.064866415864385</c:v>
                </c:pt>
                <c:pt idx="450">
                  <c:v>1.0671143962561465</c:v>
                </c:pt>
                <c:pt idx="451">
                  <c:v>1.0693623669661578</c:v>
                </c:pt>
                <c:pt idx="452">
                  <c:v>1.0716103274629218</c:v>
                </c:pt>
                <c:pt idx="453">
                  <c:v>1.073858277214893</c:v>
                </c:pt>
                <c:pt idx="454">
                  <c:v>1.0761062156904755</c:v>
                </c:pt>
                <c:pt idx="455">
                  <c:v>1.0783541423580199</c:v>
                </c:pt>
                <c:pt idx="456">
                  <c:v>1.080602056685821</c:v>
                </c:pt>
                <c:pt idx="457">
                  <c:v>1.0828499581421149</c:v>
                </c:pt>
                <c:pt idx="458">
                  <c:v>1.0850978461950769</c:v>
                </c:pt>
                <c:pt idx="459">
                  <c:v>1.0873457203128181</c:v>
                </c:pt>
                <c:pt idx="460">
                  <c:v>1.0895935799633834</c:v>
                </c:pt>
                <c:pt idx="461">
                  <c:v>1.0918414246147483</c:v>
                </c:pt>
                <c:pt idx="462">
                  <c:v>1.094089253734817</c:v>
                </c:pt>
                <c:pt idx="463">
                  <c:v>1.096337066791419</c:v>
                </c:pt>
                <c:pt idx="464">
                  <c:v>1.098584863252307</c:v>
                </c:pt>
                <c:pt idx="465">
                  <c:v>1.1008326425851538</c:v>
                </c:pt>
                <c:pt idx="466">
                  <c:v>1.1030804042575499</c:v>
                </c:pt>
                <c:pt idx="467">
                  <c:v>1.1053281477370014</c:v>
                </c:pt>
                <c:pt idx="468">
                  <c:v>1.1075758724909259</c:v>
                </c:pt>
                <c:pt idx="469">
                  <c:v>1.1098235779866517</c:v>
                </c:pt>
                <c:pt idx="470">
                  <c:v>1.1120712636914134</c:v>
                </c:pt>
                <c:pt idx="471">
                  <c:v>1.1143189290723505</c:v>
                </c:pt>
                <c:pt idx="472">
                  <c:v>1.1165665735965042</c:v>
                </c:pt>
                <c:pt idx="473">
                  <c:v>1.1188141967308147</c:v>
                </c:pt>
                <c:pt idx="474">
                  <c:v>1.1210617979421191</c:v>
                </c:pt>
                <c:pt idx="475">
                  <c:v>1.1233093766971478</c:v>
                </c:pt>
                <c:pt idx="476">
                  <c:v>1.1255569324625228</c:v>
                </c:pt>
                <c:pt idx="477">
                  <c:v>1.1278044647047543</c:v>
                </c:pt>
                <c:pt idx="478">
                  <c:v>1.1300519728902383</c:v>
                </c:pt>
                <c:pt idx="479">
                  <c:v>1.1322994564852544</c:v>
                </c:pt>
                <c:pt idx="480">
                  <c:v>1.1345469149559624</c:v>
                </c:pt>
                <c:pt idx="481">
                  <c:v>1.1367943477683997</c:v>
                </c:pt>
                <c:pt idx="482">
                  <c:v>1.1390417543884794</c:v>
                </c:pt>
                <c:pt idx="483">
                  <c:v>1.1412891342819869</c:v>
                </c:pt>
                <c:pt idx="484">
                  <c:v>1.143536486914577</c:v>
                </c:pt>
                <c:pt idx="485">
                  <c:v>1.145783811751772</c:v>
                </c:pt>
                <c:pt idx="486">
                  <c:v>1.1480311082589587</c:v>
                </c:pt>
                <c:pt idx="487">
                  <c:v>1.1502783759013855</c:v>
                </c:pt>
                <c:pt idx="488">
                  <c:v>1.1525256141441598</c:v>
                </c:pt>
                <c:pt idx="489">
                  <c:v>1.1547728224522456</c:v>
                </c:pt>
                <c:pt idx="490">
                  <c:v>1.1570200002904605</c:v>
                </c:pt>
                <c:pt idx="491">
                  <c:v>1.159267147123473</c:v>
                </c:pt>
                <c:pt idx="492">
                  <c:v>1.1615142624158001</c:v>
                </c:pt>
                <c:pt idx="493">
                  <c:v>1.1637613456318043</c:v>
                </c:pt>
                <c:pt idx="494">
                  <c:v>1.1660083962356911</c:v>
                </c:pt>
                <c:pt idx="495">
                  <c:v>1.168255413691506</c:v>
                </c:pt>
                <c:pt idx="496">
                  <c:v>1.1705023974631321</c:v>
                </c:pt>
                <c:pt idx="497">
                  <c:v>1.1727493470142873</c:v>
                </c:pt>
                <c:pt idx="498">
                  <c:v>1.1749962618085215</c:v>
                </c:pt>
                <c:pt idx="499">
                  <c:v>1.1772431413092139</c:v>
                </c:pt>
                <c:pt idx="500">
                  <c:v>1.1794899849795706</c:v>
                </c:pt>
                <c:pt idx="501">
                  <c:v>1.1817367922826212</c:v>
                </c:pt>
                <c:pt idx="502">
                  <c:v>1.183983562681217</c:v>
                </c:pt>
                <c:pt idx="503">
                  <c:v>1.1862302956380271</c:v>
                </c:pt>
                <c:pt idx="504">
                  <c:v>1.188476990615537</c:v>
                </c:pt>
                <c:pt idx="505">
                  <c:v>1.1907236470760447</c:v>
                </c:pt>
                <c:pt idx="506">
                  <c:v>1.1929702644816587</c:v>
                </c:pt>
                <c:pt idx="507">
                  <c:v>1.1952168422942948</c:v>
                </c:pt>
                <c:pt idx="508">
                  <c:v>1.197463379975674</c:v>
                </c:pt>
                <c:pt idx="509">
                  <c:v>1.1997098769873187</c:v>
                </c:pt>
                <c:pt idx="510">
                  <c:v>1.2019563327905511</c:v>
                </c:pt>
                <c:pt idx="511">
                  <c:v>1.2042027468464895</c:v>
                </c:pt>
                <c:pt idx="512">
                  <c:v>1.2064491186160462</c:v>
                </c:pt>
                <c:pt idx="513">
                  <c:v>1.2086954475599245</c:v>
                </c:pt>
                <c:pt idx="514">
                  <c:v>1.2109417331386159</c:v>
                </c:pt>
                <c:pt idx="515">
                  <c:v>1.213187974812397</c:v>
                </c:pt>
                <c:pt idx="516">
                  <c:v>1.2154341720413275</c:v>
                </c:pt>
                <c:pt idx="517">
                  <c:v>1.217680324285247</c:v>
                </c:pt>
                <c:pt idx="518">
                  <c:v>1.2199264310037721</c:v>
                </c:pt>
                <c:pt idx="519">
                  <c:v>1.2221724916562935</c:v>
                </c:pt>
                <c:pt idx="520">
                  <c:v>1.2244185057019739</c:v>
                </c:pt>
                <c:pt idx="521">
                  <c:v>1.2266644725997442</c:v>
                </c:pt>
                <c:pt idx="522">
                  <c:v>1.228910391808302</c:v>
                </c:pt>
                <c:pt idx="523">
                  <c:v>1.2311562627861072</c:v>
                </c:pt>
                <c:pt idx="524">
                  <c:v>1.2334020849913807</c:v>
                </c:pt>
                <c:pt idx="525">
                  <c:v>1.2356478578821009</c:v>
                </c:pt>
                <c:pt idx="526">
                  <c:v>1.2378935809160003</c:v>
                </c:pt>
                <c:pt idx="527">
                  <c:v>1.240139253550564</c:v>
                </c:pt>
                <c:pt idx="528">
                  <c:v>1.2423848752430258</c:v>
                </c:pt>
                <c:pt idx="529">
                  <c:v>1.2446304454503658</c:v>
                </c:pt>
                <c:pt idx="530">
                  <c:v>1.2468759636293076</c:v>
                </c:pt>
                <c:pt idx="531">
                  <c:v>1.2491214292363155</c:v>
                </c:pt>
                <c:pt idx="532">
                  <c:v>1.2513668417275914</c:v>
                </c:pt>
                <c:pt idx="533">
                  <c:v>1.253612200559072</c:v>
                </c:pt>
                <c:pt idx="534">
                  <c:v>1.255857505186426</c:v>
                </c:pt>
                <c:pt idx="535">
                  <c:v>1.2581027550650516</c:v>
                </c:pt>
                <c:pt idx="536">
                  <c:v>1.2603479496500734</c:v>
                </c:pt>
                <c:pt idx="537">
                  <c:v>1.2625930883963388</c:v>
                </c:pt>
                <c:pt idx="538">
                  <c:v>1.2648381707584164</c:v>
                </c:pt>
                <c:pt idx="539">
                  <c:v>1.2670831961905924</c:v>
                </c:pt>
                <c:pt idx="540">
                  <c:v>1.2693281641468677</c:v>
                </c:pt>
                <c:pt idx="541">
                  <c:v>1.271573074080955</c:v>
                </c:pt>
                <c:pt idx="542">
                  <c:v>1.2738179254462767</c:v>
                </c:pt>
                <c:pt idx="543">
                  <c:v>1.2760627176959607</c:v>
                </c:pt>
                <c:pt idx="544">
                  <c:v>1.2783074502828384</c:v>
                </c:pt>
                <c:pt idx="545">
                  <c:v>1.2805521226594418</c:v>
                </c:pt>
                <c:pt idx="546">
                  <c:v>1.282796734278</c:v>
                </c:pt>
                <c:pt idx="547">
                  <c:v>1.2850412845904366</c:v>
                </c:pt>
                <c:pt idx="548">
                  <c:v>1.2872857730483673</c:v>
                </c:pt>
                <c:pt idx="549">
                  <c:v>1.2895301991030959</c:v>
                </c:pt>
                <c:pt idx="550">
                  <c:v>1.2917745622056123</c:v>
                </c:pt>
                <c:pt idx="551">
                  <c:v>1.2940188618065889</c:v>
                </c:pt>
                <c:pt idx="552">
                  <c:v>1.2962630973563785</c:v>
                </c:pt>
                <c:pt idx="553">
                  <c:v>1.2985072683050101</c:v>
                </c:pt>
                <c:pt idx="554">
                  <c:v>1.3007513741021872</c:v>
                </c:pt>
                <c:pt idx="555">
                  <c:v>1.3029954141972842</c:v>
                </c:pt>
                <c:pt idx="556">
                  <c:v>1.3052393880393431</c:v>
                </c:pt>
                <c:pt idx="557">
                  <c:v>1.3074832950770716</c:v>
                </c:pt>
                <c:pt idx="558">
                  <c:v>1.3097271347588391</c:v>
                </c:pt>
                <c:pt idx="559">
                  <c:v>1.3119709065326739</c:v>
                </c:pt>
                <c:pt idx="560">
                  <c:v>1.3142146098462606</c:v>
                </c:pt>
                <c:pt idx="561">
                  <c:v>1.316458244146937</c:v>
                </c:pt>
                <c:pt idx="562">
                  <c:v>1.3187018088816909</c:v>
                </c:pt>
                <c:pt idx="563">
                  <c:v>1.320945303497157</c:v>
                </c:pt>
                <c:pt idx="564">
                  <c:v>1.3231887274396144</c:v>
                </c:pt>
                <c:pt idx="565">
                  <c:v>1.3254320801549828</c:v>
                </c:pt>
                <c:pt idx="566">
                  <c:v>1.3276753610888201</c:v>
                </c:pt>
                <c:pt idx="567">
                  <c:v>1.3299185696863192</c:v>
                </c:pt>
                <c:pt idx="568">
                  <c:v>1.3321617053923047</c:v>
                </c:pt>
                <c:pt idx="569">
                  <c:v>1.3344047676512303</c:v>
                </c:pt>
                <c:pt idx="570">
                  <c:v>1.3366477559071754</c:v>
                </c:pt>
                <c:pt idx="571">
                  <c:v>1.3388906696038421</c:v>
                </c:pt>
                <c:pt idx="572">
                  <c:v>1.3411335081845521</c:v>
                </c:pt>
                <c:pt idx="573">
                  <c:v>1.3433762710922439</c:v>
                </c:pt>
                <c:pt idx="574">
                  <c:v>1.3456189577694693</c:v>
                </c:pt>
                <c:pt idx="575">
                  <c:v>1.3478615676583903</c:v>
                </c:pt>
                <c:pt idx="576">
                  <c:v>1.3501041002007768</c:v>
                </c:pt>
                <c:pt idx="577">
                  <c:v>1.3523465548380023</c:v>
                </c:pt>
                <c:pt idx="578">
                  <c:v>1.3545889310110417</c:v>
                </c:pt>
                <c:pt idx="579">
                  <c:v>1.3568312281604678</c:v>
                </c:pt>
                <c:pt idx="580">
                  <c:v>1.3590734457264479</c:v>
                </c:pt>
                <c:pt idx="581">
                  <c:v>1.3613155831487416</c:v>
                </c:pt>
                <c:pt idx="582">
                  <c:v>1.3635576398666964</c:v>
                </c:pt>
                <c:pt idx="583">
                  <c:v>1.3657996153192455</c:v>
                </c:pt>
                <c:pt idx="584">
                  <c:v>1.3680415089449045</c:v>
                </c:pt>
                <c:pt idx="585">
                  <c:v>1.3702833201817677</c:v>
                </c:pt>
                <c:pt idx="586">
                  <c:v>1.3725250484675053</c:v>
                </c:pt>
                <c:pt idx="587">
                  <c:v>1.3747666932393605</c:v>
                </c:pt>
                <c:pt idx="588">
                  <c:v>1.3770082539341457</c:v>
                </c:pt>
                <c:pt idx="589">
                  <c:v>1.3792497299882398</c:v>
                </c:pt>
                <c:pt idx="590">
                  <c:v>1.3814911208375846</c:v>
                </c:pt>
                <c:pt idx="591">
                  <c:v>1.383732425917682</c:v>
                </c:pt>
                <c:pt idx="592">
                  <c:v>1.3859736446635904</c:v>
                </c:pt>
                <c:pt idx="593">
                  <c:v>1.3882147765099215</c:v>
                </c:pt>
                <c:pt idx="594">
                  <c:v>1.3904558208908375</c:v>
                </c:pt>
                <c:pt idx="595">
                  <c:v>1.3926967772400471</c:v>
                </c:pt>
                <c:pt idx="596">
                  <c:v>1.3949376449908031</c:v>
                </c:pt>
                <c:pt idx="597">
                  <c:v>1.3971784235758984</c:v>
                </c:pt>
                <c:pt idx="598">
                  <c:v>1.3994191124276631</c:v>
                </c:pt>
                <c:pt idx="599">
                  <c:v>1.4016597109779612</c:v>
                </c:pt>
                <c:pt idx="600">
                  <c:v>1.403900218658187</c:v>
                </c:pt>
                <c:pt idx="601">
                  <c:v>1.4061406348992627</c:v>
                </c:pt>
                <c:pt idx="602">
                  <c:v>1.4083809591316334</c:v>
                </c:pt>
                <c:pt idx="603">
                  <c:v>1.4106211907852657</c:v>
                </c:pt>
                <c:pt idx="604">
                  <c:v>1.412861329289643</c:v>
                </c:pt>
                <c:pt idx="605">
                  <c:v>1.415101374073763</c:v>
                </c:pt>
                <c:pt idx="606">
                  <c:v>1.4173413245661335</c:v>
                </c:pt>
                <c:pt idx="607">
                  <c:v>1.41958118019477</c:v>
                </c:pt>
                <c:pt idx="608">
                  <c:v>1.4218209403871915</c:v>
                </c:pt>
                <c:pt idx="609">
                  <c:v>1.4240606045704178</c:v>
                </c:pt>
                <c:pt idx="610">
                  <c:v>1.4263001721709656</c:v>
                </c:pt>
                <c:pt idx="611">
                  <c:v>1.4285396426148456</c:v>
                </c:pt>
                <c:pt idx="612">
                  <c:v>1.4307790153275584</c:v>
                </c:pt>
                <c:pt idx="613">
                  <c:v>1.4330182897340915</c:v>
                </c:pt>
                <c:pt idx="614">
                  <c:v>1.4352574652589163</c:v>
                </c:pt>
                <c:pt idx="615">
                  <c:v>1.4374965413259837</c:v>
                </c:pt>
                <c:pt idx="616">
                  <c:v>1.4397355173587216</c:v>
                </c:pt>
                <c:pt idx="617">
                  <c:v>1.441974392780031</c:v>
                </c:pt>
                <c:pt idx="618">
                  <c:v>1.4442131670122824</c:v>
                </c:pt>
                <c:pt idx="619">
                  <c:v>1.4464518394773125</c:v>
                </c:pt>
                <c:pt idx="620">
                  <c:v>1.4486904095964206</c:v>
                </c:pt>
                <c:pt idx="621">
                  <c:v>1.4509288767903654</c:v>
                </c:pt>
                <c:pt idx="622">
                  <c:v>1.4531672404793612</c:v>
                </c:pt>
                <c:pt idx="623">
                  <c:v>1.4554055000830746</c:v>
                </c:pt>
                <c:pt idx="624">
                  <c:v>1.4576436550206207</c:v>
                </c:pt>
                <c:pt idx="625">
                  <c:v>1.4598817047105597</c:v>
                </c:pt>
                <c:pt idx="626">
                  <c:v>1.4621196485708936</c:v>
                </c:pt>
                <c:pt idx="627">
                  <c:v>1.4643574860190622</c:v>
                </c:pt>
                <c:pt idx="628">
                  <c:v>1.4665952164719398</c:v>
                </c:pt>
                <c:pt idx="629">
                  <c:v>1.4688328393458314</c:v>
                </c:pt>
                <c:pt idx="630">
                  <c:v>1.4710703540564696</c:v>
                </c:pt>
                <c:pt idx="631">
                  <c:v>1.4733077600190103</c:v>
                </c:pt>
                <c:pt idx="632">
                  <c:v>1.4755450566480297</c:v>
                </c:pt>
                <c:pt idx="633">
                  <c:v>1.4777822433575203</c:v>
                </c:pt>
                <c:pt idx="634">
                  <c:v>1.4800193195608871</c:v>
                </c:pt>
                <c:pt idx="635">
                  <c:v>1.4822562846709446</c:v>
                </c:pt>
                <c:pt idx="636">
                  <c:v>1.4844931380999129</c:v>
                </c:pt>
                <c:pt idx="637">
                  <c:v>1.4867298792594135</c:v>
                </c:pt>
                <c:pt idx="638">
                  <c:v>1.4889665075604659</c:v>
                </c:pt>
                <c:pt idx="639">
                  <c:v>1.4912030224134845</c:v>
                </c:pt>
                <c:pt idx="640">
                  <c:v>1.4934394232282737</c:v>
                </c:pt>
                <c:pt idx="641">
                  <c:v>1.4956757094140256</c:v>
                </c:pt>
                <c:pt idx="642">
                  <c:v>1.4979118803793152</c:v>
                </c:pt>
                <c:pt idx="643">
                  <c:v>1.5001479355320968</c:v>
                </c:pt>
                <c:pt idx="644">
                  <c:v>1.5023838742797007</c:v>
                </c:pt>
                <c:pt idx="645">
                  <c:v>1.5046196960288289</c:v>
                </c:pt>
                <c:pt idx="646">
                  <c:v>1.5068554001855521</c:v>
                </c:pt>
                <c:pt idx="647">
                  <c:v>1.5090909861553046</c:v>
                </c:pt>
                <c:pt idx="648">
                  <c:v>1.5113264533428818</c:v>
                </c:pt>
                <c:pt idx="649">
                  <c:v>1.5135618011524359</c:v>
                </c:pt>
                <c:pt idx="650">
                  <c:v>1.5157970289874716</c:v>
                </c:pt>
                <c:pt idx="651">
                  <c:v>1.5180321362508429</c:v>
                </c:pt>
                <c:pt idx="652">
                  <c:v>1.5202671223447488</c:v>
                </c:pt>
                <c:pt idx="653">
                  <c:v>1.5225019866707299</c:v>
                </c:pt>
                <c:pt idx="654">
                  <c:v>1.524736728629664</c:v>
                </c:pt>
                <c:pt idx="655">
                  <c:v>1.5269713476217628</c:v>
                </c:pt>
                <c:pt idx="656">
                  <c:v>1.5292058430465671</c:v>
                </c:pt>
                <c:pt idx="657">
                  <c:v>1.5314402143029437</c:v>
                </c:pt>
                <c:pt idx="658">
                  <c:v>1.5336744607890811</c:v>
                </c:pt>
                <c:pt idx="659">
                  <c:v>1.5359085819024856</c:v>
                </c:pt>
                <c:pt idx="660">
                  <c:v>1.538142577039977</c:v>
                </c:pt>
                <c:pt idx="661">
                  <c:v>1.5403764455976856</c:v>
                </c:pt>
                <c:pt idx="662">
                  <c:v>1.5426101869710469</c:v>
                </c:pt>
                <c:pt idx="663">
                  <c:v>1.5448438005547984</c:v>
                </c:pt>
                <c:pt idx="664">
                  <c:v>1.5470772857429755</c:v>
                </c:pt>
                <c:pt idx="665">
                  <c:v>1.5493106419289073</c:v>
                </c:pt>
                <c:pt idx="666">
                  <c:v>1.5515438685052125</c:v>
                </c:pt>
                <c:pt idx="667">
                  <c:v>1.5537769648637956</c:v>
                </c:pt>
                <c:pt idx="668">
                  <c:v>1.5560099303958423</c:v>
                </c:pt>
                <c:pt idx="669">
                  <c:v>1.5582427644918164</c:v>
                </c:pt>
                <c:pt idx="670">
                  <c:v>1.5604754665414544</c:v>
                </c:pt>
                <c:pt idx="671">
                  <c:v>1.562708035933762</c:v>
                </c:pt>
                <c:pt idx="672">
                  <c:v>1.5649404720570101</c:v>
                </c:pt>
                <c:pt idx="673">
                  <c:v>1.5671727742987309</c:v>
                </c:pt>
                <c:pt idx="674">
                  <c:v>1.5694049420457126</c:v>
                </c:pt>
                <c:pt idx="675">
                  <c:v>1.5716369746839962</c:v>
                </c:pt>
                <c:pt idx="676">
                  <c:v>1.5738688715988713</c:v>
                </c:pt>
                <c:pt idx="677">
                  <c:v>1.5761006321748712</c:v>
                </c:pt>
                <c:pt idx="678">
                  <c:v>1.5783322557957689</c:v>
                </c:pt>
                <c:pt idx="679">
                  <c:v>1.5805637418445733</c:v>
                </c:pt>
                <c:pt idx="680">
                  <c:v>1.5827950897035246</c:v>
                </c:pt>
                <c:pt idx="681">
                  <c:v>1.58502629875409</c:v>
                </c:pt>
                <c:pt idx="682">
                  <c:v>1.5872573683769593</c:v>
                </c:pt>
                <c:pt idx="683">
                  <c:v>1.5894882979520411</c:v>
                </c:pt>
                <c:pt idx="684">
                  <c:v>1.5917190868584572</c:v>
                </c:pt>
                <c:pt idx="685">
                  <c:v>1.5939497344745401</c:v>
                </c:pt>
                <c:pt idx="686">
                  <c:v>1.5961802401778271</c:v>
                </c:pt>
                <c:pt idx="687">
                  <c:v>1.5984106033450565</c:v>
                </c:pt>
                <c:pt idx="688">
                  <c:v>1.600640823352163</c:v>
                </c:pt>
                <c:pt idx="689">
                  <c:v>1.6028708995742738</c:v>
                </c:pt>
                <c:pt idx="690">
                  <c:v>1.6051008313857034</c:v>
                </c:pt>
                <c:pt idx="691">
                  <c:v>1.6073306181599498</c:v>
                </c:pt>
                <c:pt idx="692">
                  <c:v>1.6095602592696898</c:v>
                </c:pt>
                <c:pt idx="693">
                  <c:v>1.6117897540867743</c:v>
                </c:pt>
                <c:pt idx="694">
                  <c:v>1.6140191019822236</c:v>
                </c:pt>
                <c:pt idx="695">
                  <c:v>1.616248302326224</c:v>
                </c:pt>
                <c:pt idx="696">
                  <c:v>1.6184773544881219</c:v>
                </c:pt>
                <c:pt idx="697">
                  <c:v>1.62070625783642</c:v>
                </c:pt>
                <c:pt idx="698">
                  <c:v>1.6229350117387724</c:v>
                </c:pt>
                <c:pt idx="699">
                  <c:v>1.6251636155619804</c:v>
                </c:pt>
                <c:pt idx="700">
                  <c:v>1.6273920686719872</c:v>
                </c:pt>
                <c:pt idx="701">
                  <c:v>1.6296203704338741</c:v>
                </c:pt>
                <c:pt idx="702">
                  <c:v>1.6318485202118551</c:v>
                </c:pt>
                <c:pt idx="703">
                  <c:v>1.6340765173692726</c:v>
                </c:pt>
                <c:pt idx="704">
                  <c:v>1.6363043612685928</c:v>
                </c:pt>
                <c:pt idx="705">
                  <c:v>1.6385320512714006</c:v>
                </c:pt>
                <c:pt idx="706">
                  <c:v>1.6407595867383953</c:v>
                </c:pt>
                <c:pt idx="707">
                  <c:v>1.6429869670293853</c:v>
                </c:pt>
                <c:pt idx="708">
                  <c:v>1.6452141915032841</c:v>
                </c:pt>
                <c:pt idx="709">
                  <c:v>1.6474412595181047</c:v>
                </c:pt>
                <c:pt idx="710">
                  <c:v>1.6496681704309555</c:v>
                </c:pt>
                <c:pt idx="711">
                  <c:v>1.6518949235980349</c:v>
                </c:pt>
                <c:pt idx="712">
                  <c:v>1.6541215183746267</c:v>
                </c:pt>
                <c:pt idx="713">
                  <c:v>1.6563479541150952</c:v>
                </c:pt>
                <c:pt idx="714">
                  <c:v>1.6585742301728803</c:v>
                </c:pt>
                <c:pt idx="715">
                  <c:v>1.6608003459004925</c:v>
                </c:pt>
                <c:pt idx="716">
                  <c:v>1.6630263006495083</c:v>
                </c:pt>
                <c:pt idx="717">
                  <c:v>1.6652520937705646</c:v>
                </c:pt>
                <c:pt idx="718">
                  <c:v>1.6674777246133545</c:v>
                </c:pt>
                <c:pt idx="719">
                  <c:v>1.6697031925266219</c:v>
                </c:pt>
                <c:pt idx="720">
                  <c:v>1.6719284968581563</c:v>
                </c:pt>
                <c:pt idx="721">
                  <c:v>1.6741536369547878</c:v>
                </c:pt>
                <c:pt idx="722">
                  <c:v>1.6763786121623827</c:v>
                </c:pt>
                <c:pt idx="723">
                  <c:v>1.6786034218258374</c:v>
                </c:pt>
                <c:pt idx="724">
                  <c:v>1.6808280652890739</c:v>
                </c:pt>
                <c:pt idx="725">
                  <c:v>1.6830525418950348</c:v>
                </c:pt>
                <c:pt idx="726">
                  <c:v>1.6852768509856779</c:v>
                </c:pt>
                <c:pt idx="727">
                  <c:v>1.6875009919019708</c:v>
                </c:pt>
                <c:pt idx="728">
                  <c:v>1.6897249639838858</c:v>
                </c:pt>
                <c:pt idx="729">
                  <c:v>1.6919487665703954</c:v>
                </c:pt>
                <c:pt idx="730">
                  <c:v>1.6941723989994659</c:v>
                </c:pt>
                <c:pt idx="731">
                  <c:v>1.6963958606080529</c:v>
                </c:pt>
                <c:pt idx="732">
                  <c:v>1.698619150732096</c:v>
                </c:pt>
                <c:pt idx="733">
                  <c:v>1.700842268706513</c:v>
                </c:pt>
                <c:pt idx="734">
                  <c:v>1.7030652138651949</c:v>
                </c:pt>
                <c:pt idx="735">
                  <c:v>1.7052879855410008</c:v>
                </c:pt>
                <c:pt idx="736">
                  <c:v>1.707510583065752</c:v>
                </c:pt>
                <c:pt idx="737">
                  <c:v>1.7097580126887582</c:v>
                </c:pt>
                <c:pt idx="738">
                  <c:v>1.7120078517059847</c:v>
                </c:pt>
                <c:pt idx="739">
                  <c:v>1.7142601207909929</c:v>
                </c:pt>
                <c:pt idx="740">
                  <c:v>1.7165148405004058</c:v>
                </c:pt>
                <c:pt idx="741">
                  <c:v>1.71877203128009</c:v>
                </c:pt>
                <c:pt idx="742">
                  <c:v>1.7210317134711541</c:v>
                </c:pt>
                <c:pt idx="743">
                  <c:v>1.7232939073157729</c:v>
                </c:pt>
                <c:pt idx="744">
                  <c:v>1.7255586329628418</c:v>
                </c:pt>
                <c:pt idx="745">
                  <c:v>1.727825910473469</c:v>
                </c:pt>
                <c:pt idx="746">
                  <c:v>1.7300957598263109</c:v>
                </c:pt>
                <c:pt idx="747">
                  <c:v>1.7323682009227555</c:v>
                </c:pt>
                <c:pt idx="748">
                  <c:v>1.7346432535919605</c:v>
                </c:pt>
                <c:pt idx="749">
                  <c:v>1.7369209375957511</c:v>
                </c:pt>
                <c:pt idx="750">
                  <c:v>1.7392012726333814</c:v>
                </c:pt>
                <c:pt idx="751">
                  <c:v>1.7414842783461659</c:v>
                </c:pt>
                <c:pt idx="752">
                  <c:v>1.7437699743219846</c:v>
                </c:pt>
                <c:pt idx="753">
                  <c:v>1.7460583800996659</c:v>
                </c:pt>
                <c:pt idx="754">
                  <c:v>1.7483495151732535</c:v>
                </c:pt>
                <c:pt idx="755">
                  <c:v>1.7506433989961594</c:v>
                </c:pt>
                <c:pt idx="756">
                  <c:v>1.752940050985208</c:v>
                </c:pt>
                <c:pt idx="757">
                  <c:v>1.7552394905245747</c:v>
                </c:pt>
                <c:pt idx="758">
                  <c:v>1.7575417369696233</c:v>
                </c:pt>
                <c:pt idx="759">
                  <c:v>1.7598468096506461</c:v>
                </c:pt>
                <c:pt idx="760">
                  <c:v>1.7621547278765075</c:v>
                </c:pt>
                <c:pt idx="761">
                  <c:v>1.764465510938199</c:v>
                </c:pt>
                <c:pt idx="762">
                  <c:v>1.7667791781123046</c:v>
                </c:pt>
                <c:pt idx="763">
                  <c:v>1.7690957486643819</c:v>
                </c:pt>
                <c:pt idx="764">
                  <c:v>1.7714152418522615</c:v>
                </c:pt>
                <c:pt idx="765">
                  <c:v>1.7737376769292672</c:v>
                </c:pt>
                <c:pt idx="766">
                  <c:v>1.7760630731473601</c:v>
                </c:pt>
                <c:pt idx="767">
                  <c:v>1.7783914497602096</c:v>
                </c:pt>
                <c:pt idx="768">
                  <c:v>1.7807228260261925</c:v>
                </c:pt>
                <c:pt idx="769">
                  <c:v>1.7830572212113251</c:v>
                </c:pt>
                <c:pt idx="770">
                  <c:v>1.7853946545921286</c:v>
                </c:pt>
                <c:pt idx="771">
                  <c:v>1.7877351454584305</c:v>
                </c:pt>
                <c:pt idx="772">
                  <c:v>1.7900787131161056</c:v>
                </c:pt>
                <c:pt idx="773">
                  <c:v>1.7924253768897567</c:v>
                </c:pt>
                <c:pt idx="774">
                  <c:v>1.7947751561253398</c:v>
                </c:pt>
                <c:pt idx="775">
                  <c:v>1.7971280701927326</c:v>
                </c:pt>
                <c:pt idx="776">
                  <c:v>1.7994841384882507</c:v>
                </c:pt>
                <c:pt idx="777">
                  <c:v>1.801843380437113</c:v>
                </c:pt>
                <c:pt idx="778">
                  <c:v>1.8042058154958567</c:v>
                </c:pt>
                <c:pt idx="779">
                  <c:v>1.8065714631547061</c:v>
                </c:pt>
                <c:pt idx="780">
                  <c:v>1.8089403429398945</c:v>
                </c:pt>
                <c:pt idx="781">
                  <c:v>1.8113124744159426</c:v>
                </c:pt>
                <c:pt idx="782">
                  <c:v>1.8136878771878939</c:v>
                </c:pt>
                <c:pt idx="783">
                  <c:v>1.81606657090351</c:v>
                </c:pt>
                <c:pt idx="784">
                  <c:v>1.8184485752554245</c:v>
                </c:pt>
                <c:pt idx="785">
                  <c:v>1.8208339099832618</c:v>
                </c:pt>
                <c:pt idx="786">
                  <c:v>1.8232225948757161</c:v>
                </c:pt>
                <c:pt idx="787">
                  <c:v>1.8256146497725982</c:v>
                </c:pt>
                <c:pt idx="788">
                  <c:v>1.828010094566846</c:v>
                </c:pt>
                <c:pt idx="789">
                  <c:v>1.8304089492065037</c:v>
                </c:pt>
                <c:pt idx="790">
                  <c:v>1.8328112336966693</c:v>
                </c:pt>
                <c:pt idx="791">
                  <c:v>1.8352169681014125</c:v>
                </c:pt>
                <c:pt idx="792">
                  <c:v>1.8376261725456622</c:v>
                </c:pt>
                <c:pt idx="793">
                  <c:v>1.8400388672170673</c:v>
                </c:pt>
                <c:pt idx="794">
                  <c:v>1.8424550723678315</c:v>
                </c:pt>
                <c:pt idx="795">
                  <c:v>1.8448748083165198</c:v>
                </c:pt>
                <c:pt idx="796">
                  <c:v>1.8472980954498437</c:v>
                </c:pt>
                <c:pt idx="797">
                  <c:v>1.8497249542244194</c:v>
                </c:pt>
                <c:pt idx="798">
                  <c:v>1.8521554051685063</c:v>
                </c:pt>
                <c:pt idx="799">
                  <c:v>1.8545894688837221</c:v>
                </c:pt>
                <c:pt idx="800">
                  <c:v>1.857027166046737</c:v>
                </c:pt>
                <c:pt idx="801">
                  <c:v>1.8594685174109493</c:v>
                </c:pt>
                <c:pt idx="802">
                  <c:v>1.8619135438081404</c:v>
                </c:pt>
                <c:pt idx="803">
                  <c:v>1.8643622661501129</c:v>
                </c:pt>
                <c:pt idx="804">
                  <c:v>1.8668147054303101</c:v>
                </c:pt>
                <c:pt idx="805">
                  <c:v>1.8692708827254203</c:v>
                </c:pt>
                <c:pt idx="806">
                  <c:v>1.8717308191969635</c:v>
                </c:pt>
                <c:pt idx="807">
                  <c:v>1.8741945360928651</c:v>
                </c:pt>
                <c:pt idx="808">
                  <c:v>1.8766620547490134</c:v>
                </c:pt>
                <c:pt idx="809">
                  <c:v>1.8791333965908046</c:v>
                </c:pt>
                <c:pt idx="810">
                  <c:v>1.8816085831346741</c:v>
                </c:pt>
                <c:pt idx="811">
                  <c:v>1.8840876359896164</c:v>
                </c:pt>
                <c:pt idx="812">
                  <c:v>1.8865705768586922</c:v>
                </c:pt>
                <c:pt idx="813">
                  <c:v>1.8890574275405256</c:v>
                </c:pt>
                <c:pt idx="814">
                  <c:v>1.8915482099307901</c:v>
                </c:pt>
                <c:pt idx="815">
                  <c:v>1.8940429460236852</c:v>
                </c:pt>
                <c:pt idx="816">
                  <c:v>1.8965416579134038</c:v>
                </c:pt>
                <c:pt idx="817">
                  <c:v>1.899044367795591</c:v>
                </c:pt>
                <c:pt idx="818">
                  <c:v>1.9015510979687946</c:v>
                </c:pt>
                <c:pt idx="819">
                  <c:v>1.9040618708359076</c:v>
                </c:pt>
                <c:pt idx="820">
                  <c:v>1.9065767089056052</c:v>
                </c:pt>
                <c:pt idx="821">
                  <c:v>1.9090956347937731</c:v>
                </c:pt>
                <c:pt idx="822">
                  <c:v>1.9116186712249323</c:v>
                </c:pt>
                <c:pt idx="823">
                  <c:v>1.9141458410336565</c:v>
                </c:pt>
                <c:pt idx="824">
                  <c:v>1.9166771671659846</c:v>
                </c:pt>
                <c:pt idx="825">
                  <c:v>1.9192126726808296</c:v>
                </c:pt>
                <c:pt idx="826">
                  <c:v>1.9217523807513825</c:v>
                </c:pt>
                <c:pt idx="827">
                  <c:v>1.9242963146665135</c:v>
                </c:pt>
                <c:pt idx="828">
                  <c:v>1.9268444978321682</c:v>
                </c:pt>
                <c:pt idx="829">
                  <c:v>1.9293969537727631</c:v>
                </c:pt>
                <c:pt idx="830">
                  <c:v>1.9319537061325769</c:v>
                </c:pt>
                <c:pt idx="831">
                  <c:v>1.9345147786771411</c:v>
                </c:pt>
                <c:pt idx="832">
                  <c:v>1.9370801952946277</c:v>
                </c:pt>
                <c:pt idx="833">
                  <c:v>1.9396499799972373</c:v>
                </c:pt>
                <c:pt idx="834">
                  <c:v>1.9422241569225847</c:v>
                </c:pt>
                <c:pt idx="835">
                  <c:v>1.9439906938054712</c:v>
                </c:pt>
                <c:pt idx="836">
                  <c:v>1.9457572306883577</c:v>
                </c:pt>
                <c:pt idx="837">
                  <c:v>1.9475237675712442</c:v>
                </c:pt>
                <c:pt idx="838">
                  <c:v>1.9492903044541308</c:v>
                </c:pt>
                <c:pt idx="839">
                  <c:v>1.9510568413370173</c:v>
                </c:pt>
                <c:pt idx="840">
                  <c:v>1.9528233782199038</c:v>
                </c:pt>
                <c:pt idx="841">
                  <c:v>1.9545899151027903</c:v>
                </c:pt>
                <c:pt idx="842">
                  <c:v>1.9563564519856769</c:v>
                </c:pt>
                <c:pt idx="843">
                  <c:v>1.9581229888685634</c:v>
                </c:pt>
                <c:pt idx="844">
                  <c:v>1.9598895257514499</c:v>
                </c:pt>
                <c:pt idx="845">
                  <c:v>1.9616560626343365</c:v>
                </c:pt>
                <c:pt idx="846">
                  <c:v>1.963422599517223</c:v>
                </c:pt>
                <c:pt idx="847">
                  <c:v>1.9651891364001095</c:v>
                </c:pt>
                <c:pt idx="848">
                  <c:v>1.966955673282996</c:v>
                </c:pt>
                <c:pt idx="849">
                  <c:v>1.9687222101658826</c:v>
                </c:pt>
                <c:pt idx="850">
                  <c:v>1.9704887470487691</c:v>
                </c:pt>
                <c:pt idx="851">
                  <c:v>1.9722552839316556</c:v>
                </c:pt>
                <c:pt idx="852">
                  <c:v>1.9740218208145421</c:v>
                </c:pt>
                <c:pt idx="853">
                  <c:v>1.9757883576974287</c:v>
                </c:pt>
                <c:pt idx="854">
                  <c:v>1.9775548945803152</c:v>
                </c:pt>
                <c:pt idx="855">
                  <c:v>1.9793214314632017</c:v>
                </c:pt>
                <c:pt idx="856">
                  <c:v>1.9810879683460882</c:v>
                </c:pt>
                <c:pt idx="857">
                  <c:v>1.9828545052289748</c:v>
                </c:pt>
                <c:pt idx="858">
                  <c:v>1.9846210421118613</c:v>
                </c:pt>
                <c:pt idx="859">
                  <c:v>1.9863875789947478</c:v>
                </c:pt>
                <c:pt idx="860">
                  <c:v>1.9881541158776344</c:v>
                </c:pt>
                <c:pt idx="861">
                  <c:v>1.9899206527605209</c:v>
                </c:pt>
                <c:pt idx="862">
                  <c:v>1.9916871896434074</c:v>
                </c:pt>
                <c:pt idx="863">
                  <c:v>1.9934537265262939</c:v>
                </c:pt>
                <c:pt idx="864">
                  <c:v>1.9952202634091805</c:v>
                </c:pt>
                <c:pt idx="865">
                  <c:v>1.996986800292067</c:v>
                </c:pt>
                <c:pt idx="866">
                  <c:v>1.9987533371749535</c:v>
                </c:pt>
                <c:pt idx="867">
                  <c:v>2.00051987405784</c:v>
                </c:pt>
                <c:pt idx="868">
                  <c:v>2.0022864109407266</c:v>
                </c:pt>
                <c:pt idx="869">
                  <c:v>2.0040529478236131</c:v>
                </c:pt>
                <c:pt idx="870">
                  <c:v>2.0058194847064996</c:v>
                </c:pt>
                <c:pt idx="871">
                  <c:v>2.0075860215893861</c:v>
                </c:pt>
                <c:pt idx="872">
                  <c:v>2.0093525584722727</c:v>
                </c:pt>
                <c:pt idx="873">
                  <c:v>2.0111190953551592</c:v>
                </c:pt>
                <c:pt idx="874">
                  <c:v>2.0128856322380457</c:v>
                </c:pt>
                <c:pt idx="875">
                  <c:v>2.0146521691209323</c:v>
                </c:pt>
                <c:pt idx="876">
                  <c:v>2.0164187060038188</c:v>
                </c:pt>
                <c:pt idx="877">
                  <c:v>2.0181852428867053</c:v>
                </c:pt>
                <c:pt idx="878">
                  <c:v>2.0199517797695918</c:v>
                </c:pt>
                <c:pt idx="879">
                  <c:v>2.0217183166524784</c:v>
                </c:pt>
                <c:pt idx="880">
                  <c:v>2.0234848535353649</c:v>
                </c:pt>
                <c:pt idx="881">
                  <c:v>2.0252513904182514</c:v>
                </c:pt>
                <c:pt idx="882">
                  <c:v>2.0270179273011379</c:v>
                </c:pt>
              </c:numCache>
            </c:numRef>
          </c:xVal>
          <c:yVal>
            <c:numRef>
              <c:f>Performance!$J$28:$J$910</c:f>
              <c:numCache>
                <c:formatCode>0</c:formatCode>
                <c:ptCount val="883"/>
                <c:pt idx="0">
                  <c:v>0</c:v>
                </c:pt>
                <c:pt idx="1">
                  <c:v>528.65288643986298</c:v>
                </c:pt>
                <c:pt idx="2">
                  <c:v>748.59924072682952</c:v>
                </c:pt>
                <c:pt idx="3">
                  <c:v>838.40857770656044</c:v>
                </c:pt>
                <c:pt idx="4">
                  <c:v>911.02915738017248</c:v>
                </c:pt>
                <c:pt idx="5">
                  <c:v>970.71542024411099</c:v>
                </c:pt>
                <c:pt idx="6">
                  <c:v>1020.3760386562076</c:v>
                </c:pt>
                <c:pt idx="7">
                  <c:v>1062.1063468278553</c:v>
                </c:pt>
                <c:pt idx="8">
                  <c:v>1097.4707197353423</c:v>
                </c:pt>
                <c:pt idx="9">
                  <c:v>1127.6676853247416</c:v>
                </c:pt>
                <c:pt idx="10">
                  <c:v>1153.633474427869</c:v>
                </c:pt>
                <c:pt idx="11">
                  <c:v>1176.1104819397187</c:v>
                </c:pt>
                <c:pt idx="12">
                  <c:v>1195.6944296021697</c:v>
                </c:pt>
                <c:pt idx="13">
                  <c:v>1212.8679405145383</c:v>
                </c:pt>
                <c:pt idx="14">
                  <c:v>1228.0250864131201</c:v>
                </c:pt>
                <c:pt idx="15">
                  <c:v>1241.4897335552109</c:v>
                </c:pt>
                <c:pt idx="16">
                  <c:v>1253.5295069664132</c:v>
                </c:pt>
                <c:pt idx="17">
                  <c:v>1264.3665840237336</c:v>
                </c:pt>
                <c:pt idx="18">
                  <c:v>1274.1861463160858</c:v>
                </c:pt>
                <c:pt idx="19">
                  <c:v>1283.1430713061918</c:v>
                </c:pt>
                <c:pt idx="20">
                  <c:v>1291.3672806226537</c:v>
                </c:pt>
                <c:pt idx="21">
                  <c:v>1298.9680494557788</c:v>
                </c:pt>
                <c:pt idx="22">
                  <c:v>1306.0375032355892</c:v>
                </c:pt>
                <c:pt idx="23">
                  <c:v>1312.6534721070641</c:v>
                </c:pt>
                <c:pt idx="24">
                  <c:v>1318.8818334747234</c:v>
                </c:pt>
                <c:pt idx="25">
                  <c:v>1324.7784433088063</c:v>
                </c:pt>
                <c:pt idx="26">
                  <c:v>1330.3907348656569</c:v>
                </c:pt>
                <c:pt idx="27">
                  <c:v>1335.7590468319981</c:v>
                </c:pt>
                <c:pt idx="28">
                  <c:v>1340.9177301847158</c:v>
                </c:pt>
                <c:pt idx="29">
                  <c:v>1345.8960732421515</c:v>
                </c:pt>
                <c:pt idx="30">
                  <c:v>1350.7190767252462</c:v>
                </c:pt>
                <c:pt idx="31">
                  <c:v>1355.4081046288393</c:v>
                </c:pt>
                <c:pt idx="32">
                  <c:v>1359.9814319301352</c:v>
                </c:pt>
                <c:pt idx="33">
                  <c:v>1364.4547063521177</c:v>
                </c:pt>
                <c:pt idx="34">
                  <c:v>1368.8413383373536</c:v>
                </c:pt>
                <c:pt idx="35">
                  <c:v>1373.1528309159523</c:v>
                </c:pt>
                <c:pt idx="36">
                  <c:v>1377.3990591402151</c:v>
                </c:pt>
                <c:pt idx="37">
                  <c:v>1381.5885071226664</c:v>
                </c:pt>
                <c:pt idx="38">
                  <c:v>1385.7284693638856</c:v>
                </c:pt>
                <c:pt idx="39">
                  <c:v>1389.825221959371</c:v>
                </c:pt>
                <c:pt idx="40">
                  <c:v>1393.8841683543358</c:v>
                </c:pt>
                <c:pt idx="41">
                  <c:v>1397.9099635680018</c:v>
                </c:pt>
                <c:pt idx="42">
                  <c:v>1401.9066201734465</c:v>
                </c:pt>
                <c:pt idx="43">
                  <c:v>1405.8775988048385</c:v>
                </c:pt>
                <c:pt idx="44">
                  <c:v>1409.8258855223439</c:v>
                </c:pt>
                <c:pt idx="45">
                  <c:v>1413.7540580049626</c:v>
                </c:pt>
                <c:pt idx="46">
                  <c:v>1417.6643422338959</c:v>
                </c:pt>
                <c:pt idx="47">
                  <c:v>1421.5586610755388</c:v>
                </c:pt>
                <c:pt idx="48">
                  <c:v>1425.4386759554268</c:v>
                </c:pt>
                <c:pt idx="49">
                  <c:v>1429.3058226349547</c:v>
                </c:pt>
                <c:pt idx="50">
                  <c:v>1433.1613419513974</c:v>
                </c:pt>
                <c:pt idx="51">
                  <c:v>1437.0063062478034</c:v>
                </c:pt>
                <c:pt idx="52">
                  <c:v>1440.8416421184318</c:v>
                </c:pt>
                <c:pt idx="53">
                  <c:v>1444.668149994852</c:v>
                </c:pt>
                <c:pt idx="54">
                  <c:v>1448.4865210250473</c:v>
                </c:pt>
                <c:pt idx="55">
                  <c:v>1452.2973516312784</c:v>
                </c:pt>
                <c:pt idx="56">
                  <c:v>1456.1011560729232</c:v>
                </c:pt>
                <c:pt idx="57">
                  <c:v>1459.8983772981335</c:v>
                </c:pt>
                <c:pt idx="58">
                  <c:v>1463.6893963197172</c:v>
                </c:pt>
                <c:pt idx="59">
                  <c:v>1467.4745403263726</c:v>
                </c:pt>
                <c:pt idx="60">
                  <c:v>1471.2540897014521</c:v>
                </c:pt>
                <c:pt idx="61">
                  <c:v>1475.0282841008916</c:v>
                </c:pt>
                <c:pt idx="62">
                  <c:v>1478.7973277210817</c:v>
                </c:pt>
                <c:pt idx="63">
                  <c:v>1482.5613938665331</c:v>
                </c:pt>
                <c:pt idx="64">
                  <c:v>1486.3206289137968</c:v>
                </c:pt>
                <c:pt idx="65">
                  <c:v>1490.0751557529352</c:v>
                </c:pt>
                <c:pt idx="66">
                  <c:v>1493.825076777332</c:v>
                </c:pt>
                <c:pt idx="67">
                  <c:v>1497.5704764847562</c:v>
                </c:pt>
                <c:pt idx="68">
                  <c:v>1501.3114237377181</c:v>
                </c:pt>
                <c:pt idx="69">
                  <c:v>1505.105674941771</c:v>
                </c:pt>
                <c:pt idx="70">
                  <c:v>1508.897558881283</c:v>
                </c:pt>
                <c:pt idx="71">
                  <c:v>1512.684440732731</c:v>
                </c:pt>
                <c:pt idx="72">
                  <c:v>1516.4663485271078</c:v>
                </c:pt>
                <c:pt idx="73">
                  <c:v>1520.2433021152456</c:v>
                </c:pt>
                <c:pt idx="74">
                  <c:v>1524.015314182066</c:v>
                </c:pt>
                <c:pt idx="75">
                  <c:v>1527.7823911344744</c:v>
                </c:pt>
                <c:pt idx="76">
                  <c:v>1531.5445338759469</c:v>
                </c:pt>
                <c:pt idx="77">
                  <c:v>1535.301738484276</c:v>
                </c:pt>
                <c:pt idx="78">
                  <c:v>1539.0539968054536</c:v>
                </c:pt>
                <c:pt idx="79">
                  <c:v>1542.801296972855</c:v>
                </c:pt>
                <c:pt idx="80">
                  <c:v>1546.5436238619643</c:v>
                </c:pt>
                <c:pt idx="81">
                  <c:v>1550.2809594897826</c:v>
                </c:pt>
                <c:pt idx="82">
                  <c:v>1554.0132833643513</c:v>
                </c:pt>
                <c:pt idx="83">
                  <c:v>1557.7405727926091</c:v>
                </c:pt>
                <c:pt idx="84">
                  <c:v>1561.4628031491618</c:v>
                </c:pt>
                <c:pt idx="85">
                  <c:v>1565.1799481133964</c:v>
                </c:pt>
                <c:pt idx="86">
                  <c:v>1568.8919798778475</c:v>
                </c:pt>
                <c:pt idx="87">
                  <c:v>1572.5988693321181</c:v>
                </c:pt>
                <c:pt idx="88">
                  <c:v>1576.3005862225891</c:v>
                </c:pt>
                <c:pt idx="89">
                  <c:v>1579.9970992959391</c:v>
                </c:pt>
                <c:pt idx="90">
                  <c:v>1583.6883764228423</c:v>
                </c:pt>
                <c:pt idx="91">
                  <c:v>1587.3743847095748</c:v>
                </c:pt>
                <c:pt idx="92">
                  <c:v>1591.0550905943126</c:v>
                </c:pt>
                <c:pt idx="93">
                  <c:v>1594.7304599333909</c:v>
                </c:pt>
                <c:pt idx="94">
                  <c:v>1598.400458077009</c:v>
                </c:pt>
                <c:pt idx="95">
                  <c:v>1602.0650499362205</c:v>
                </c:pt>
                <c:pt idx="96">
                  <c:v>1605.7242000420404</c:v>
                </c:pt>
                <c:pt idx="97">
                  <c:v>1609.3778725979816</c:v>
                </c:pt>
                <c:pt idx="98">
                  <c:v>1613.0260315263849</c:v>
                </c:pt>
                <c:pt idx="99">
                  <c:v>1616.6686405092432</c:v>
                </c:pt>
                <c:pt idx="100">
                  <c:v>1620.3056630247704</c:v>
                </c:pt>
                <c:pt idx="101">
                  <c:v>1623.9370623794271</c:v>
                </c:pt>
                <c:pt idx="102">
                  <c:v>1627.5628017368954</c:v>
                </c:pt>
                <c:pt idx="103">
                  <c:v>1631.1828441433909</c:v>
                </c:pt>
                <c:pt idx="104">
                  <c:v>1634.7971525492576</c:v>
                </c:pt>
                <c:pt idx="105">
                  <c:v>1638.4056898305619</c:v>
                </c:pt>
                <c:pt idx="106">
                  <c:v>1642.0084188056503</c:v>
                </c:pt>
                <c:pt idx="107">
                  <c:v>1645.6053022517356</c:v>
                </c:pt>
                <c:pt idx="108">
                  <c:v>1649.1963029184194</c:v>
                </c:pt>
                <c:pt idx="109">
                  <c:v>1652.7813835407633</c:v>
                </c:pt>
                <c:pt idx="110">
                  <c:v>1656.3605068500424</c:v>
                </c:pt>
                <c:pt idx="111">
                  <c:v>1659.933635584267</c:v>
                </c:pt>
                <c:pt idx="112">
                  <c:v>1663.5007324964879</c:v>
                </c:pt>
                <c:pt idx="113">
                  <c:v>1667.061760363378</c:v>
                </c:pt>
                <c:pt idx="114">
                  <c:v>1670.6166819917585</c:v>
                </c:pt>
                <c:pt idx="115">
                  <c:v>1674.1654602253932</c:v>
                </c:pt>
                <c:pt idx="116">
                  <c:v>1677.7080579505596</c:v>
                </c:pt>
                <c:pt idx="117">
                  <c:v>1681.2444381011646</c:v>
                </c:pt>
                <c:pt idx="118">
                  <c:v>1684.7745636633774</c:v>
                </c:pt>
                <c:pt idx="119">
                  <c:v>1688.2983976795572</c:v>
                </c:pt>
                <c:pt idx="120">
                  <c:v>1691.8159032520061</c:v>
                </c:pt>
                <c:pt idx="121">
                  <c:v>1695.3270435466438</c:v>
                </c:pt>
                <c:pt idx="122">
                  <c:v>1698.8317817955194</c:v>
                </c:pt>
                <c:pt idx="123">
                  <c:v>1702.3300812998161</c:v>
                </c:pt>
                <c:pt idx="124">
                  <c:v>1705.8219054320605</c:v>
                </c:pt>
                <c:pt idx="125">
                  <c:v>1709.307217638491</c:v>
                </c:pt>
                <c:pt idx="126">
                  <c:v>1712.7859814408434</c:v>
                </c:pt>
                <c:pt idx="127">
                  <c:v>1716.2581604386282</c:v>
                </c:pt>
                <c:pt idx="128">
                  <c:v>1719.723718310064</c:v>
                </c:pt>
                <c:pt idx="129">
                  <c:v>1723.1826188140572</c:v>
                </c:pt>
                <c:pt idx="130">
                  <c:v>1726.6348257913937</c:v>
                </c:pt>
                <c:pt idx="131">
                  <c:v>1730.0803031659466</c:v>
                </c:pt>
                <c:pt idx="132">
                  <c:v>1733.5190149457503</c:v>
                </c:pt>
                <c:pt idx="133">
                  <c:v>1736.9509252242042</c:v>
                </c:pt>
                <c:pt idx="134">
                  <c:v>1740.3759981807218</c:v>
                </c:pt>
                <c:pt idx="135">
                  <c:v>1743.7941980818832</c:v>
                </c:pt>
                <c:pt idx="136">
                  <c:v>1747.2054892819135</c:v>
                </c:pt>
                <c:pt idx="137">
                  <c:v>1750.6098362235482</c:v>
                </c:pt>
                <c:pt idx="138">
                  <c:v>1754.0072034387254</c:v>
                </c:pt>
                <c:pt idx="139">
                  <c:v>1757.3975555494828</c:v>
                </c:pt>
                <c:pt idx="140">
                  <c:v>1760.7808572677195</c:v>
                </c:pt>
                <c:pt idx="141">
                  <c:v>1764.1570733965086</c:v>
                </c:pt>
                <c:pt idx="142">
                  <c:v>1767.5261688300684</c:v>
                </c:pt>
                <c:pt idx="143">
                  <c:v>1770.8881085546298</c:v>
                </c:pt>
                <c:pt idx="144">
                  <c:v>1774.2428576485106</c:v>
                </c:pt>
                <c:pt idx="145">
                  <c:v>1777.5903812829329</c:v>
                </c:pt>
                <c:pt idx="146">
                  <c:v>1780.9306447216418</c:v>
                </c:pt>
                <c:pt idx="147">
                  <c:v>1784.2636133220494</c:v>
                </c:pt>
                <c:pt idx="148">
                  <c:v>1787.5892525351737</c:v>
                </c:pt>
                <c:pt idx="149">
                  <c:v>1790.9075279060482</c:v>
                </c:pt>
                <c:pt idx="150">
                  <c:v>1794.2184050736757</c:v>
                </c:pt>
                <c:pt idx="151">
                  <c:v>1797.5218497721517</c:v>
                </c:pt>
                <c:pt idx="152">
                  <c:v>1800.8178278298458</c:v>
                </c:pt>
                <c:pt idx="153">
                  <c:v>1804.106305170319</c:v>
                </c:pt>
                <c:pt idx="154">
                  <c:v>1807.387247812705</c:v>
                </c:pt>
                <c:pt idx="155">
                  <c:v>1810.6606218710767</c:v>
                </c:pt>
                <c:pt idx="156">
                  <c:v>1818.4391589730471</c:v>
                </c:pt>
                <c:pt idx="157">
                  <c:v>1824.4103139684373</c:v>
                </c:pt>
                <c:pt idx="158">
                  <c:v>1829.0534823944056</c:v>
                </c:pt>
                <c:pt idx="159">
                  <c:v>1832.7201098120497</c:v>
                </c:pt>
                <c:pt idx="160">
                  <c:v>1835.6679346620863</c:v>
                </c:pt>
                <c:pt idx="161">
                  <c:v>1838.086065681161</c:v>
                </c:pt>
                <c:pt idx="162">
                  <c:v>1840.1133363454549</c:v>
                </c:pt>
                <c:pt idx="163">
                  <c:v>1841.8517360359303</c:v>
                </c:pt>
                <c:pt idx="164">
                  <c:v>1843.3762393005147</c:v>
                </c:pt>
                <c:pt idx="165">
                  <c:v>1844.7420011684819</c:v>
                </c:pt>
                <c:pt idx="166">
                  <c:v>1845.9896265727618</c:v>
                </c:pt>
                <c:pt idx="167">
                  <c:v>1847.1490314028645</c:v>
                </c:pt>
                <c:pt idx="168">
                  <c:v>1848.2422733135593</c:v>
                </c:pt>
                <c:pt idx="169">
                  <c:v>1849.2856285559983</c:v>
                </c:pt>
                <c:pt idx="170">
                  <c:v>1850.2911167106543</c:v>
                </c:pt>
                <c:pt idx="171">
                  <c:v>1851.2676209002288</c:v>
                </c:pt>
                <c:pt idx="172">
                  <c:v>1852.2217114161997</c:v>
                </c:pt>
                <c:pt idx="173">
                  <c:v>1853.1582517396587</c:v>
                </c:pt>
                <c:pt idx="174">
                  <c:v>1854.0808447901059</c:v>
                </c:pt>
                <c:pt idx="175">
                  <c:v>1854.9921617779057</c:v>
                </c:pt>
                <c:pt idx="176">
                  <c:v>1855.8941847309197</c:v>
                </c:pt>
                <c:pt idx="177">
                  <c:v>1856.7883854959746</c:v>
                </c:pt>
                <c:pt idx="178">
                  <c:v>1857.6758579555426</c:v>
                </c:pt>
                <c:pt idx="179">
                  <c:v>1858.5574157639051</c:v>
                </c:pt>
                <c:pt idx="180">
                  <c:v>1859.4336646505164</c:v>
                </c:pt>
                <c:pt idx="181">
                  <c:v>1860.3050559488545</c:v>
                </c:pt>
                <c:pt idx="182">
                  <c:v>1861.1719262583463</c:v>
                </c:pt>
                <c:pt idx="183">
                  <c:v>1862.0345268514432</c:v>
                </c:pt>
                <c:pt idx="184">
                  <c:v>1862.8930454964602</c:v>
                </c:pt>
                <c:pt idx="185">
                  <c:v>1863.7476226626786</c:v>
                </c:pt>
                <c:pt idx="186">
                  <c:v>1864.5983635633645</c:v>
                </c:pt>
                <c:pt idx="187">
                  <c:v>1865.4453471133222</c:v>
                </c:pt>
                <c:pt idx="188">
                  <c:v>1866.2886325954785</c:v>
                </c:pt>
                <c:pt idx="189">
                  <c:v>1867.1282646257566</c:v>
                </c:pt>
                <c:pt idx="190">
                  <c:v>1867.9642768555232</c:v>
                </c:pt>
                <c:pt idx="191">
                  <c:v>1868.7966947314876</c:v>
                </c:pt>
                <c:pt idx="192">
                  <c:v>1869.6255375575761</c:v>
                </c:pt>
                <c:pt idx="193">
                  <c:v>1870.4508200340622</c:v>
                </c:pt>
                <c:pt idx="194">
                  <c:v>1871.2725534089773</c:v>
                </c:pt>
                <c:pt idx="195">
                  <c:v>1872.0907463393473</c:v>
                </c:pt>
                <c:pt idx="196">
                  <c:v>1872.9054055352417</c:v>
                </c:pt>
                <c:pt idx="197">
                  <c:v>1873.7165362436222</c:v>
                </c:pt>
                <c:pt idx="198">
                  <c:v>1874.5241426100351</c:v>
                </c:pt>
                <c:pt idx="199">
                  <c:v>1875.3282279504454</c:v>
                </c:pt>
                <c:pt idx="200">
                  <c:v>1876.1287949552218</c:v>
                </c:pt>
                <c:pt idx="201">
                  <c:v>1876.925845842263</c:v>
                </c:pt>
                <c:pt idx="202">
                  <c:v>1877.7193824727171</c:v>
                </c:pt>
                <c:pt idx="203">
                  <c:v>1878.5094064370235</c:v>
                </c:pt>
                <c:pt idx="204">
                  <c:v>1879.2959191209873</c:v>
                </c:pt>
                <c:pt idx="205">
                  <c:v>1880.0789217539257</c:v>
                </c:pt>
                <c:pt idx="206">
                  <c:v>1880.8584154470066</c:v>
                </c:pt>
                <c:pt idx="207">
                  <c:v>1881.6344012202246</c:v>
                </c:pt>
                <c:pt idx="208">
                  <c:v>1882.4068800241278</c:v>
                </c:pt>
                <c:pt idx="209">
                  <c:v>1883.1758527554564</c:v>
                </c:pt>
                <c:pt idx="210">
                  <c:v>1883.941320269309</c:v>
                </c:pt>
                <c:pt idx="211">
                  <c:v>1884.7032833886763</c:v>
                </c:pt>
                <c:pt idx="212">
                  <c:v>1885.4617429104389</c:v>
                </c:pt>
                <c:pt idx="213">
                  <c:v>1886.2166996114831</c:v>
                </c:pt>
                <c:pt idx="214">
                  <c:v>1886.9681542523706</c:v>
                </c:pt>
                <c:pt idx="215">
                  <c:v>1887.7161075801798</c:v>
                </c:pt>
                <c:pt idx="216">
                  <c:v>1888.460560331217</c:v>
                </c:pt>
                <c:pt idx="217">
                  <c:v>1889.2015132323936</c:v>
                </c:pt>
                <c:pt idx="218">
                  <c:v>1889.9389670023679</c:v>
                </c:pt>
                <c:pt idx="219">
                  <c:v>1890.6729223533757</c:v>
                </c:pt>
                <c:pt idx="220">
                  <c:v>1891.4033799911276</c:v>
                </c:pt>
                <c:pt idx="221">
                  <c:v>1892.1303406158563</c:v>
                </c:pt>
                <c:pt idx="222">
                  <c:v>1892.8538049227245</c:v>
                </c:pt>
                <c:pt idx="223">
                  <c:v>1893.5737736019603</c:v>
                </c:pt>
                <c:pt idx="224">
                  <c:v>1894.2902473394611</c:v>
                </c:pt>
                <c:pt idx="225">
                  <c:v>1895.0032268166131</c:v>
                </c:pt>
                <c:pt idx="226">
                  <c:v>1895.7127127107753</c:v>
                </c:pt>
                <c:pt idx="227">
                  <c:v>1896.4187056951532</c:v>
                </c:pt>
                <c:pt idx="228">
                  <c:v>1897.1212064391552</c:v>
                </c:pt>
                <c:pt idx="229">
                  <c:v>1897.8202156084069</c:v>
                </c:pt>
                <c:pt idx="230">
                  <c:v>1898.5157338642798</c:v>
                </c:pt>
                <c:pt idx="231">
                  <c:v>1899.2077618648254</c:v>
                </c:pt>
                <c:pt idx="232">
                  <c:v>1899.8963002641747</c:v>
                </c:pt>
                <c:pt idx="233">
                  <c:v>1900.5813497128636</c:v>
                </c:pt>
                <c:pt idx="234">
                  <c:v>1901.2629108576596</c:v>
                </c:pt>
                <c:pt idx="235">
                  <c:v>1901.9409843417561</c:v>
                </c:pt>
                <c:pt idx="236">
                  <c:v>1902.6155708046351</c:v>
                </c:pt>
                <c:pt idx="237">
                  <c:v>1903.2866708823235</c:v>
                </c:pt>
                <c:pt idx="238">
                  <c:v>1903.9542852070358</c:v>
                </c:pt>
                <c:pt idx="239">
                  <c:v>1904.6184144076299</c:v>
                </c:pt>
                <c:pt idx="240">
                  <c:v>1905.2790591090595</c:v>
                </c:pt>
                <c:pt idx="241">
                  <c:v>1905.9362199329721</c:v>
                </c:pt>
                <c:pt idx="242">
                  <c:v>1906.5898974973879</c:v>
                </c:pt>
                <c:pt idx="243">
                  <c:v>1907.2400924167864</c:v>
                </c:pt>
                <c:pt idx="244">
                  <c:v>1907.8868053020481</c:v>
                </c:pt>
                <c:pt idx="245">
                  <c:v>1908.5300367605046</c:v>
                </c:pt>
                <c:pt idx="246">
                  <c:v>1909.1697873959729</c:v>
                </c:pt>
                <c:pt idx="247">
                  <c:v>1909.8060578089082</c:v>
                </c:pt>
                <c:pt idx="248">
                  <c:v>1910.4388485959419</c:v>
                </c:pt>
                <c:pt idx="249">
                  <c:v>1911.0681603504338</c:v>
                </c:pt>
                <c:pt idx="250">
                  <c:v>1911.6939936622018</c:v>
                </c:pt>
                <c:pt idx="251">
                  <c:v>1912.3163491173946</c:v>
                </c:pt>
                <c:pt idx="252">
                  <c:v>1912.9352272988185</c:v>
                </c:pt>
                <c:pt idx="253">
                  <c:v>1913.5506287858618</c:v>
                </c:pt>
                <c:pt idx="254">
                  <c:v>1914.1625541542421</c:v>
                </c:pt>
                <c:pt idx="255">
                  <c:v>1914.7710039763708</c:v>
                </c:pt>
                <c:pt idx="256">
                  <c:v>1915.3759788212019</c:v>
                </c:pt>
                <c:pt idx="257">
                  <c:v>1915.9774792538983</c:v>
                </c:pt>
                <c:pt idx="258">
                  <c:v>1916.5755058365885</c:v>
                </c:pt>
                <c:pt idx="259">
                  <c:v>1917.1700591278575</c:v>
                </c:pt>
                <c:pt idx="260">
                  <c:v>1917.7611396826064</c:v>
                </c:pt>
                <c:pt idx="261">
                  <c:v>1918.3487480525648</c:v>
                </c:pt>
                <c:pt idx="262">
                  <c:v>1918.9328847857935</c:v>
                </c:pt>
                <c:pt idx="263">
                  <c:v>1919.5135504272814</c:v>
                </c:pt>
                <c:pt idx="264">
                  <c:v>1920.0907455181316</c:v>
                </c:pt>
                <c:pt idx="265">
                  <c:v>1920.6644705964422</c:v>
                </c:pt>
                <c:pt idx="266">
                  <c:v>1921.2347261966361</c:v>
                </c:pt>
                <c:pt idx="267">
                  <c:v>1921.8015128499137</c:v>
                </c:pt>
                <c:pt idx="268">
                  <c:v>1922.3648310839721</c:v>
                </c:pt>
                <c:pt idx="269">
                  <c:v>1922.9246814230542</c:v>
                </c:pt>
                <c:pt idx="270">
                  <c:v>1923.4810643881301</c:v>
                </c:pt>
                <c:pt idx="271">
                  <c:v>1924.0339804968021</c:v>
                </c:pt>
                <c:pt idx="272">
                  <c:v>1924.5834302632391</c:v>
                </c:pt>
                <c:pt idx="273">
                  <c:v>1925.1294141982628</c:v>
                </c:pt>
                <c:pt idx="274">
                  <c:v>1925.6719328091963</c:v>
                </c:pt>
                <c:pt idx="275">
                  <c:v>1926.2109866002115</c:v>
                </c:pt>
                <c:pt idx="276">
                  <c:v>1926.7465760719472</c:v>
                </c:pt>
                <c:pt idx="277">
                  <c:v>1927.2787017218784</c:v>
                </c:pt>
                <c:pt idx="278">
                  <c:v>1927.8073640439866</c:v>
                </c:pt>
                <c:pt idx="279">
                  <c:v>1928.3325635289018</c:v>
                </c:pt>
                <c:pt idx="280">
                  <c:v>1928.8543006640134</c:v>
                </c:pt>
                <c:pt idx="281">
                  <c:v>1929.3725759333122</c:v>
                </c:pt>
                <c:pt idx="282">
                  <c:v>1929.8873898175227</c:v>
                </c:pt>
                <c:pt idx="283">
                  <c:v>1930.398742794014</c:v>
                </c:pt>
                <c:pt idx="284">
                  <c:v>1930.9066353367307</c:v>
                </c:pt>
                <c:pt idx="285">
                  <c:v>1931.4110679165049</c:v>
                </c:pt>
                <c:pt idx="286">
                  <c:v>1931.9120410007665</c:v>
                </c:pt>
                <c:pt idx="287">
                  <c:v>1932.4095550536185</c:v>
                </c:pt>
                <c:pt idx="288">
                  <c:v>1932.9036105359112</c:v>
                </c:pt>
                <c:pt idx="289">
                  <c:v>1933.3942079051324</c:v>
                </c:pt>
                <c:pt idx="290">
                  <c:v>1933.8813476156288</c:v>
                </c:pt>
                <c:pt idx="291">
                  <c:v>1934.3650301182836</c:v>
                </c:pt>
                <c:pt idx="292">
                  <c:v>1934.8452558608278</c:v>
                </c:pt>
                <c:pt idx="293">
                  <c:v>1935.3220252876661</c:v>
                </c:pt>
                <c:pt idx="294">
                  <c:v>1935.7953388399419</c:v>
                </c:pt>
                <c:pt idx="295">
                  <c:v>1936.2651969555138</c:v>
                </c:pt>
                <c:pt idx="296">
                  <c:v>1936.7316000690416</c:v>
                </c:pt>
                <c:pt idx="297">
                  <c:v>1937.1945486118609</c:v>
                </c:pt>
                <c:pt idx="298">
                  <c:v>1937.654043012109</c:v>
                </c:pt>
                <c:pt idx="299">
                  <c:v>1938.1100836945673</c:v>
                </c:pt>
                <c:pt idx="300">
                  <c:v>1938.5626710809452</c:v>
                </c:pt>
                <c:pt idx="301">
                  <c:v>1939.0118055896155</c:v>
                </c:pt>
                <c:pt idx="302">
                  <c:v>1939.4574876357115</c:v>
                </c:pt>
                <c:pt idx="303">
                  <c:v>1939.8997176311248</c:v>
                </c:pt>
                <c:pt idx="304">
                  <c:v>1940.3384959845239</c:v>
                </c:pt>
                <c:pt idx="305">
                  <c:v>1940.7738231014118</c:v>
                </c:pt>
                <c:pt idx="306">
                  <c:v>1941.2056993840292</c:v>
                </c:pt>
                <c:pt idx="307">
                  <c:v>1941.6341252313712</c:v>
                </c:pt>
                <c:pt idx="308">
                  <c:v>1942.0591010393464</c:v>
                </c:pt>
                <c:pt idx="309">
                  <c:v>1942.4806272004289</c:v>
                </c:pt>
                <c:pt idx="310">
                  <c:v>1942.8987041041889</c:v>
                </c:pt>
                <c:pt idx="311">
                  <c:v>1943.3133321367488</c:v>
                </c:pt>
                <c:pt idx="312">
                  <c:v>1943.7245116810755</c:v>
                </c:pt>
                <c:pt idx="313">
                  <c:v>1944.1322431171418</c:v>
                </c:pt>
                <c:pt idx="314">
                  <c:v>1944.5365268215007</c:v>
                </c:pt>
                <c:pt idx="315">
                  <c:v>1944.9373631675467</c:v>
                </c:pt>
                <c:pt idx="316">
                  <c:v>1945.3347525256654</c:v>
                </c:pt>
                <c:pt idx="317">
                  <c:v>1945.7286952628608</c:v>
                </c:pt>
                <c:pt idx="318">
                  <c:v>1946.1191917431377</c:v>
                </c:pt>
                <c:pt idx="319">
                  <c:v>1946.5062423272036</c:v>
                </c:pt>
                <c:pt idx="320">
                  <c:v>1946.8898473726711</c:v>
                </c:pt>
                <c:pt idx="321">
                  <c:v>1947.2700072339994</c:v>
                </c:pt>
                <c:pt idx="322">
                  <c:v>1947.6467222623503</c:v>
                </c:pt>
                <c:pt idx="323">
                  <c:v>1948.0199928059837</c:v>
                </c:pt>
                <c:pt idx="324">
                  <c:v>1948.3898192097563</c:v>
                </c:pt>
                <c:pt idx="325">
                  <c:v>1948.7562018155693</c:v>
                </c:pt>
                <c:pt idx="326">
                  <c:v>1949.1191409620108</c:v>
                </c:pt>
                <c:pt idx="327">
                  <c:v>1949.4786369846938</c:v>
                </c:pt>
                <c:pt idx="328">
                  <c:v>1949.8346902159549</c:v>
                </c:pt>
                <c:pt idx="329">
                  <c:v>1950.1873009850976</c:v>
                </c:pt>
                <c:pt idx="330">
                  <c:v>1950.536469618226</c:v>
                </c:pt>
                <c:pt idx="331">
                  <c:v>1950.8821964382798</c:v>
                </c:pt>
                <c:pt idx="332">
                  <c:v>1951.2244817652502</c:v>
                </c:pt>
                <c:pt idx="333">
                  <c:v>1951.5633259157939</c:v>
                </c:pt>
                <c:pt idx="334">
                  <c:v>1951.8987292036406</c:v>
                </c:pt>
                <c:pt idx="335">
                  <c:v>1952.2306919391924</c:v>
                </c:pt>
                <c:pt idx="336">
                  <c:v>1952.5592144299292</c:v>
                </c:pt>
                <c:pt idx="337">
                  <c:v>1952.8842969801519</c:v>
                </c:pt>
                <c:pt idx="338">
                  <c:v>1953.2059398910064</c:v>
                </c:pt>
                <c:pt idx="339">
                  <c:v>1953.5241434606487</c:v>
                </c:pt>
                <c:pt idx="340">
                  <c:v>1953.8389079839792</c:v>
                </c:pt>
                <c:pt idx="341">
                  <c:v>1954.1502337529064</c:v>
                </c:pt>
                <c:pt idx="342">
                  <c:v>1954.4581210563097</c:v>
                </c:pt>
                <c:pt idx="343">
                  <c:v>1954.7625701797735</c:v>
                </c:pt>
                <c:pt idx="344">
                  <c:v>1955.0635814059904</c:v>
                </c:pt>
                <c:pt idx="345">
                  <c:v>1955.3611550144587</c:v>
                </c:pt>
                <c:pt idx="346">
                  <c:v>1955.6552912816128</c:v>
                </c:pt>
                <c:pt idx="347">
                  <c:v>1955.9459904808218</c:v>
                </c:pt>
                <c:pt idx="348">
                  <c:v>1956.2332528823611</c:v>
                </c:pt>
                <c:pt idx="349">
                  <c:v>1956.5170787534571</c:v>
                </c:pt>
                <c:pt idx="350">
                  <c:v>1956.7974683582422</c:v>
                </c:pt>
                <c:pt idx="351">
                  <c:v>1957.0744219577489</c:v>
                </c:pt>
                <c:pt idx="352">
                  <c:v>1957.3479398099651</c:v>
                </c:pt>
                <c:pt idx="353">
                  <c:v>1957.6180221698892</c:v>
                </c:pt>
                <c:pt idx="354">
                  <c:v>1957.8846692893551</c:v>
                </c:pt>
                <c:pt idx="355">
                  <c:v>1958.1478814171551</c:v>
                </c:pt>
                <c:pt idx="356">
                  <c:v>1958.4076587990435</c:v>
                </c:pt>
                <c:pt idx="357">
                  <c:v>1958.6640016776705</c:v>
                </c:pt>
                <c:pt idx="358">
                  <c:v>1958.9169102927983</c:v>
                </c:pt>
                <c:pt idx="359">
                  <c:v>1959.1663848808937</c:v>
                </c:pt>
                <c:pt idx="360">
                  <c:v>1959.4124256755997</c:v>
                </c:pt>
                <c:pt idx="361">
                  <c:v>1959.65503290729</c:v>
                </c:pt>
                <c:pt idx="362">
                  <c:v>1959.8942068035383</c:v>
                </c:pt>
                <c:pt idx="363">
                  <c:v>1960.1299475886556</c:v>
                </c:pt>
                <c:pt idx="364">
                  <c:v>1960.3622554840317</c:v>
                </c:pt>
                <c:pt idx="365">
                  <c:v>1960.591130708088</c:v>
                </c:pt>
                <c:pt idx="366">
                  <c:v>1960.8165734759898</c:v>
                </c:pt>
                <c:pt idx="367">
                  <c:v>1961.0385840000943</c:v>
                </c:pt>
                <c:pt idx="368">
                  <c:v>1961.2571624895643</c:v>
                </c:pt>
                <c:pt idx="369">
                  <c:v>1961.4723091506885</c:v>
                </c:pt>
                <c:pt idx="370">
                  <c:v>1961.6840241865684</c:v>
                </c:pt>
                <c:pt idx="371">
                  <c:v>1961.8923077974225</c:v>
                </c:pt>
                <c:pt idx="372">
                  <c:v>1962.0971601803349</c:v>
                </c:pt>
                <c:pt idx="373">
                  <c:v>1962.2985815293769</c:v>
                </c:pt>
                <c:pt idx="374">
                  <c:v>1962.4965720356956</c:v>
                </c:pt>
                <c:pt idx="375">
                  <c:v>1962.6911318873583</c:v>
                </c:pt>
                <c:pt idx="376">
                  <c:v>1962.8822612693741</c:v>
                </c:pt>
                <c:pt idx="377">
                  <c:v>1963.0699603638034</c:v>
                </c:pt>
                <c:pt idx="378">
                  <c:v>1963.2542293497061</c:v>
                </c:pt>
                <c:pt idx="379">
                  <c:v>1963.4350684030908</c:v>
                </c:pt>
                <c:pt idx="380">
                  <c:v>1963.6124776969511</c:v>
                </c:pt>
                <c:pt idx="381">
                  <c:v>1963.786457401327</c:v>
                </c:pt>
                <c:pt idx="382">
                  <c:v>1963.9570076831492</c:v>
                </c:pt>
                <c:pt idx="383">
                  <c:v>1964.1241287064347</c:v>
                </c:pt>
                <c:pt idx="384">
                  <c:v>1964.2878206322273</c:v>
                </c:pt>
                <c:pt idx="385">
                  <c:v>1964.4480836184225</c:v>
                </c:pt>
                <c:pt idx="386">
                  <c:v>1964.6049178201486</c:v>
                </c:pt>
                <c:pt idx="387">
                  <c:v>1964.7583233892572</c:v>
                </c:pt>
                <c:pt idx="388">
                  <c:v>1964.908300474842</c:v>
                </c:pt>
                <c:pt idx="389">
                  <c:v>1965.0548492229111</c:v>
                </c:pt>
                <c:pt idx="390">
                  <c:v>1965.1979697763932</c:v>
                </c:pt>
                <c:pt idx="391">
                  <c:v>1965.3376622753976</c:v>
                </c:pt>
                <c:pt idx="392">
                  <c:v>1965.4739268569294</c:v>
                </c:pt>
                <c:pt idx="393">
                  <c:v>1965.6067636549624</c:v>
                </c:pt>
                <c:pt idx="394">
                  <c:v>1965.7361728007061</c:v>
                </c:pt>
                <c:pt idx="395">
                  <c:v>1965.8621544221317</c:v>
                </c:pt>
                <c:pt idx="396">
                  <c:v>1965.9847086443219</c:v>
                </c:pt>
                <c:pt idx="397">
                  <c:v>1966.1038355893386</c:v>
                </c:pt>
                <c:pt idx="398">
                  <c:v>1966.219535376383</c:v>
                </c:pt>
                <c:pt idx="399">
                  <c:v>1966.3318081215584</c:v>
                </c:pt>
                <c:pt idx="400">
                  <c:v>1966.4406539379979</c:v>
                </c:pt>
                <c:pt idx="401">
                  <c:v>1966.5460729358877</c:v>
                </c:pt>
                <c:pt idx="402">
                  <c:v>1966.6480652225014</c:v>
                </c:pt>
                <c:pt idx="403">
                  <c:v>1966.7466309019239</c:v>
                </c:pt>
                <c:pt idx="404">
                  <c:v>1966.8417700755531</c:v>
                </c:pt>
                <c:pt idx="405">
                  <c:v>1966.9334828415422</c:v>
                </c:pt>
                <c:pt idx="406">
                  <c:v>1967.0217692951785</c:v>
                </c:pt>
                <c:pt idx="407">
                  <c:v>1967.1066295288852</c:v>
                </c:pt>
                <c:pt idx="408">
                  <c:v>1967.1880636320018</c:v>
                </c:pt>
                <c:pt idx="409">
                  <c:v>1967.2660716908565</c:v>
                </c:pt>
                <c:pt idx="410">
                  <c:v>1967.3406537888627</c:v>
                </c:pt>
                <c:pt idx="411">
                  <c:v>1967.411810006502</c:v>
                </c:pt>
                <c:pt idx="412">
                  <c:v>1967.4795404212621</c:v>
                </c:pt>
                <c:pt idx="413">
                  <c:v>1967.5438451075502</c:v>
                </c:pt>
                <c:pt idx="414">
                  <c:v>1967.604724137004</c:v>
                </c:pt>
                <c:pt idx="415">
                  <c:v>1967.6621775780948</c:v>
                </c:pt>
                <c:pt idx="416">
                  <c:v>1967.7162054966043</c:v>
                </c:pt>
                <c:pt idx="417">
                  <c:v>1967.7668079549683</c:v>
                </c:pt>
                <c:pt idx="418">
                  <c:v>1967.813985013001</c:v>
                </c:pt>
                <c:pt idx="419">
                  <c:v>1967.8577367273999</c:v>
                </c:pt>
                <c:pt idx="420">
                  <c:v>1967.8980631518859</c:v>
                </c:pt>
                <c:pt idx="421">
                  <c:v>1967.9349643372229</c:v>
                </c:pt>
                <c:pt idx="422">
                  <c:v>1967.9684403313136</c:v>
                </c:pt>
                <c:pt idx="423">
                  <c:v>1967.9984911789468</c:v>
                </c:pt>
                <c:pt idx="424">
                  <c:v>1968.0251169220812</c:v>
                </c:pt>
                <c:pt idx="425">
                  <c:v>1968.0483175996005</c:v>
                </c:pt>
                <c:pt idx="426">
                  <c:v>1968.0680932475282</c:v>
                </c:pt>
                <c:pt idx="427">
                  <c:v>1968.0844438989097</c:v>
                </c:pt>
                <c:pt idx="428">
                  <c:v>1968.0973695837661</c:v>
                </c:pt>
                <c:pt idx="429">
                  <c:v>1968.1068703291971</c:v>
                </c:pt>
                <c:pt idx="430">
                  <c:v>1968.1129461593848</c:v>
                </c:pt>
                <c:pt idx="431">
                  <c:v>1968.1155970954869</c:v>
                </c:pt>
                <c:pt idx="432">
                  <c:v>1968.1148231557399</c:v>
                </c:pt>
                <c:pt idx="433">
                  <c:v>1968.1106243554382</c:v>
                </c:pt>
                <c:pt idx="434">
                  <c:v>1968.1030007068973</c:v>
                </c:pt>
                <c:pt idx="435">
                  <c:v>1968.0919522193967</c:v>
                </c:pt>
                <c:pt idx="436">
                  <c:v>1968.0774788994236</c:v>
                </c:pt>
                <c:pt idx="437">
                  <c:v>1968.059580750371</c:v>
                </c:pt>
                <c:pt idx="438">
                  <c:v>1968.0382577727487</c:v>
                </c:pt>
                <c:pt idx="439">
                  <c:v>1968.0135099640106</c:v>
                </c:pt>
                <c:pt idx="440">
                  <c:v>1967.9853373188639</c:v>
                </c:pt>
                <c:pt idx="441">
                  <c:v>1967.9537398287994</c:v>
                </c:pt>
                <c:pt idx="442">
                  <c:v>1967.9187174825031</c:v>
                </c:pt>
                <c:pt idx="443">
                  <c:v>1967.8802702657156</c:v>
                </c:pt>
                <c:pt idx="444">
                  <c:v>1967.8383981611</c:v>
                </c:pt>
                <c:pt idx="445">
                  <c:v>1967.7931011485516</c:v>
                </c:pt>
                <c:pt idx="446">
                  <c:v>1967.7443792048048</c:v>
                </c:pt>
                <c:pt idx="447">
                  <c:v>1967.6922323036906</c:v>
                </c:pt>
                <c:pt idx="448">
                  <c:v>1967.6366604162056</c:v>
                </c:pt>
                <c:pt idx="449">
                  <c:v>1967.5776635103134</c:v>
                </c:pt>
                <c:pt idx="450">
                  <c:v>1967.5152415509081</c:v>
                </c:pt>
                <c:pt idx="451">
                  <c:v>1967.4493945001261</c:v>
                </c:pt>
                <c:pt idx="452">
                  <c:v>1967.3801223169635</c:v>
                </c:pt>
                <c:pt idx="453">
                  <c:v>1967.3074249575754</c:v>
                </c:pt>
                <c:pt idx="454">
                  <c:v>1967.2313023750539</c:v>
                </c:pt>
                <c:pt idx="455">
                  <c:v>1967.1517545197403</c:v>
                </c:pt>
                <c:pt idx="456">
                  <c:v>1967.068781338716</c:v>
                </c:pt>
                <c:pt idx="457">
                  <c:v>1966.9823827763637</c:v>
                </c:pt>
                <c:pt idx="458">
                  <c:v>1966.8925587739134</c:v>
                </c:pt>
                <c:pt idx="459">
                  <c:v>1966.7993092698146</c:v>
                </c:pt>
                <c:pt idx="460">
                  <c:v>1966.702634199343</c:v>
                </c:pt>
                <c:pt idx="461">
                  <c:v>1966.6025334950232</c:v>
                </c:pt>
                <c:pt idx="462">
                  <c:v>1966.4990070862718</c:v>
                </c:pt>
                <c:pt idx="463">
                  <c:v>1966.3920548995914</c:v>
                </c:pt>
                <c:pt idx="464">
                  <c:v>1966.2816768584894</c:v>
                </c:pt>
                <c:pt idx="465">
                  <c:v>1966.1678728836036</c:v>
                </c:pt>
                <c:pt idx="466">
                  <c:v>1966.0506428924791</c:v>
                </c:pt>
                <c:pt idx="467">
                  <c:v>1965.9299867997427</c:v>
                </c:pt>
                <c:pt idx="468">
                  <c:v>1965.8059045171399</c:v>
                </c:pt>
                <c:pt idx="469">
                  <c:v>1965.6783959532547</c:v>
                </c:pt>
                <c:pt idx="470">
                  <c:v>1965.5474610139302</c:v>
                </c:pt>
                <c:pt idx="471">
                  <c:v>1965.4130996018796</c:v>
                </c:pt>
                <c:pt idx="472">
                  <c:v>1965.2753116168817</c:v>
                </c:pt>
                <c:pt idx="473">
                  <c:v>1965.1340969557789</c:v>
                </c:pt>
                <c:pt idx="474">
                  <c:v>1964.9894555123997</c:v>
                </c:pt>
                <c:pt idx="475">
                  <c:v>1964.8413871776263</c:v>
                </c:pt>
                <c:pt idx="476">
                  <c:v>1964.6898918393731</c:v>
                </c:pt>
                <c:pt idx="477">
                  <c:v>1964.534969382501</c:v>
                </c:pt>
                <c:pt idx="478">
                  <c:v>1964.3766196890426</c:v>
                </c:pt>
                <c:pt idx="479">
                  <c:v>1964.2148426379174</c:v>
                </c:pt>
                <c:pt idx="480">
                  <c:v>1964.0496381051212</c:v>
                </c:pt>
                <c:pt idx="481">
                  <c:v>1963.8810059636808</c:v>
                </c:pt>
                <c:pt idx="482">
                  <c:v>1963.7089460836075</c:v>
                </c:pt>
                <c:pt idx="483">
                  <c:v>1963.5334583319193</c:v>
                </c:pt>
                <c:pt idx="484">
                  <c:v>1963.3545425727207</c:v>
                </c:pt>
                <c:pt idx="485">
                  <c:v>1963.1721986671016</c:v>
                </c:pt>
                <c:pt idx="486">
                  <c:v>1962.9864264731339</c:v>
                </c:pt>
                <c:pt idx="487">
                  <c:v>1962.7972258459495</c:v>
                </c:pt>
                <c:pt idx="488">
                  <c:v>1962.6045966376498</c:v>
                </c:pt>
                <c:pt idx="489">
                  <c:v>1962.4085386973595</c:v>
                </c:pt>
                <c:pt idx="490">
                  <c:v>1962.2090518712007</c:v>
                </c:pt>
                <c:pt idx="491">
                  <c:v>1962.0061360024113</c:v>
                </c:pt>
                <c:pt idx="492">
                  <c:v>1961.7997909310293</c:v>
                </c:pt>
                <c:pt idx="493">
                  <c:v>1961.5900164942605</c:v>
                </c:pt>
                <c:pt idx="494">
                  <c:v>1961.3768125262461</c:v>
                </c:pt>
                <c:pt idx="495">
                  <c:v>1961.1601788581872</c:v>
                </c:pt>
                <c:pt idx="496">
                  <c:v>1960.9401153182216</c:v>
                </c:pt>
                <c:pt idx="497">
                  <c:v>1960.7166217314982</c:v>
                </c:pt>
                <c:pt idx="498">
                  <c:v>1960.4896979202017</c:v>
                </c:pt>
                <c:pt idx="499">
                  <c:v>1960.2593437034857</c:v>
                </c:pt>
                <c:pt idx="500">
                  <c:v>1960.0255588974785</c:v>
                </c:pt>
                <c:pt idx="501">
                  <c:v>1959.7883433153529</c:v>
                </c:pt>
                <c:pt idx="502">
                  <c:v>1959.5476967672003</c:v>
                </c:pt>
                <c:pt idx="503">
                  <c:v>1959.3036190601836</c:v>
                </c:pt>
                <c:pt idx="504">
                  <c:v>1959.0561099983727</c:v>
                </c:pt>
                <c:pt idx="505">
                  <c:v>1958.805169382865</c:v>
                </c:pt>
                <c:pt idx="506">
                  <c:v>1958.5507970117515</c:v>
                </c:pt>
                <c:pt idx="507">
                  <c:v>1958.292992680103</c:v>
                </c:pt>
                <c:pt idx="508">
                  <c:v>1958.0317561799152</c:v>
                </c:pt>
                <c:pt idx="509">
                  <c:v>1957.767087300198</c:v>
                </c:pt>
                <c:pt idx="510">
                  <c:v>1957.4989858269696</c:v>
                </c:pt>
                <c:pt idx="511">
                  <c:v>1957.2274515431843</c:v>
                </c:pt>
                <c:pt idx="512">
                  <c:v>1956.9524842288045</c:v>
                </c:pt>
                <c:pt idx="513">
                  <c:v>1956.6740836607014</c:v>
                </c:pt>
                <c:pt idx="514">
                  <c:v>1956.3922496127173</c:v>
                </c:pt>
                <c:pt idx="515">
                  <c:v>1956.1069818557876</c:v>
                </c:pt>
                <c:pt idx="516">
                  <c:v>1955.8182801576434</c:v>
                </c:pt>
                <c:pt idx="517">
                  <c:v>1955.5261442830526</c:v>
                </c:pt>
                <c:pt idx="518">
                  <c:v>1955.230573993716</c:v>
                </c:pt>
                <c:pt idx="519">
                  <c:v>1954.9315690483813</c:v>
                </c:pt>
                <c:pt idx="520">
                  <c:v>1954.6291292026515</c:v>
                </c:pt>
                <c:pt idx="521">
                  <c:v>1954.3232542091364</c:v>
                </c:pt>
                <c:pt idx="522">
                  <c:v>1954.013943817268</c:v>
                </c:pt>
                <c:pt idx="523">
                  <c:v>1953.7011977736813</c:v>
                </c:pt>
                <c:pt idx="524">
                  <c:v>1953.3850158217197</c:v>
                </c:pt>
                <c:pt idx="525">
                  <c:v>1953.06539770172</c:v>
                </c:pt>
                <c:pt idx="526">
                  <c:v>1952.742343151067</c:v>
                </c:pt>
                <c:pt idx="527">
                  <c:v>1952.4158519040288</c:v>
                </c:pt>
                <c:pt idx="528">
                  <c:v>1952.0859236917117</c:v>
                </c:pt>
                <c:pt idx="529">
                  <c:v>1951.7525582423116</c:v>
                </c:pt>
                <c:pt idx="530">
                  <c:v>1951.4157552808631</c:v>
                </c:pt>
                <c:pt idx="531">
                  <c:v>1951.0755145293299</c:v>
                </c:pt>
                <c:pt idx="532">
                  <c:v>1950.7318357066115</c:v>
                </c:pt>
                <c:pt idx="533">
                  <c:v>1950.3847185285613</c:v>
                </c:pt>
                <c:pt idx="534">
                  <c:v>1950.034162707904</c:v>
                </c:pt>
                <c:pt idx="535">
                  <c:v>1949.6801679543453</c:v>
                </c:pt>
                <c:pt idx="536">
                  <c:v>1949.3227339743969</c:v>
                </c:pt>
                <c:pt idx="537">
                  <c:v>1948.961860471622</c:v>
                </c:pt>
                <c:pt idx="538">
                  <c:v>1948.5975471463992</c:v>
                </c:pt>
                <c:pt idx="539">
                  <c:v>1948.2297936960163</c:v>
                </c:pt>
                <c:pt idx="540">
                  <c:v>1947.8585998147009</c:v>
                </c:pt>
                <c:pt idx="541">
                  <c:v>1947.4839651936225</c:v>
                </c:pt>
                <c:pt idx="542">
                  <c:v>1947.1058895207073</c:v>
                </c:pt>
                <c:pt idx="543">
                  <c:v>1946.7243724808843</c:v>
                </c:pt>
                <c:pt idx="544">
                  <c:v>1946.3394137559899</c:v>
                </c:pt>
                <c:pt idx="545">
                  <c:v>1945.951013024669</c:v>
                </c:pt>
                <c:pt idx="546">
                  <c:v>1945.5591699625174</c:v>
                </c:pt>
                <c:pt idx="547">
                  <c:v>1945.1638842419973</c:v>
                </c:pt>
                <c:pt idx="548">
                  <c:v>1944.7651555323969</c:v>
                </c:pt>
                <c:pt idx="549">
                  <c:v>1944.3629834999861</c:v>
                </c:pt>
                <c:pt idx="550">
                  <c:v>1943.9573678078175</c:v>
                </c:pt>
                <c:pt idx="551">
                  <c:v>1943.5483081158911</c:v>
                </c:pt>
                <c:pt idx="552">
                  <c:v>1943.1358040809498</c:v>
                </c:pt>
                <c:pt idx="553">
                  <c:v>1942.7198553567466</c:v>
                </c:pt>
                <c:pt idx="554">
                  <c:v>1942.3004615937948</c:v>
                </c:pt>
                <c:pt idx="555">
                  <c:v>1941.8776224395115</c:v>
                </c:pt>
                <c:pt idx="556">
                  <c:v>1941.45133753818</c:v>
                </c:pt>
                <c:pt idx="557">
                  <c:v>1941.0216065308575</c:v>
                </c:pt>
                <c:pt idx="558">
                  <c:v>1940.5884290555246</c:v>
                </c:pt>
                <c:pt idx="559">
                  <c:v>1940.1518047470017</c:v>
                </c:pt>
                <c:pt idx="560">
                  <c:v>1939.7117332368962</c:v>
                </c:pt>
                <c:pt idx="561">
                  <c:v>1939.2682141537002</c:v>
                </c:pt>
                <c:pt idx="562">
                  <c:v>1938.8212471227084</c:v>
                </c:pt>
                <c:pt idx="563">
                  <c:v>1938.3708317660503</c:v>
                </c:pt>
                <c:pt idx="564">
                  <c:v>1937.9169677026966</c:v>
                </c:pt>
                <c:pt idx="565">
                  <c:v>1937.4596545484214</c:v>
                </c:pt>
                <c:pt idx="566">
                  <c:v>1936.9988919158579</c:v>
                </c:pt>
                <c:pt idx="567">
                  <c:v>1936.5346794144095</c:v>
                </c:pt>
                <c:pt idx="568">
                  <c:v>1936.067016650285</c:v>
                </c:pt>
                <c:pt idx="569">
                  <c:v>1935.5959032265432</c:v>
                </c:pt>
                <c:pt idx="570">
                  <c:v>1935.1213387430205</c:v>
                </c:pt>
                <c:pt idx="571">
                  <c:v>1934.6433227963466</c:v>
                </c:pt>
                <c:pt idx="572">
                  <c:v>1934.1618549799475</c:v>
                </c:pt>
                <c:pt idx="573">
                  <c:v>1933.6769348840687</c:v>
                </c:pt>
                <c:pt idx="574">
                  <c:v>1933.1885620956903</c:v>
                </c:pt>
                <c:pt idx="575">
                  <c:v>1932.6967361986524</c:v>
                </c:pt>
                <c:pt idx="576">
                  <c:v>1932.2014567734846</c:v>
                </c:pt>
                <c:pt idx="577">
                  <c:v>1931.7027233975637</c:v>
                </c:pt>
                <c:pt idx="578">
                  <c:v>1931.2005356450006</c:v>
                </c:pt>
                <c:pt idx="579">
                  <c:v>1930.6948930866963</c:v>
                </c:pt>
                <c:pt idx="580">
                  <c:v>1930.1857952902881</c:v>
                </c:pt>
                <c:pt idx="581">
                  <c:v>1929.6732418201916</c:v>
                </c:pt>
                <c:pt idx="582">
                  <c:v>1929.1572322375816</c:v>
                </c:pt>
                <c:pt idx="583">
                  <c:v>1928.6377661003758</c:v>
                </c:pt>
                <c:pt idx="584">
                  <c:v>1928.1148429632185</c:v>
                </c:pt>
                <c:pt idx="585">
                  <c:v>1927.5884623775034</c:v>
                </c:pt>
                <c:pt idx="586">
                  <c:v>1927.0586238913977</c:v>
                </c:pt>
                <c:pt idx="587">
                  <c:v>1926.5253270497499</c:v>
                </c:pt>
                <c:pt idx="588">
                  <c:v>1925.9885713941908</c:v>
                </c:pt>
                <c:pt idx="589">
                  <c:v>1925.44835646302</c:v>
                </c:pt>
                <c:pt idx="590">
                  <c:v>1924.9046817912845</c:v>
                </c:pt>
                <c:pt idx="591">
                  <c:v>1924.3575469107525</c:v>
                </c:pt>
                <c:pt idx="592">
                  <c:v>1923.8069513498531</c:v>
                </c:pt>
                <c:pt idx="593">
                  <c:v>1923.2528946338145</c:v>
                </c:pt>
                <c:pt idx="594">
                  <c:v>1922.6953762844739</c:v>
                </c:pt>
                <c:pt idx="595">
                  <c:v>1922.1343958204407</c:v>
                </c:pt>
                <c:pt idx="596">
                  <c:v>1921.5699527569475</c:v>
                </c:pt>
                <c:pt idx="597">
                  <c:v>1921.0020466059427</c:v>
                </c:pt>
                <c:pt idx="598">
                  <c:v>1920.4306768760562</c:v>
                </c:pt>
                <c:pt idx="599">
                  <c:v>1919.8558430726225</c:v>
                </c:pt>
                <c:pt idx="600">
                  <c:v>1919.2775446975825</c:v>
                </c:pt>
                <c:pt idx="601">
                  <c:v>1918.6957812496003</c:v>
                </c:pt>
                <c:pt idx="602">
                  <c:v>1918.110552223988</c:v>
                </c:pt>
                <c:pt idx="603">
                  <c:v>1917.5218571126827</c:v>
                </c:pt>
                <c:pt idx="604">
                  <c:v>1916.9296954043439</c:v>
                </c:pt>
                <c:pt idx="605">
                  <c:v>1916.3340665841906</c:v>
                </c:pt>
                <c:pt idx="606">
                  <c:v>1915.7349701341673</c:v>
                </c:pt>
                <c:pt idx="607">
                  <c:v>1915.1324055327655</c:v>
                </c:pt>
                <c:pt idx="608">
                  <c:v>1914.5263722552197</c:v>
                </c:pt>
                <c:pt idx="609">
                  <c:v>1913.9168697732787</c:v>
                </c:pt>
                <c:pt idx="610">
                  <c:v>1913.3038975553759</c:v>
                </c:pt>
                <c:pt idx="611">
                  <c:v>1912.6874550665368</c:v>
                </c:pt>
                <c:pt idx="612">
                  <c:v>1912.0675417684133</c:v>
                </c:pt>
                <c:pt idx="613">
                  <c:v>1911.4441571192597</c:v>
                </c:pt>
                <c:pt idx="614">
                  <c:v>1910.8173005739129</c:v>
                </c:pt>
                <c:pt idx="615">
                  <c:v>1910.1869715838409</c:v>
                </c:pt>
                <c:pt idx="616">
                  <c:v>1909.5531695970321</c:v>
                </c:pt>
                <c:pt idx="617">
                  <c:v>1908.9158940580962</c:v>
                </c:pt>
                <c:pt idx="618">
                  <c:v>1908.2751444082448</c:v>
                </c:pt>
                <c:pt idx="619">
                  <c:v>1907.6309200852347</c:v>
                </c:pt>
                <c:pt idx="620">
                  <c:v>1906.9832205233884</c:v>
                </c:pt>
                <c:pt idx="621">
                  <c:v>1906.3320451535831</c:v>
                </c:pt>
                <c:pt idx="622">
                  <c:v>1905.6773934032713</c:v>
                </c:pt>
                <c:pt idx="623">
                  <c:v>1905.0192646964144</c:v>
                </c:pt>
                <c:pt idx="624">
                  <c:v>1904.3576584535606</c:v>
                </c:pt>
                <c:pt idx="625">
                  <c:v>1903.6925740917986</c:v>
                </c:pt>
                <c:pt idx="626">
                  <c:v>1903.0240110246634</c:v>
                </c:pt>
                <c:pt idx="627">
                  <c:v>1902.3519686623163</c:v>
                </c:pt>
                <c:pt idx="628">
                  <c:v>1901.6764464113901</c:v>
                </c:pt>
                <c:pt idx="629">
                  <c:v>1900.9974436750338</c:v>
                </c:pt>
                <c:pt idx="630">
                  <c:v>1900.314959852913</c:v>
                </c:pt>
                <c:pt idx="631">
                  <c:v>1899.6289943411393</c:v>
                </c:pt>
                <c:pt idx="632">
                  <c:v>1898.9395465324069</c:v>
                </c:pt>
                <c:pt idx="633">
                  <c:v>1898.2466158158506</c:v>
                </c:pt>
                <c:pt idx="634">
                  <c:v>1897.5502015770858</c:v>
                </c:pt>
                <c:pt idx="635">
                  <c:v>1896.8503031982013</c:v>
                </c:pt>
                <c:pt idx="636">
                  <c:v>1896.1469200577551</c:v>
                </c:pt>
                <c:pt idx="637">
                  <c:v>1895.4400515307684</c:v>
                </c:pt>
                <c:pt idx="638">
                  <c:v>1894.7296969887323</c:v>
                </c:pt>
                <c:pt idx="639">
                  <c:v>1894.0158557995635</c:v>
                </c:pt>
                <c:pt idx="640">
                  <c:v>1893.2985273276624</c:v>
                </c:pt>
                <c:pt idx="641">
                  <c:v>1892.5777109338094</c:v>
                </c:pt>
                <c:pt idx="642">
                  <c:v>1891.8534059752442</c:v>
                </c:pt>
                <c:pt idx="643">
                  <c:v>1891.1256118056322</c:v>
                </c:pt>
                <c:pt idx="644">
                  <c:v>1890.3943277750493</c:v>
                </c:pt>
                <c:pt idx="645">
                  <c:v>1889.6595532299996</c:v>
                </c:pt>
                <c:pt idx="646">
                  <c:v>1888.9212875133214</c:v>
                </c:pt>
                <c:pt idx="647">
                  <c:v>1888.17952996433</c:v>
                </c:pt>
                <c:pt idx="648">
                  <c:v>1887.4342799186957</c:v>
                </c:pt>
                <c:pt idx="649">
                  <c:v>1886.6855367084565</c:v>
                </c:pt>
                <c:pt idx="650">
                  <c:v>1885.9332996620299</c:v>
                </c:pt>
                <c:pt idx="651">
                  <c:v>1885.1775681042423</c:v>
                </c:pt>
                <c:pt idx="652">
                  <c:v>1884.4183413562364</c:v>
                </c:pt>
                <c:pt idx="653">
                  <c:v>1883.6556187355282</c:v>
                </c:pt>
                <c:pt idx="654">
                  <c:v>1882.8893995559588</c:v>
                </c:pt>
                <c:pt idx="655">
                  <c:v>1882.1196831277193</c:v>
                </c:pt>
                <c:pt idx="656">
                  <c:v>1881.3464687573098</c:v>
                </c:pt>
                <c:pt idx="657">
                  <c:v>1880.5697557476253</c:v>
                </c:pt>
                <c:pt idx="658">
                  <c:v>1879.7895433978008</c:v>
                </c:pt>
                <c:pt idx="659">
                  <c:v>1879.0058310032948</c:v>
                </c:pt>
                <c:pt idx="660">
                  <c:v>1878.2186178559098</c:v>
                </c:pt>
                <c:pt idx="661">
                  <c:v>1877.4279032437009</c:v>
                </c:pt>
                <c:pt idx="662">
                  <c:v>1876.6336864510392</c:v>
                </c:pt>
                <c:pt idx="663">
                  <c:v>1875.8359667585339</c:v>
                </c:pt>
                <c:pt idx="664">
                  <c:v>1875.0347434430962</c:v>
                </c:pt>
                <c:pt idx="665">
                  <c:v>1874.2300157779216</c:v>
                </c:pt>
                <c:pt idx="666">
                  <c:v>1873.4217830324201</c:v>
                </c:pt>
                <c:pt idx="667">
                  <c:v>1872.6100444722299</c:v>
                </c:pt>
                <c:pt idx="668">
                  <c:v>1871.7947993593141</c:v>
                </c:pt>
                <c:pt idx="669">
                  <c:v>1870.9760469517782</c:v>
                </c:pt>
                <c:pt idx="670">
                  <c:v>1870.1537865039902</c:v>
                </c:pt>
                <c:pt idx="671">
                  <c:v>1869.3280172665663</c:v>
                </c:pt>
                <c:pt idx="672">
                  <c:v>1868.4987384862745</c:v>
                </c:pt>
                <c:pt idx="673">
                  <c:v>1867.6659494060855</c:v>
                </c:pt>
                <c:pt idx="674">
                  <c:v>1866.8296492652114</c:v>
                </c:pt>
                <c:pt idx="675">
                  <c:v>1865.9898372989981</c:v>
                </c:pt>
                <c:pt idx="676">
                  <c:v>1865.1465127389931</c:v>
                </c:pt>
                <c:pt idx="677">
                  <c:v>1864.2996748128689</c:v>
                </c:pt>
                <c:pt idx="678">
                  <c:v>1863.4493227445605</c:v>
                </c:pt>
                <c:pt idx="679">
                  <c:v>1862.5954557540192</c:v>
                </c:pt>
                <c:pt idx="680">
                  <c:v>1861.7380730574191</c:v>
                </c:pt>
                <c:pt idx="681">
                  <c:v>1860.8771738670587</c:v>
                </c:pt>
                <c:pt idx="682">
                  <c:v>1860.0127573913219</c:v>
                </c:pt>
                <c:pt idx="683">
                  <c:v>1859.1448228347238</c:v>
                </c:pt>
                <c:pt idx="684">
                  <c:v>1858.2733693979433</c:v>
                </c:pt>
                <c:pt idx="685">
                  <c:v>1857.3983962776397</c:v>
                </c:pt>
                <c:pt idx="686">
                  <c:v>1856.5199026666821</c:v>
                </c:pt>
                <c:pt idx="687">
                  <c:v>1855.6378877539448</c:v>
                </c:pt>
                <c:pt idx="688">
                  <c:v>1854.7523507244121</c:v>
                </c:pt>
                <c:pt idx="689">
                  <c:v>1853.8632907590822</c:v>
                </c:pt>
                <c:pt idx="690">
                  <c:v>1852.9707070350635</c:v>
                </c:pt>
                <c:pt idx="691">
                  <c:v>1852.0745987254656</c:v>
                </c:pt>
                <c:pt idx="692">
                  <c:v>1851.1749649994372</c:v>
                </c:pt>
                <c:pt idx="693">
                  <c:v>1850.2718050221645</c:v>
                </c:pt>
                <c:pt idx="694">
                  <c:v>1849.3651179548658</c:v>
                </c:pt>
                <c:pt idx="695">
                  <c:v>1848.4549029547109</c:v>
                </c:pt>
                <c:pt idx="696">
                  <c:v>1847.5411591749087</c:v>
                </c:pt>
                <c:pt idx="697">
                  <c:v>1846.6238857646451</c:v>
                </c:pt>
                <c:pt idx="698">
                  <c:v>1845.7030818691082</c:v>
                </c:pt>
                <c:pt idx="699">
                  <c:v>1844.7787466293805</c:v>
                </c:pt>
                <c:pt idx="700">
                  <c:v>1843.8508791826057</c:v>
                </c:pt>
                <c:pt idx="701">
                  <c:v>1842.9194786617747</c:v>
                </c:pt>
                <c:pt idx="702">
                  <c:v>1841.984544195886</c:v>
                </c:pt>
                <c:pt idx="703">
                  <c:v>1841.0460749098406</c:v>
                </c:pt>
                <c:pt idx="704">
                  <c:v>1840.1040699244686</c:v>
                </c:pt>
                <c:pt idx="705">
                  <c:v>1839.1585283564916</c:v>
                </c:pt>
                <c:pt idx="706">
                  <c:v>1838.2094493185468</c:v>
                </c:pt>
                <c:pt idx="707">
                  <c:v>1837.2568319191591</c:v>
                </c:pt>
                <c:pt idx="708">
                  <c:v>1836.3006752627109</c:v>
                </c:pt>
                <c:pt idx="709">
                  <c:v>1835.3409784494806</c:v>
                </c:pt>
                <c:pt idx="710">
                  <c:v>1834.3777405755893</c:v>
                </c:pt>
                <c:pt idx="711">
                  <c:v>1833.4109607329863</c:v>
                </c:pt>
                <c:pt idx="712">
                  <c:v>1832.4406380095036</c:v>
                </c:pt>
                <c:pt idx="713">
                  <c:v>1831.4667714887723</c:v>
                </c:pt>
                <c:pt idx="714">
                  <c:v>1830.4893602502193</c:v>
                </c:pt>
                <c:pt idx="715">
                  <c:v>1829.5084033691321</c:v>
                </c:pt>
                <c:pt idx="716">
                  <c:v>1828.5238999165438</c:v>
                </c:pt>
                <c:pt idx="717">
                  <c:v>1827.5358489592882</c:v>
                </c:pt>
                <c:pt idx="718">
                  <c:v>1826.5442495599698</c:v>
                </c:pt>
                <c:pt idx="719">
                  <c:v>1825.5491007769492</c:v>
                </c:pt>
                <c:pt idx="720">
                  <c:v>1824.5504016643449</c:v>
                </c:pt>
                <c:pt idx="721">
                  <c:v>1823.5481512720212</c:v>
                </c:pt>
                <c:pt idx="722">
                  <c:v>1822.5423486455447</c:v>
                </c:pt>
                <c:pt idx="723">
                  <c:v>1821.5329928262436</c:v>
                </c:pt>
                <c:pt idx="724">
                  <c:v>1820.520082851142</c:v>
                </c:pt>
                <c:pt idx="725">
                  <c:v>1819.5036177528998</c:v>
                </c:pt>
                <c:pt idx="726">
                  <c:v>1818.4835965599323</c:v>
                </c:pt>
                <c:pt idx="727">
                  <c:v>1817.4600182962934</c:v>
                </c:pt>
                <c:pt idx="728">
                  <c:v>1816.4328819817047</c:v>
                </c:pt>
                <c:pt idx="729">
                  <c:v>1815.4021866315352</c:v>
                </c:pt>
                <c:pt idx="730">
                  <c:v>1814.3679312567776</c:v>
                </c:pt>
                <c:pt idx="731">
                  <c:v>1813.330114864101</c:v>
                </c:pt>
                <c:pt idx="732">
                  <c:v>1812.2887364557046</c:v>
                </c:pt>
                <c:pt idx="733">
                  <c:v>1811.2437950294748</c:v>
                </c:pt>
                <c:pt idx="734">
                  <c:v>1810.1952895788313</c:v>
                </c:pt>
                <c:pt idx="735">
                  <c:v>1809.1432190927824</c:v>
                </c:pt>
                <c:pt idx="736">
                  <c:v>1808.0875825559044</c:v>
                </c:pt>
                <c:pt idx="737">
                  <c:v>1804.9962734171934</c:v>
                </c:pt>
                <c:pt idx="738">
                  <c:v>1801.8866545315443</c:v>
                </c:pt>
                <c:pt idx="739">
                  <c:v>1798.7590544112204</c:v>
                </c:pt>
                <c:pt idx="740">
                  <c:v>1795.6137924697514</c:v>
                </c:pt>
                <c:pt idx="741">
                  <c:v>1792.4511793192244</c:v>
                </c:pt>
                <c:pt idx="742">
                  <c:v>1789.2715170578147</c:v>
                </c:pt>
                <c:pt idx="743">
                  <c:v>1786.075099547561</c:v>
                </c:pt>
                <c:pt idx="744">
                  <c:v>1782.8622126831235</c:v>
                </c:pt>
                <c:pt idx="745">
                  <c:v>1779.6331346516117</c:v>
                </c:pt>
                <c:pt idx="746">
                  <c:v>1776.3881361836316</c:v>
                </c:pt>
                <c:pt idx="747">
                  <c:v>1773.1274807963998</c:v>
                </c:pt>
                <c:pt idx="748">
                  <c:v>1769.8514250285023</c:v>
                </c:pt>
                <c:pt idx="749">
                  <c:v>1766.5602186671579</c:v>
                </c:pt>
                <c:pt idx="750">
                  <c:v>1763.2541049679191</c:v>
                </c:pt>
                <c:pt idx="751">
                  <c:v>1759.9333208672281</c:v>
                </c:pt>
                <c:pt idx="752">
                  <c:v>1756.5980971879601</c:v>
                </c:pt>
                <c:pt idx="753">
                  <c:v>1753.2486588382662</c:v>
                </c:pt>
                <c:pt idx="754">
                  <c:v>1749.8852250039627</c:v>
                </c:pt>
                <c:pt idx="755">
                  <c:v>1746.5080093346539</c:v>
                </c:pt>
                <c:pt idx="756">
                  <c:v>1743.1172201236407</c:v>
                </c:pt>
                <c:pt idx="757">
                  <c:v>1739.7130604822539</c:v>
                </c:pt>
                <c:pt idx="758">
                  <c:v>1736.2957285082782</c:v>
                </c:pt>
                <c:pt idx="759">
                  <c:v>1732.8654174490991</c:v>
                </c:pt>
                <c:pt idx="760">
                  <c:v>1729.4223158594521</c:v>
                </c:pt>
                <c:pt idx="761">
                  <c:v>1725.9666077540551</c:v>
                </c:pt>
                <c:pt idx="762">
                  <c:v>1722.4984727555245</c:v>
                </c:pt>
                <c:pt idx="763">
                  <c:v>1719.0180862371737</c:v>
                </c:pt>
                <c:pt idx="764">
                  <c:v>1715.5256194615574</c:v>
                </c:pt>
                <c:pt idx="765">
                  <c:v>1712.0212397142773</c:v>
                </c:pt>
                <c:pt idx="766">
                  <c:v>1708.5051104337022</c:v>
                </c:pt>
                <c:pt idx="767">
                  <c:v>1704.9773913364043</c:v>
                </c:pt>
                <c:pt idx="768">
                  <c:v>1701.4382385385575</c:v>
                </c:pt>
                <c:pt idx="769">
                  <c:v>1697.8878046736206</c:v>
                </c:pt>
                <c:pt idx="770">
                  <c:v>1694.3262390059181</c:v>
                </c:pt>
                <c:pt idx="771">
                  <c:v>1690.753687541029</c:v>
                </c:pt>
                <c:pt idx="772">
                  <c:v>1687.1702931322161</c:v>
                </c:pt>
                <c:pt idx="773">
                  <c:v>1683.5761955838311</c:v>
                </c:pt>
                <c:pt idx="774">
                  <c:v>1679.9715317510841</c:v>
                </c:pt>
                <c:pt idx="775">
                  <c:v>1676.3564356369827</c:v>
                </c:pt>
                <c:pt idx="776">
                  <c:v>1672.731038485894</c:v>
                </c:pt>
                <c:pt idx="777">
                  <c:v>1669.0954688742552</c:v>
                </c:pt>
                <c:pt idx="778">
                  <c:v>1665.4498527984681</c:v>
                </c:pt>
                <c:pt idx="779">
                  <c:v>1661.7943137598706</c:v>
                </c:pt>
                <c:pt idx="780">
                  <c:v>1658.1289728471399</c:v>
                </c:pt>
                <c:pt idx="781">
                  <c:v>1654.453948815943</c:v>
                </c:pt>
                <c:pt idx="782">
                  <c:v>1650.7693581662124</c:v>
                </c:pt>
                <c:pt idx="783">
                  <c:v>1647.0753152168988</c:v>
                </c:pt>
                <c:pt idx="784">
                  <c:v>1643.3719321783485</c:v>
                </c:pt>
                <c:pt idx="785">
                  <c:v>1639.6593192224914</c:v>
                </c:pt>
                <c:pt idx="786">
                  <c:v>1635.9375845506304</c:v>
                </c:pt>
                <c:pt idx="787">
                  <c:v>1632.2068344593447</c:v>
                </c:pt>
                <c:pt idx="788">
                  <c:v>1628.4671734040649</c:v>
                </c:pt>
                <c:pt idx="789">
                  <c:v>1624.7187040608476</c:v>
                </c:pt>
                <c:pt idx="790">
                  <c:v>1620.961527386032</c:v>
                </c:pt>
                <c:pt idx="791">
                  <c:v>1617.1957426741621</c:v>
                </c:pt>
                <c:pt idx="792">
                  <c:v>1613.4214476140701</c:v>
                </c:pt>
                <c:pt idx="793">
                  <c:v>1609.6387383430488</c:v>
                </c:pt>
                <c:pt idx="794">
                  <c:v>1605.8477094995719</c:v>
                </c:pt>
                <c:pt idx="795">
                  <c:v>1602.0484542740621</c:v>
                </c:pt>
                <c:pt idx="796">
                  <c:v>1598.2410644583883</c:v>
                </c:pt>
                <c:pt idx="797">
                  <c:v>1594.4256304935479</c:v>
                </c:pt>
                <c:pt idx="798">
                  <c:v>1590.6022415159896</c:v>
                </c:pt>
                <c:pt idx="799">
                  <c:v>1586.7709854024522</c:v>
                </c:pt>
                <c:pt idx="800">
                  <c:v>1582.9319488133865</c:v>
                </c:pt>
                <c:pt idx="801">
                  <c:v>1579.085217235028</c:v>
                </c:pt>
                <c:pt idx="802">
                  <c:v>1575.2308750202044</c:v>
                </c:pt>
                <c:pt idx="803">
                  <c:v>1571.3690054277322</c:v>
                </c:pt>
                <c:pt idx="804">
                  <c:v>1567.499690660738</c:v>
                </c:pt>
                <c:pt idx="805">
                  <c:v>1563.6230119037007</c:v>
                </c:pt>
                <c:pt idx="806">
                  <c:v>1559.7390493583191</c:v>
                </c:pt>
                <c:pt idx="807">
                  <c:v>1555.8478822782879</c:v>
                </c:pt>
                <c:pt idx="808">
                  <c:v>1551.949589003046</c:v>
                </c:pt>
                <c:pt idx="809">
                  <c:v>1548.0442469902923</c:v>
                </c:pt>
                <c:pt idx="810">
                  <c:v>1544.1319328477298</c:v>
                </c:pt>
                <c:pt idx="811">
                  <c:v>1540.2127223636146</c:v>
                </c:pt>
                <c:pt idx="812">
                  <c:v>1536.286690536426</c:v>
                </c:pt>
                <c:pt idx="813">
                  <c:v>1532.3539116037173</c:v>
                </c:pt>
                <c:pt idx="814">
                  <c:v>1528.4144590697729</c:v>
                </c:pt>
                <c:pt idx="815">
                  <c:v>1524.4684057327891</c:v>
                </c:pt>
                <c:pt idx="816">
                  <c:v>1520.515823710859</c:v>
                </c:pt>
                <c:pt idx="817">
                  <c:v>1516.5567844673585</c:v>
                </c:pt>
                <c:pt idx="818">
                  <c:v>1512.591358835489</c:v>
                </c:pt>
                <c:pt idx="819">
                  <c:v>1508.6196170419971</c:v>
                </c:pt>
                <c:pt idx="820">
                  <c:v>1504.6416287302186</c:v>
                </c:pt>
                <c:pt idx="821">
                  <c:v>1500.6705521267575</c:v>
                </c:pt>
                <c:pt idx="822">
                  <c:v>1496.7444905095876</c:v>
                </c:pt>
                <c:pt idx="823">
                  <c:v>1492.8131606071313</c:v>
                </c:pt>
                <c:pt idx="824">
                  <c:v>1488.876633799613</c:v>
                </c:pt>
                <c:pt idx="825">
                  <c:v>1484.9349809823207</c:v>
                </c:pt>
                <c:pt idx="826">
                  <c:v>1480.9882725845812</c:v>
                </c:pt>
                <c:pt idx="827">
                  <c:v>1477.0365785880169</c:v>
                </c:pt>
                <c:pt idx="828">
                  <c:v>1473.0799685442842</c:v>
                </c:pt>
                <c:pt idx="829">
                  <c:v>1469.1185115922146</c:v>
                </c:pt>
                <c:pt idx="830">
                  <c:v>1465.1522764744852</c:v>
                </c:pt>
                <c:pt idx="831">
                  <c:v>1461.1813315536399</c:v>
                </c:pt>
                <c:pt idx="832">
                  <c:v>1457.2057448276769</c:v>
                </c:pt>
                <c:pt idx="833">
                  <c:v>1453.2255839450643</c:v>
                </c:pt>
                <c:pt idx="834">
                  <c:v>1449.2409162194438</c:v>
                </c:pt>
                <c:pt idx="835">
                  <c:v>1345.2397618174195</c:v>
                </c:pt>
                <c:pt idx="836">
                  <c:v>1248.5087173667189</c:v>
                </c:pt>
                <c:pt idx="837">
                  <c:v>1158.5472435588526</c:v>
                </c:pt>
                <c:pt idx="838">
                  <c:v>1074.8888925882491</c:v>
                </c:pt>
                <c:pt idx="839">
                  <c:v>997.09900389987286</c:v>
                </c:pt>
                <c:pt idx="840">
                  <c:v>924.77255473673176</c:v>
                </c:pt>
                <c:pt idx="841">
                  <c:v>857.53215513347743</c:v>
                </c:pt>
                <c:pt idx="842">
                  <c:v>795.02617769193012</c:v>
                </c:pt>
                <c:pt idx="843">
                  <c:v>736.92701311815904</c:v>
                </c:pt>
                <c:pt idx="844">
                  <c:v>682.9294431017164</c:v>
                </c:pt>
                <c:pt idx="845">
                  <c:v>632.7491226786309</c:v>
                </c:pt>
                <c:pt idx="846">
                  <c:v>586.12116474342201</c:v>
                </c:pt>
                <c:pt idx="847">
                  <c:v>542.7988198641898</c:v>
                </c:pt>
                <c:pt idx="848">
                  <c:v>502.55224501103601</c:v>
                </c:pt>
                <c:pt idx="849">
                  <c:v>465.16735523387098</c:v>
                </c:pt>
                <c:pt idx="850">
                  <c:v>430.4447527229932</c:v>
                </c:pt>
                <c:pt idx="851">
                  <c:v>398.19872805663198</c:v>
                </c:pt>
                <c:pt idx="852">
                  <c:v>368.25632878557525</c:v>
                </c:pt>
                <c:pt idx="853">
                  <c:v>340.45649082774315</c:v>
                </c:pt>
                <c:pt idx="854">
                  <c:v>314.64922844655939</c:v>
                </c:pt>
                <c:pt idx="855">
                  <c:v>290.69487886763</c:v>
                </c:pt>
                <c:pt idx="856">
                  <c:v>268.46339784983832</c:v>
                </c:pt>
                <c:pt idx="857">
                  <c:v>247.83370277065211</c:v>
                </c:pt>
                <c:pt idx="858">
                  <c:v>228.69306001233886</c:v>
                </c:pt>
                <c:pt idx="859">
                  <c:v>210.93651364679724</c:v>
                </c:pt>
                <c:pt idx="860">
                  <c:v>194.46635261274349</c:v>
                </c:pt>
                <c:pt idx="861">
                  <c:v>179.19161376075539</c:v>
                </c:pt>
                <c:pt idx="862">
                  <c:v>165.0276183097792</c:v>
                </c:pt>
                <c:pt idx="863">
                  <c:v>151.89553941360532</c:v>
                </c:pt>
                <c:pt idx="864">
                  <c:v>139.72199867778389</c:v>
                </c:pt>
                <c:pt idx="865">
                  <c:v>128.43868959650541</c:v>
                </c:pt>
                <c:pt idx="866">
                  <c:v>117.98202599485325</c:v>
                </c:pt>
                <c:pt idx="867">
                  <c:v>108.29281366384613</c:v>
                </c:pt>
                <c:pt idx="868">
                  <c:v>99.315943462567006</c:v>
                </c:pt>
                <c:pt idx="869">
                  <c:v>91.000104231326517</c:v>
                </c:pt>
                <c:pt idx="870">
                  <c:v>83.297513908940331</c:v>
                </c:pt>
                <c:pt idx="871">
                  <c:v>76.163667270698056</c:v>
                </c:pt>
                <c:pt idx="872">
                  <c:v>69.557098693631175</c:v>
                </c:pt>
                <c:pt idx="873">
                  <c:v>63.439158300099351</c:v>
                </c:pt>
                <c:pt idx="874">
                  <c:v>57.773799710585692</c:v>
                </c:pt>
                <c:pt idx="875">
                  <c:v>52.527377421894371</c:v>
                </c:pt>
                <c:pt idx="876">
                  <c:v>47.668451469215256</c:v>
                </c:pt>
                <c:pt idx="877">
                  <c:v>43.167596449675479</c:v>
                </c:pt>
                <c:pt idx="878">
                  <c:v>38.997211045294456</c:v>
                </c:pt>
                <c:pt idx="879">
                  <c:v>35.131322647523518</c:v>
                </c:pt>
                <c:pt idx="880">
                  <c:v>31.545379125092385</c:v>
                </c:pt>
                <c:pt idx="881">
                  <c:v>28.216015385784619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4-472B-AC09-7386D2803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90495"/>
        <c:axId val="1"/>
      </c:scatterChart>
      <c:valAx>
        <c:axId val="1880590495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(sec.)</a:t>
                </a:r>
              </a:p>
            </c:rich>
          </c:tx>
          <c:layout>
            <c:manualLayout>
              <c:xMode val="edge"/>
              <c:yMode val="edge"/>
              <c:x val="0.45605758107250816"/>
              <c:y val="0.8909534075061962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33339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Thrust  (N.)</a:t>
                </a:r>
              </a:p>
            </c:rich>
          </c:tx>
          <c:layout>
            <c:manualLayout>
              <c:xMode val="edge"/>
              <c:yMode val="edge"/>
              <c:x val="4.2755407943675293E-2"/>
              <c:y val="0.417634324131757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88059049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 orientation="landscape" horizontalDpi="0" verticalDpi="0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993300"/>
                </a:solidFill>
                <a:latin typeface="Arial"/>
                <a:ea typeface="Arial"/>
                <a:cs typeface="Arial"/>
              </a:defRPr>
            </a:pPr>
            <a:r>
              <a:rPr lang="pt-PT"/>
              <a:t>Thrust vs time</a:t>
            </a:r>
          </a:p>
        </c:rich>
      </c:tx>
      <c:layout>
        <c:manualLayout>
          <c:xMode val="edge"/>
          <c:yMode val="edge"/>
          <c:x val="0.36499106564297917"/>
          <c:y val="0.1476253689997757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39481508570781"/>
          <c:y val="0.26411316322884171"/>
          <c:w val="0.71991920035091528"/>
          <c:h val="0.544355374593795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Performance!$L$28:$L$910</c:f>
              <c:numCache>
                <c:formatCode>0.0000</c:formatCode>
                <c:ptCount val="883"/>
                <c:pt idx="0">
                  <c:v>0</c:v>
                </c:pt>
                <c:pt idx="1">
                  <c:v>1.3690952744175942E-2</c:v>
                </c:pt>
                <c:pt idx="2">
                  <c:v>1.7603502742996727E-2</c:v>
                </c:pt>
                <c:pt idx="3">
                  <c:v>2.1482688517604476E-2</c:v>
                </c:pt>
                <c:pt idx="4">
                  <c:v>2.5101691753813781E-2</c:v>
                </c:pt>
                <c:pt idx="5">
                  <c:v>2.8540497141026907E-2</c:v>
                </c:pt>
                <c:pt idx="6">
                  <c:v>3.1847400549835231E-2</c:v>
                </c:pt>
                <c:pt idx="7">
                  <c:v>3.505398044593093E-2</c:v>
                </c:pt>
                <c:pt idx="8">
                  <c:v>3.8182062527316811E-2</c:v>
                </c:pt>
                <c:pt idx="9">
                  <c:v>4.1247358195279173E-2</c:v>
                </c:pt>
                <c:pt idx="10">
                  <c:v>4.4261532609196852E-2</c:v>
                </c:pt>
                <c:pt idx="11">
                  <c:v>4.7233458299545526E-2</c:v>
                </c:pt>
                <c:pt idx="12">
                  <c:v>5.0170014749963202E-2</c:v>
                </c:pt>
                <c:pt idx="13">
                  <c:v>5.3076619871607132E-2</c:v>
                </c:pt>
                <c:pt idx="14">
                  <c:v>5.5957595527643941E-2</c:v>
                </c:pt>
                <c:pt idx="15">
                  <c:v>5.8816426223393073E-2</c:v>
                </c:pt>
                <c:pt idx="16">
                  <c:v>6.1655946687005456E-2</c:v>
                </c:pt>
                <c:pt idx="17">
                  <c:v>6.447848074263067E-2</c:v>
                </c:pt>
                <c:pt idx="18">
                  <c:v>6.7285945979161821E-2</c:v>
                </c:pt>
                <c:pt idx="19">
                  <c:v>7.0079933869475156E-2</c:v>
                </c:pt>
                <c:pt idx="20">
                  <c:v>7.2861771927823435E-2</c:v>
                </c:pt>
                <c:pt idx="21">
                  <c:v>7.5632572499824011E-2</c:v>
                </c:pt>
                <c:pt idx="22">
                  <c:v>7.8393271452929084E-2</c:v>
                </c:pt>
                <c:pt idx="23">
                  <c:v>8.1144659133212921E-2</c:v>
                </c:pt>
                <c:pt idx="24">
                  <c:v>8.388740532889101E-2</c:v>
                </c:pt>
                <c:pt idx="25">
                  <c:v>8.6622079539594929E-2</c:v>
                </c:pt>
                <c:pt idx="26">
                  <c:v>8.9349167533829196E-2</c:v>
                </c:pt>
                <c:pt idx="27">
                  <c:v>9.2069084946529559E-2</c:v>
                </c:pt>
                <c:pt idx="28">
                  <c:v>9.4782188498493264E-2</c:v>
                </c:pt>
                <c:pt idx="29">
                  <c:v>9.7488785292256686E-2</c:v>
                </c:pt>
                <c:pt idx="30">
                  <c:v>0.10018914054278401</c:v>
                </c:pt>
                <c:pt idx="31">
                  <c:v>0.10288348402777035</c:v>
                </c:pt>
                <c:pt idx="32">
                  <c:v>0.10557201548555165</c:v>
                </c:pt>
                <c:pt idx="33">
                  <c:v>0.10825490914433769</c:v>
                </c:pt>
                <c:pt idx="34">
                  <c:v>0.11093231753168455</c:v>
                </c:pt>
                <c:pt idx="35">
                  <c:v>0.11360437468556009</c:v>
                </c:pt>
                <c:pt idx="36">
                  <c:v>0.11627119886636905</c:v>
                </c:pt>
                <c:pt idx="37">
                  <c:v>0.11893289485165438</c:v>
                </c:pt>
                <c:pt idx="38">
                  <c:v>0.12158955588093497</c:v>
                </c:pt>
                <c:pt idx="39">
                  <c:v>0.12424126530657287</c:v>
                </c:pt>
                <c:pt idx="40">
                  <c:v>0.12688809799711875</c:v>
                </c:pt>
                <c:pt idx="41">
                  <c:v>0.12953012153185386</c:v>
                </c:pt>
                <c:pt idx="42">
                  <c:v>0.13216739721887991</c:v>
                </c:pt>
                <c:pt idx="43">
                  <c:v>0.13479998096386012</c:v>
                </c:pt>
                <c:pt idx="44">
                  <c:v>0.13742792401215989</c:v>
                </c:pt>
                <c:pt idx="45">
                  <c:v>0.14005127358352346</c:v>
                </c:pt>
                <c:pt idx="46">
                  <c:v>0.14267007341541077</c:v>
                </c:pt>
                <c:pt idx="47">
                  <c:v>0.14528436422860522</c:v>
                </c:pt>
                <c:pt idx="48">
                  <c:v>0.14789418412659722</c:v>
                </c:pt>
                <c:pt idx="49">
                  <c:v>0.15049956893848515</c:v>
                </c:pt>
                <c:pt idx="50">
                  <c:v>0.15310055251365182</c:v>
                </c:pt>
                <c:pt idx="51">
                  <c:v>0.15569716697522437</c:v>
                </c:pt>
                <c:pt idx="52">
                  <c:v>0.15828944293827713</c:v>
                </c:pt>
                <c:pt idx="53">
                  <c:v>0.16087740969784278</c:v>
                </c:pt>
                <c:pt idx="54">
                  <c:v>0.16346109539105047</c:v>
                </c:pt>
                <c:pt idx="55">
                  <c:v>0.16604052713707076</c:v>
                </c:pt>
                <c:pt idx="56">
                  <c:v>0.16861573115800763</c:v>
                </c:pt>
                <c:pt idx="57">
                  <c:v>0.17118673288342171</c:v>
                </c:pt>
                <c:pt idx="58">
                  <c:v>0.17375355704077683</c:v>
                </c:pt>
                <c:pt idx="59">
                  <c:v>0.176316227733776</c:v>
                </c:pt>
                <c:pt idx="60">
                  <c:v>0.17887476851026521</c:v>
                </c:pt>
                <c:pt idx="61">
                  <c:v>0.18142920242114741</c:v>
                </c:pt>
                <c:pt idx="62">
                  <c:v>0.18397955207154371</c:v>
                </c:pt>
                <c:pt idx="63">
                  <c:v>0.18652583966526221</c:v>
                </c:pt>
                <c:pt idx="64">
                  <c:v>0.18906808704348699</c:v>
                </c:pt>
                <c:pt idx="65">
                  <c:v>0.19160631571847109</c:v>
                </c:pt>
                <c:pt idx="66">
                  <c:v>0.19414054690290869</c:v>
                </c:pt>
                <c:pt idx="67">
                  <c:v>0.19667080153556757</c:v>
                </c:pt>
                <c:pt idx="68">
                  <c:v>0.19919710030368101</c:v>
                </c:pt>
                <c:pt idx="69">
                  <c:v>0.20171946366253329</c:v>
                </c:pt>
                <c:pt idx="70">
                  <c:v>0.20423791185260956</c:v>
                </c:pt>
                <c:pt idx="71">
                  <c:v>0.2067524649146322</c:v>
                </c:pt>
                <c:pt idx="72">
                  <c:v>0.20926314270276122</c:v>
                </c:pt>
                <c:pt idx="73">
                  <c:v>0.21176996489620026</c:v>
                </c:pt>
                <c:pt idx="74">
                  <c:v>0.2142729510094141</c:v>
                </c:pt>
                <c:pt idx="75">
                  <c:v>0.21677212040113999</c:v>
                </c:pt>
                <c:pt idx="76">
                  <c:v>0.21926749228234643</c:v>
                </c:pt>
                <c:pt idx="77">
                  <c:v>0.22175908572327607</c:v>
                </c:pt>
                <c:pt idx="78">
                  <c:v>0.22424691965968988</c:v>
                </c:pt>
                <c:pt idx="79">
                  <c:v>0.22673101289841333</c:v>
                </c:pt>
                <c:pt idx="80">
                  <c:v>0.22921138412227382</c:v>
                </c:pt>
                <c:pt idx="81">
                  <c:v>0.23168805189450636</c:v>
                </c:pt>
                <c:pt idx="82">
                  <c:v>0.23416103466269333</c:v>
                </c:pt>
                <c:pt idx="83">
                  <c:v>0.23663035076229727</c:v>
                </c:pt>
                <c:pt idx="84">
                  <c:v>0.23909601841983627</c:v>
                </c:pt>
                <c:pt idx="85">
                  <c:v>0.24155805575574746</c:v>
                </c:pt>
                <c:pt idx="86">
                  <c:v>0.24401648078697602</c:v>
                </c:pt>
                <c:pt idx="87">
                  <c:v>0.24647131142932335</c:v>
                </c:pt>
                <c:pt idx="88">
                  <c:v>0.24892256549958292</c:v>
                </c:pt>
                <c:pt idx="89">
                  <c:v>0.25137026071749147</c:v>
                </c:pt>
                <c:pt idx="90">
                  <c:v>0.25381441470751515</c:v>
                </c:pt>
                <c:pt idx="91">
                  <c:v>0.25625504500049234</c:v>
                </c:pt>
                <c:pt idx="92">
                  <c:v>0.25869216903514841</c:v>
                </c:pt>
                <c:pt idx="93">
                  <c:v>0.26112580415949871</c:v>
                </c:pt>
                <c:pt idx="94">
                  <c:v>0.26355596763215211</c:v>
                </c:pt>
                <c:pt idx="95">
                  <c:v>0.2659826766235267</c:v>
                </c:pt>
                <c:pt idx="96">
                  <c:v>0.26840594821698782</c:v>
                </c:pt>
                <c:pt idx="97">
                  <c:v>0.27082579940991708</c:v>
                </c:pt>
                <c:pt idx="98">
                  <c:v>0.27324224711472</c:v>
                </c:pt>
                <c:pt idx="99">
                  <c:v>0.27565530815977929</c:v>
                </c:pt>
                <c:pt idx="100">
                  <c:v>0.27806499929035977</c:v>
                </c:pt>
                <c:pt idx="101">
                  <c:v>0.28047133716946987</c:v>
                </c:pt>
                <c:pt idx="102">
                  <c:v>0.28287433837868459</c:v>
                </c:pt>
                <c:pt idx="103">
                  <c:v>0.28527401941893377</c:v>
                </c:pt>
                <c:pt idx="104">
                  <c:v>0.2876703967112591</c:v>
                </c:pt>
                <c:pt idx="105">
                  <c:v>0.2900634865975445</c:v>
                </c:pt>
                <c:pt idx="106">
                  <c:v>0.29245330534121977</c:v>
                </c:pt>
                <c:pt idx="107">
                  <c:v>0.29483986912794291</c:v>
                </c:pt>
                <c:pt idx="108">
                  <c:v>0.29722319406626124</c:v>
                </c:pt>
                <c:pt idx="109">
                  <c:v>0.29960329618825465</c:v>
                </c:pt>
                <c:pt idx="110">
                  <c:v>0.30198019145016158</c:v>
                </c:pt>
                <c:pt idx="111">
                  <c:v>0.30435389573298993</c:v>
                </c:pt>
                <c:pt idx="112">
                  <c:v>0.3067244248431138</c:v>
                </c:pt>
                <c:pt idx="113">
                  <c:v>0.30909179451285762</c:v>
                </c:pt>
                <c:pt idx="114">
                  <c:v>0.31145602040106835</c:v>
                </c:pt>
                <c:pt idx="115">
                  <c:v>0.31381711809367718</c:v>
                </c:pt>
                <c:pt idx="116">
                  <c:v>0.31617510310425095</c:v>
                </c:pt>
                <c:pt idx="117">
                  <c:v>0.31852999087453426</c:v>
                </c:pt>
                <c:pt idx="118">
                  <c:v>0.32088179677498324</c:v>
                </c:pt>
                <c:pt idx="119">
                  <c:v>0.32323053610529101</c:v>
                </c:pt>
                <c:pt idx="120">
                  <c:v>0.325576224094906</c:v>
                </c:pt>
                <c:pt idx="121">
                  <c:v>0.32791887590354307</c:v>
                </c:pt>
                <c:pt idx="122">
                  <c:v>0.33025850662168765</c:v>
                </c:pt>
                <c:pt idx="123">
                  <c:v>0.33259513127109436</c:v>
                </c:pt>
                <c:pt idx="124">
                  <c:v>0.33492876480527894</c:v>
                </c:pt>
                <c:pt idx="125">
                  <c:v>0.33725942211000526</c:v>
                </c:pt>
                <c:pt idx="126">
                  <c:v>0.33958711800376656</c:v>
                </c:pt>
                <c:pt idx="127">
                  <c:v>0.34191186723826184</c:v>
                </c:pt>
                <c:pt idx="128">
                  <c:v>0.34423368449886693</c:v>
                </c:pt>
                <c:pt idx="129">
                  <c:v>0.3465525844051015</c:v>
                </c:pt>
                <c:pt idx="130">
                  <c:v>0.34886858151109112</c:v>
                </c:pt>
                <c:pt idx="131">
                  <c:v>0.3511816903060252</c:v>
                </c:pt>
                <c:pt idx="132">
                  <c:v>0.35349192521461054</c:v>
                </c:pt>
                <c:pt idx="133">
                  <c:v>0.35579930059752107</c:v>
                </c:pt>
                <c:pt idx="134">
                  <c:v>0.35810383075184349</c:v>
                </c:pt>
                <c:pt idx="135">
                  <c:v>0.36040552991151903</c:v>
                </c:pt>
                <c:pt idx="136">
                  <c:v>0.36270441224778166</c:v>
                </c:pt>
                <c:pt idx="137">
                  <c:v>0.36500049186959271</c:v>
                </c:pt>
                <c:pt idx="138">
                  <c:v>0.36729378282407166</c:v>
                </c:pt>
                <c:pt idx="139">
                  <c:v>0.36958429909692375</c:v>
                </c:pt>
                <c:pt idx="140">
                  <c:v>0.37187205461286399</c:v>
                </c:pt>
                <c:pt idx="141">
                  <c:v>0.37415706323603803</c:v>
                </c:pt>
                <c:pt idx="142">
                  <c:v>0.37643933877043978</c:v>
                </c:pt>
                <c:pt idx="143">
                  <c:v>0.37871889496032579</c:v>
                </c:pt>
                <c:pt idx="144">
                  <c:v>0.38099574549062643</c:v>
                </c:pt>
                <c:pt idx="145">
                  <c:v>0.38326990398735394</c:v>
                </c:pt>
                <c:pt idx="146">
                  <c:v>0.38554138401800758</c:v>
                </c:pt>
                <c:pt idx="147">
                  <c:v>0.387810199091976</c:v>
                </c:pt>
                <c:pt idx="148">
                  <c:v>0.39007636266093615</c:v>
                </c:pt>
                <c:pt idx="149">
                  <c:v>0.39233988811924969</c:v>
                </c:pt>
                <c:pt idx="150">
                  <c:v>0.39460078880435623</c:v>
                </c:pt>
                <c:pt idx="151">
                  <c:v>0.3968590779971643</c:v>
                </c:pt>
                <c:pt idx="152">
                  <c:v>0.39911476892243869</c:v>
                </c:pt>
                <c:pt idx="153">
                  <c:v>0.40136787474918584</c:v>
                </c:pt>
                <c:pt idx="154">
                  <c:v>0.40361840859103615</c:v>
                </c:pt>
                <c:pt idx="155">
                  <c:v>0.40586638350662335</c:v>
                </c:pt>
                <c:pt idx="156">
                  <c:v>0.4080892321846642</c:v>
                </c:pt>
                <c:pt idx="157">
                  <c:v>0.41031336577271849</c:v>
                </c:pt>
                <c:pt idx="158">
                  <c:v>0.41253848282651479</c:v>
                </c:pt>
                <c:pt idx="159">
                  <c:v>0.4147643628986073</c:v>
                </c:pt>
                <c:pt idx="160">
                  <c:v>0.41699084445127033</c:v>
                </c:pt>
                <c:pt idx="161">
                  <c:v>0.4192178088938775</c:v>
                </c:pt>
                <c:pt idx="162">
                  <c:v>0.42144516900686885</c:v>
                </c:pt>
                <c:pt idx="163">
                  <c:v>0.42367286052384107</c:v>
                </c:pt>
                <c:pt idx="164">
                  <c:v>0.42590083599651141</c:v>
                </c:pt>
                <c:pt idx="165">
                  <c:v>0.42812906031514847</c:v>
                </c:pt>
                <c:pt idx="166">
                  <c:v>0.4303575074325825</c:v>
                </c:pt>
                <c:pt idx="167">
                  <c:v>0.43258615796510774</c:v>
                </c:pt>
                <c:pt idx="168">
                  <c:v>0.43481499743339447</c:v>
                </c:pt>
                <c:pt idx="169">
                  <c:v>0.43704401497123102</c:v>
                </c:pt>
                <c:pt idx="170">
                  <c:v>0.43927320237669365</c:v>
                </c:pt>
                <c:pt idx="171">
                  <c:v>0.44150255341425659</c:v>
                </c:pt>
                <c:pt idx="172">
                  <c:v>0.44373206330099896</c:v>
                </c:pt>
                <c:pt idx="173">
                  <c:v>0.44596172832800757</c:v>
                </c:pt>
                <c:pt idx="174">
                  <c:v>0.44819154558115992</c:v>
                </c:pt>
                <c:pt idx="175">
                  <c:v>0.45042151273502645</c:v>
                </c:pt>
                <c:pt idx="176">
                  <c:v>0.45265162790061758</c:v>
                </c:pt>
                <c:pt idx="177">
                  <c:v>0.45488188951281694</c:v>
                </c:pt>
                <c:pt idx="178">
                  <c:v>0.45711229624708849</c:v>
                </c:pt>
                <c:pt idx="179">
                  <c:v>0.45934284695779565</c:v>
                </c:pt>
                <c:pt idx="180">
                  <c:v>0.46157354063248845</c:v>
                </c:pt>
                <c:pt idx="181">
                  <c:v>0.46380437635799843</c:v>
                </c:pt>
                <c:pt idx="182">
                  <c:v>0.4660353532952709</c:v>
                </c:pt>
                <c:pt idx="183">
                  <c:v>0.46826647066066923</c:v>
                </c:pt>
                <c:pt idx="184">
                  <c:v>0.47049772771207488</c:v>
                </c:pt>
                <c:pt idx="185">
                  <c:v>0.47272912373854575</c:v>
                </c:pt>
                <c:pt idx="186">
                  <c:v>0.47496065805261545</c:v>
                </c:pt>
                <c:pt idx="187">
                  <c:v>0.47719232998455441</c:v>
                </c:pt>
                <c:pt idx="188">
                  <c:v>0.47942413887808971</c:v>
                </c:pt>
                <c:pt idx="189">
                  <c:v>0.48165608408721039</c:v>
                </c:pt>
                <c:pt idx="190">
                  <c:v>0.48388816497378029</c:v>
                </c:pt>
                <c:pt idx="191">
                  <c:v>0.4861203809057536</c:v>
                </c:pt>
                <c:pt idx="192">
                  <c:v>0.48835273125583895</c:v>
                </c:pt>
                <c:pt idx="193">
                  <c:v>0.4905852154004986</c:v>
                </c:pt>
                <c:pt idx="194">
                  <c:v>0.49281783271919816</c:v>
                </c:pt>
                <c:pt idx="195">
                  <c:v>0.49505058259384266</c:v>
                </c:pt>
                <c:pt idx="196">
                  <c:v>0.49728346440835325</c:v>
                </c:pt>
                <c:pt idx="197">
                  <c:v>0.49951647754834777</c:v>
                </c:pt>
                <c:pt idx="198">
                  <c:v>0.5017496214009004</c:v>
                </c:pt>
                <c:pt idx="199">
                  <c:v>0.50398289535435947</c:v>
                </c:pt>
                <c:pt idx="200">
                  <c:v>0.50621629879820973</c:v>
                </c:pt>
                <c:pt idx="201">
                  <c:v>0.50844983112296782</c:v>
                </c:pt>
                <c:pt idx="202">
                  <c:v>0.51068349172010208</c:v>
                </c:pt>
                <c:pt idx="203">
                  <c:v>0.51291727998197134</c:v>
                </c:pt>
                <c:pt idx="204">
                  <c:v>0.51515119530177778</c:v>
                </c:pt>
                <c:pt idx="205">
                  <c:v>0.51738523707353046</c:v>
                </c:pt>
                <c:pt idx="206">
                  <c:v>0.51961940469201662</c:v>
                </c:pt>
                <c:pt idx="207">
                  <c:v>0.52185369755277911</c:v>
                </c:pt>
                <c:pt idx="208">
                  <c:v>0.52408811505209818</c:v>
                </c:pt>
                <c:pt idx="209">
                  <c:v>0.52632265658697697</c:v>
                </c:pt>
                <c:pt idx="210">
                  <c:v>0.52855732155512936</c:v>
                </c:pt>
                <c:pt idx="211">
                  <c:v>0.53079210935497012</c:v>
                </c:pt>
                <c:pt idx="212">
                  <c:v>0.53302701938560626</c:v>
                </c:pt>
                <c:pt idx="213">
                  <c:v>0.53526205104682922</c:v>
                </c:pt>
                <c:pt idx="214">
                  <c:v>0.5374972037391087</c:v>
                </c:pt>
                <c:pt idx="215">
                  <c:v>0.5397324768635865</c:v>
                </c:pt>
                <c:pt idx="216">
                  <c:v>0.54196786982207101</c:v>
                </c:pt>
                <c:pt idx="217">
                  <c:v>0.54420338201703244</c:v>
                </c:pt>
                <c:pt idx="218">
                  <c:v>0.54643901285159768</c:v>
                </c:pt>
                <c:pt idx="219">
                  <c:v>0.54867476172954599</c:v>
                </c:pt>
                <c:pt idx="220">
                  <c:v>0.55091062805530444</c:v>
                </c:pt>
                <c:pt idx="221">
                  <c:v>0.55314661123394393</c:v>
                </c:pt>
                <c:pt idx="222">
                  <c:v>0.55538271067117484</c:v>
                </c:pt>
                <c:pt idx="223">
                  <c:v>0.55761892577334293</c:v>
                </c:pt>
                <c:pt idx="224">
                  <c:v>0.55985525594742569</c:v>
                </c:pt>
                <c:pt idx="225">
                  <c:v>0.56209170060102798</c:v>
                </c:pt>
                <c:pt idx="226">
                  <c:v>0.56432825914237861</c:v>
                </c:pt>
                <c:pt idx="227">
                  <c:v>0.56656493098032601</c:v>
                </c:pt>
                <c:pt idx="228">
                  <c:v>0.56880171552433478</c:v>
                </c:pt>
                <c:pt idx="229">
                  <c:v>0.57103861218448182</c:v>
                </c:pt>
                <c:pt idx="230">
                  <c:v>0.57327562037145252</c:v>
                </c:pt>
                <c:pt idx="231">
                  <c:v>0.57551273949653692</c:v>
                </c:pt>
                <c:pt idx="232">
                  <c:v>0.57774996897162612</c:v>
                </c:pt>
                <c:pt idx="233">
                  <c:v>0.57998730820920863</c:v>
                </c:pt>
                <c:pt idx="234">
                  <c:v>0.5822247566223665</c:v>
                </c:pt>
                <c:pt idx="235">
                  <c:v>0.58446231362477163</c:v>
                </c:pt>
                <c:pt idx="236">
                  <c:v>0.58669997863068235</c:v>
                </c:pt>
                <c:pt idx="237">
                  <c:v>0.58893775105493962</c:v>
                </c:pt>
                <c:pt idx="238">
                  <c:v>0.59117563031296327</c:v>
                </c:pt>
                <c:pt idx="239">
                  <c:v>0.59341361582074847</c:v>
                </c:pt>
                <c:pt idx="240">
                  <c:v>0.59565170699486236</c:v>
                </c:pt>
                <c:pt idx="241">
                  <c:v>0.59788990325244007</c:v>
                </c:pt>
                <c:pt idx="242">
                  <c:v>0.60012820401118128</c:v>
                </c:pt>
                <c:pt idx="243">
                  <c:v>0.60236660868934655</c:v>
                </c:pt>
                <c:pt idx="244">
                  <c:v>0.60460511670575412</c:v>
                </c:pt>
                <c:pt idx="245">
                  <c:v>0.60684372747977589</c:v>
                </c:pt>
                <c:pt idx="246">
                  <c:v>0.60908244043133397</c:v>
                </c:pt>
                <c:pt idx="247">
                  <c:v>0.61132125498089751</c:v>
                </c:pt>
                <c:pt idx="248">
                  <c:v>0.61356017054947876</c:v>
                </c:pt>
                <c:pt idx="249">
                  <c:v>0.61579918655862964</c:v>
                </c:pt>
                <c:pt idx="250">
                  <c:v>0.61803830243043845</c:v>
                </c:pt>
                <c:pt idx="251">
                  <c:v>0.62027751758752614</c:v>
                </c:pt>
                <c:pt idx="252">
                  <c:v>0.62251683145304293</c:v>
                </c:pt>
                <c:pt idx="253">
                  <c:v>0.62475624345066483</c:v>
                </c:pt>
                <c:pt idx="254">
                  <c:v>0.62699575300459032</c:v>
                </c:pt>
                <c:pt idx="255">
                  <c:v>0.62923535953953647</c:v>
                </c:pt>
                <c:pt idx="256">
                  <c:v>0.63147506248073593</c:v>
                </c:pt>
                <c:pt idx="257">
                  <c:v>0.6337148612539335</c:v>
                </c:pt>
                <c:pt idx="258">
                  <c:v>0.63595475528538237</c:v>
                </c:pt>
                <c:pt idx="259">
                  <c:v>0.63819474400184095</c:v>
                </c:pt>
                <c:pt idx="260">
                  <c:v>0.64043482683056951</c:v>
                </c:pt>
                <c:pt idx="261">
                  <c:v>0.64267500319932658</c:v>
                </c:pt>
                <c:pt idx="262">
                  <c:v>0.64491527253636582</c:v>
                </c:pt>
                <c:pt idx="263">
                  <c:v>0.64715563427043243</c:v>
                </c:pt>
                <c:pt idx="264">
                  <c:v>0.64939608783075997</c:v>
                </c:pt>
                <c:pt idx="265">
                  <c:v>0.65163663264706673</c:v>
                </c:pt>
                <c:pt idx="266">
                  <c:v>0.65387726814955283</c:v>
                </c:pt>
                <c:pt idx="267">
                  <c:v>0.65611799376889635</c:v>
                </c:pt>
                <c:pt idx="268">
                  <c:v>0.65835880893625054</c:v>
                </c:pt>
                <c:pt idx="269">
                  <c:v>0.66059971308324006</c:v>
                </c:pt>
                <c:pt idx="270">
                  <c:v>0.66284070564195796</c:v>
                </c:pt>
                <c:pt idx="271">
                  <c:v>0.66508178604496215</c:v>
                </c:pt>
                <c:pt idx="272">
                  <c:v>0.66732295372527239</c:v>
                </c:pt>
                <c:pt idx="273">
                  <c:v>0.66956420811636685</c:v>
                </c:pt>
                <c:pt idx="274">
                  <c:v>0.67180554865217879</c:v>
                </c:pt>
                <c:pt idx="275">
                  <c:v>0.6740469747670933</c:v>
                </c:pt>
                <c:pt idx="276">
                  <c:v>0.67628848589594426</c:v>
                </c:pt>
                <c:pt idx="277">
                  <c:v>0.67853008147401084</c:v>
                </c:pt>
                <c:pt idx="278">
                  <c:v>0.6807717609370143</c:v>
                </c:pt>
                <c:pt idx="279">
                  <c:v>0.68301352372111479</c:v>
                </c:pt>
                <c:pt idx="280">
                  <c:v>0.68525536926290831</c:v>
                </c:pt>
                <c:pt idx="281">
                  <c:v>0.6874972969994233</c:v>
                </c:pt>
                <c:pt idx="282">
                  <c:v>0.68973930636811742</c:v>
                </c:pt>
                <c:pt idx="283">
                  <c:v>0.69198139680687443</c:v>
                </c:pt>
                <c:pt idx="284">
                  <c:v>0.69422356775400107</c:v>
                </c:pt>
                <c:pt idx="285">
                  <c:v>0.69646581864822354</c:v>
                </c:pt>
                <c:pt idx="286">
                  <c:v>0.69870814892868494</c:v>
                </c:pt>
                <c:pt idx="287">
                  <c:v>0.70095055803494144</c:v>
                </c:pt>
                <c:pt idx="288">
                  <c:v>0.70319304540695948</c:v>
                </c:pt>
                <c:pt idx="289">
                  <c:v>0.70543561048511272</c:v>
                </c:pt>
                <c:pt idx="290">
                  <c:v>0.7076782527101787</c:v>
                </c:pt>
                <c:pt idx="291">
                  <c:v>0.70992097152333566</c:v>
                </c:pt>
                <c:pt idx="292">
                  <c:v>0.71216376636615952</c:v>
                </c:pt>
                <c:pt idx="293">
                  <c:v>0.71440663668062088</c:v>
                </c:pt>
                <c:pt idx="294">
                  <c:v>0.71664958190908157</c:v>
                </c:pt>
                <c:pt idx="295">
                  <c:v>0.71889260149429191</c:v>
                </c:pt>
                <c:pt idx="296">
                  <c:v>0.72113569487938733</c:v>
                </c:pt>
                <c:pt idx="297">
                  <c:v>0.72337886150788555</c:v>
                </c:pt>
                <c:pt idx="298">
                  <c:v>0.72562210082368328</c:v>
                </c:pt>
                <c:pt idx="299">
                  <c:v>0.72786541227105317</c:v>
                </c:pt>
                <c:pt idx="300">
                  <c:v>0.73010879529464079</c:v>
                </c:pt>
                <c:pt idx="301">
                  <c:v>0.73235224933946164</c:v>
                </c:pt>
                <c:pt idx="302">
                  <c:v>0.73459577385089792</c:v>
                </c:pt>
                <c:pt idx="303">
                  <c:v>0.73683936827469565</c:v>
                </c:pt>
                <c:pt idx="304">
                  <c:v>0.73908303205696158</c:v>
                </c:pt>
                <c:pt idx="305">
                  <c:v>0.74132676464416003</c:v>
                </c:pt>
                <c:pt idx="306">
                  <c:v>0.74357056548310996</c:v>
                </c:pt>
                <c:pt idx="307">
                  <c:v>0.74581443402098213</c:v>
                </c:pt>
                <c:pt idx="308">
                  <c:v>0.74805836970529571</c:v>
                </c:pt>
                <c:pt idx="309">
                  <c:v>0.75030237198391558</c:v>
                </c:pt>
                <c:pt idx="310">
                  <c:v>0.75254644030504914</c:v>
                </c:pt>
                <c:pt idx="311">
                  <c:v>0.75479057411724337</c:v>
                </c:pt>
                <c:pt idx="312">
                  <c:v>0.75703477286938203</c:v>
                </c:pt>
                <c:pt idx="313">
                  <c:v>0.75927903601068225</c:v>
                </c:pt>
                <c:pt idx="314">
                  <c:v>0.76152336299069201</c:v>
                </c:pt>
                <c:pt idx="315">
                  <c:v>0.76376775325928692</c:v>
                </c:pt>
                <c:pt idx="316">
                  <c:v>0.76601220626666722</c:v>
                </c:pt>
                <c:pt idx="317">
                  <c:v>0.768256721463355</c:v>
                </c:pt>
                <c:pt idx="318">
                  <c:v>0.7705012983001911</c:v>
                </c:pt>
                <c:pt idx="319">
                  <c:v>0.7727459362283321</c:v>
                </c:pt>
                <c:pt idx="320">
                  <c:v>0.77499063469924767</c:v>
                </c:pt>
                <c:pt idx="321">
                  <c:v>0.77723539316471735</c:v>
                </c:pt>
                <c:pt idx="322">
                  <c:v>0.77948021107682774</c:v>
                </c:pt>
                <c:pt idx="323">
                  <c:v>0.78172508788796946</c:v>
                </c:pt>
                <c:pt idx="324">
                  <c:v>0.78397002305083452</c:v>
                </c:pt>
                <c:pt idx="325">
                  <c:v>0.78621501601841304</c:v>
                </c:pt>
                <c:pt idx="326">
                  <c:v>0.78846006624399056</c:v>
                </c:pt>
                <c:pt idx="327">
                  <c:v>0.79070517318114508</c:v>
                </c:pt>
                <c:pt idx="328">
                  <c:v>0.79295033628374412</c:v>
                </c:pt>
                <c:pt idx="329">
                  <c:v>0.79519555500594197</c:v>
                </c:pt>
                <c:pt idx="330">
                  <c:v>0.7974408288021767</c:v>
                </c:pt>
                <c:pt idx="331">
                  <c:v>0.79968615712716729</c:v>
                </c:pt>
                <c:pt idx="332">
                  <c:v>0.80193153943591056</c:v>
                </c:pt>
                <c:pt idx="333">
                  <c:v>0.8041769751836787</c:v>
                </c:pt>
                <c:pt idx="334">
                  <c:v>0.80642246382601612</c:v>
                </c:pt>
                <c:pt idx="335">
                  <c:v>0.80866800481873657</c:v>
                </c:pt>
                <c:pt idx="336">
                  <c:v>0.81091359761792048</c:v>
                </c:pt>
                <c:pt idx="337">
                  <c:v>0.81315924167991194</c:v>
                </c:pt>
                <c:pt idx="338">
                  <c:v>0.81540493646131595</c:v>
                </c:pt>
                <c:pt idx="339">
                  <c:v>0.81765068141899555</c:v>
                </c:pt>
                <c:pt idx="340">
                  <c:v>0.81989647601006876</c:v>
                </c:pt>
                <c:pt idx="341">
                  <c:v>0.82214231969190621</c:v>
                </c:pt>
                <c:pt idx="342">
                  <c:v>0.82438821192212797</c:v>
                </c:pt>
                <c:pt idx="343">
                  <c:v>0.8266341521586007</c:v>
                </c:pt>
                <c:pt idx="344">
                  <c:v>0.82888013985943498</c:v>
                </c:pt>
                <c:pt idx="345">
                  <c:v>0.83112617448298254</c:v>
                </c:pt>
                <c:pt idx="346">
                  <c:v>0.83337225548783322</c:v>
                </c:pt>
                <c:pt idx="347">
                  <c:v>0.83561838233281238</c:v>
                </c:pt>
                <c:pt idx="348">
                  <c:v>0.83786455447697794</c:v>
                </c:pt>
                <c:pt idx="349">
                  <c:v>0.84011077137961776</c:v>
                </c:pt>
                <c:pt idx="350">
                  <c:v>0.84235703250024674</c:v>
                </c:pt>
                <c:pt idx="351">
                  <c:v>0.84460333729860393</c:v>
                </c:pt>
                <c:pt idx="352">
                  <c:v>0.84684968523464987</c:v>
                </c:pt>
                <c:pt idx="353">
                  <c:v>0.84909607576856383</c:v>
                </c:pt>
                <c:pt idx="354">
                  <c:v>0.85134250836074088</c:v>
                </c:pt>
                <c:pt idx="355">
                  <c:v>0.85358898247178927</c:v>
                </c:pt>
                <c:pt idx="356">
                  <c:v>0.85583549756252764</c:v>
                </c:pt>
                <c:pt idx="357">
                  <c:v>0.85808205309398222</c:v>
                </c:pt>
                <c:pt idx="358">
                  <c:v>0.860328648527384</c:v>
                </c:pt>
                <c:pt idx="359">
                  <c:v>0.862575283324166</c:v>
                </c:pt>
                <c:pt idx="360">
                  <c:v>0.86482195694596053</c:v>
                </c:pt>
                <c:pt idx="361">
                  <c:v>0.86706866885459666</c:v>
                </c:pt>
                <c:pt idx="362">
                  <c:v>0.86931541851209704</c:v>
                </c:pt>
                <c:pt idx="363">
                  <c:v>0.87156220538067541</c:v>
                </c:pt>
                <c:pt idx="364">
                  <c:v>0.87380902892273382</c:v>
                </c:pt>
                <c:pt idx="365">
                  <c:v>0.87605588860086003</c:v>
                </c:pt>
                <c:pt idx="366">
                  <c:v>0.87830278387782446</c:v>
                </c:pt>
                <c:pt idx="367">
                  <c:v>0.88054971421657768</c:v>
                </c:pt>
                <c:pt idx="368">
                  <c:v>0.88279667908024761</c:v>
                </c:pt>
                <c:pt idx="369">
                  <c:v>0.8850436779321369</c:v>
                </c:pt>
                <c:pt idx="370">
                  <c:v>0.88729071023572015</c:v>
                </c:pt>
                <c:pt idx="371">
                  <c:v>0.88953777545464097</c:v>
                </c:pt>
                <c:pt idx="372">
                  <c:v>0.89178487305270959</c:v>
                </c:pt>
                <c:pt idx="373">
                  <c:v>0.89403200249390002</c:v>
                </c:pt>
                <c:pt idx="374">
                  <c:v>0.89627916324234724</c:v>
                </c:pt>
                <c:pt idx="375">
                  <c:v>0.89852635476234466</c:v>
                </c:pt>
                <c:pt idx="376">
                  <c:v>0.90077357651834122</c:v>
                </c:pt>
                <c:pt idx="377">
                  <c:v>0.90302082797493899</c:v>
                </c:pt>
                <c:pt idx="378">
                  <c:v>0.90526810859689011</c:v>
                </c:pt>
                <c:pt idx="379">
                  <c:v>0.90751541784909429</c:v>
                </c:pt>
                <c:pt idx="380">
                  <c:v>0.90976275519659611</c:v>
                </c:pt>
                <c:pt idx="381">
                  <c:v>0.91201012010458238</c:v>
                </c:pt>
                <c:pt idx="382">
                  <c:v>0.91425751203837924</c:v>
                </c:pt>
                <c:pt idx="383">
                  <c:v>0.91650493046344972</c:v>
                </c:pt>
                <c:pt idx="384">
                  <c:v>0.91875237484539085</c:v>
                </c:pt>
                <c:pt idx="385">
                  <c:v>0.92099984464993112</c:v>
                </c:pt>
                <c:pt idx="386">
                  <c:v>0.92324733934292769</c:v>
                </c:pt>
                <c:pt idx="387">
                  <c:v>0.92549485839036383</c:v>
                </c:pt>
                <c:pt idx="388">
                  <c:v>0.92774240125834617</c:v>
                </c:pt>
                <c:pt idx="389">
                  <c:v>0.92998996741310203</c:v>
                </c:pt>
                <c:pt idx="390">
                  <c:v>0.93223755632097682</c:v>
                </c:pt>
                <c:pt idx="391">
                  <c:v>0.93448516744843113</c:v>
                </c:pt>
                <c:pt idx="392">
                  <c:v>0.93673280026203842</c:v>
                </c:pt>
                <c:pt idx="393">
                  <c:v>0.93898045422848209</c:v>
                </c:pt>
                <c:pt idx="394">
                  <c:v>0.94122812881455287</c:v>
                </c:pt>
                <c:pt idx="395">
                  <c:v>0.9434758234871462</c:v>
                </c:pt>
                <c:pt idx="396">
                  <c:v>0.94572353771325968</c:v>
                </c:pt>
                <c:pt idx="397">
                  <c:v>0.94797127095999023</c:v>
                </c:pt>
                <c:pt idx="398">
                  <c:v>0.9502190226945314</c:v>
                </c:pt>
                <c:pt idx="399">
                  <c:v>0.95246679238417098</c:v>
                </c:pt>
                <c:pt idx="400">
                  <c:v>0.95471457949628802</c:v>
                </c:pt>
                <c:pt idx="401">
                  <c:v>0.95696238349835039</c:v>
                </c:pt>
                <c:pt idx="402">
                  <c:v>0.959210203857912</c:v>
                </c:pt>
                <c:pt idx="403">
                  <c:v>0.96145804004261048</c:v>
                </c:pt>
                <c:pt idx="404">
                  <c:v>0.96370589152016395</c:v>
                </c:pt>
                <c:pt idx="405">
                  <c:v>0.965953757758369</c:v>
                </c:pt>
                <c:pt idx="406">
                  <c:v>0.96820163822509753</c:v>
                </c:pt>
                <c:pt idx="407">
                  <c:v>0.97044953238829446</c:v>
                </c:pt>
                <c:pt idx="408">
                  <c:v>0.97269743971597489</c:v>
                </c:pt>
                <c:pt idx="409">
                  <c:v>0.97494535967622153</c:v>
                </c:pt>
                <c:pt idx="410">
                  <c:v>0.97719329173718217</c:v>
                </c:pt>
                <c:pt idx="411">
                  <c:v>0.97944123536706673</c:v>
                </c:pt>
                <c:pt idx="412">
                  <c:v>0.98168919003414501</c:v>
                </c:pt>
                <c:pt idx="413">
                  <c:v>0.98393715520674385</c:v>
                </c:pt>
                <c:pt idx="414">
                  <c:v>0.9861851303532444</c:v>
                </c:pt>
                <c:pt idx="415">
                  <c:v>0.98843311494207975</c:v>
                </c:pt>
                <c:pt idx="416">
                  <c:v>0.99068110844173196</c:v>
                </c:pt>
                <c:pt idx="417">
                  <c:v>0.99292911032072984</c:v>
                </c:pt>
                <c:pt idx="418">
                  <c:v>0.99517712004764591</c:v>
                </c:pt>
                <c:pt idx="419">
                  <c:v>0.99742513709109404</c:v>
                </c:pt>
                <c:pt idx="420">
                  <c:v>0.99967316091972669</c:v>
                </c:pt>
                <c:pt idx="421">
                  <c:v>1.0019211910022323</c:v>
                </c:pt>
                <c:pt idx="422">
                  <c:v>1.004169226807333</c:v>
                </c:pt>
                <c:pt idx="423">
                  <c:v>1.0064172678037813</c:v>
                </c:pt>
                <c:pt idx="424">
                  <c:v>1.0086653134603578</c:v>
                </c:pt>
                <c:pt idx="425">
                  <c:v>1.0109133632458691</c:v>
                </c:pt>
                <c:pt idx="426">
                  <c:v>1.0131614166291441</c:v>
                </c:pt>
                <c:pt idx="427">
                  <c:v>1.0154094730790322</c:v>
                </c:pt>
                <c:pt idx="428">
                  <c:v>1.0176575320644006</c:v>
                </c:pt>
                <c:pt idx="429">
                  <c:v>1.0199055930541312</c:v>
                </c:pt>
                <c:pt idx="430">
                  <c:v>1.0221536555171182</c:v>
                </c:pt>
                <c:pt idx="431">
                  <c:v>1.0244017189222661</c:v>
                </c:pt>
                <c:pt idx="432">
                  <c:v>1.0266497827384859</c:v>
                </c:pt>
                <c:pt idx="433">
                  <c:v>1.0288978464346934</c:v>
                </c:pt>
                <c:pt idx="434">
                  <c:v>1.0311459094798063</c:v>
                </c:pt>
                <c:pt idx="435">
                  <c:v>1.0333939713427416</c:v>
                </c:pt>
                <c:pt idx="436">
                  <c:v>1.0356420314924126</c:v>
                </c:pt>
                <c:pt idx="437">
                  <c:v>1.037890089397727</c:v>
                </c:pt>
                <c:pt idx="438">
                  <c:v>1.0401381445275837</c:v>
                </c:pt>
                <c:pt idx="439">
                  <c:v>1.0423861963508705</c:v>
                </c:pt>
                <c:pt idx="440">
                  <c:v>1.0446342443364609</c:v>
                </c:pt>
                <c:pt idx="441">
                  <c:v>1.0468822879532125</c:v>
                </c:pt>
                <c:pt idx="442">
                  <c:v>1.0491303266699634</c:v>
                </c:pt>
                <c:pt idx="443">
                  <c:v>1.0513783599555302</c:v>
                </c:pt>
                <c:pt idx="444">
                  <c:v>1.0536263872787048</c:v>
                </c:pt>
                <c:pt idx="445">
                  <c:v>1.0558744081082525</c:v>
                </c:pt>
                <c:pt idx="446">
                  <c:v>1.0581224219129088</c:v>
                </c:pt>
                <c:pt idx="447">
                  <c:v>1.0603704281613771</c:v>
                </c:pt>
                <c:pt idx="448">
                  <c:v>1.0626184263223255</c:v>
                </c:pt>
                <c:pt idx="449">
                  <c:v>1.064866415864385</c:v>
                </c:pt>
                <c:pt idx="450">
                  <c:v>1.0671143962561465</c:v>
                </c:pt>
                <c:pt idx="451">
                  <c:v>1.0693623669661578</c:v>
                </c:pt>
                <c:pt idx="452">
                  <c:v>1.0716103274629218</c:v>
                </c:pt>
                <c:pt idx="453">
                  <c:v>1.073858277214893</c:v>
                </c:pt>
                <c:pt idx="454">
                  <c:v>1.0761062156904755</c:v>
                </c:pt>
                <c:pt idx="455">
                  <c:v>1.0783541423580199</c:v>
                </c:pt>
                <c:pt idx="456">
                  <c:v>1.080602056685821</c:v>
                </c:pt>
                <c:pt idx="457">
                  <c:v>1.0828499581421149</c:v>
                </c:pt>
                <c:pt idx="458">
                  <c:v>1.0850978461950769</c:v>
                </c:pt>
                <c:pt idx="459">
                  <c:v>1.0873457203128181</c:v>
                </c:pt>
                <c:pt idx="460">
                  <c:v>1.0895935799633834</c:v>
                </c:pt>
                <c:pt idx="461">
                  <c:v>1.0918414246147483</c:v>
                </c:pt>
                <c:pt idx="462">
                  <c:v>1.094089253734817</c:v>
                </c:pt>
                <c:pt idx="463">
                  <c:v>1.096337066791419</c:v>
                </c:pt>
                <c:pt idx="464">
                  <c:v>1.098584863252307</c:v>
                </c:pt>
                <c:pt idx="465">
                  <c:v>1.1008326425851538</c:v>
                </c:pt>
                <c:pt idx="466">
                  <c:v>1.1030804042575499</c:v>
                </c:pt>
                <c:pt idx="467">
                  <c:v>1.1053281477370014</c:v>
                </c:pt>
                <c:pt idx="468">
                  <c:v>1.1075758724909259</c:v>
                </c:pt>
                <c:pt idx="469">
                  <c:v>1.1098235779866517</c:v>
                </c:pt>
                <c:pt idx="470">
                  <c:v>1.1120712636914134</c:v>
                </c:pt>
                <c:pt idx="471">
                  <c:v>1.1143189290723505</c:v>
                </c:pt>
                <c:pt idx="472">
                  <c:v>1.1165665735965042</c:v>
                </c:pt>
                <c:pt idx="473">
                  <c:v>1.1188141967308147</c:v>
                </c:pt>
                <c:pt idx="474">
                  <c:v>1.1210617979421191</c:v>
                </c:pt>
                <c:pt idx="475">
                  <c:v>1.1233093766971478</c:v>
                </c:pt>
                <c:pt idx="476">
                  <c:v>1.1255569324625228</c:v>
                </c:pt>
                <c:pt idx="477">
                  <c:v>1.1278044647047543</c:v>
                </c:pt>
                <c:pt idx="478">
                  <c:v>1.1300519728902383</c:v>
                </c:pt>
                <c:pt idx="479">
                  <c:v>1.1322994564852544</c:v>
                </c:pt>
                <c:pt idx="480">
                  <c:v>1.1345469149559624</c:v>
                </c:pt>
                <c:pt idx="481">
                  <c:v>1.1367943477683997</c:v>
                </c:pt>
                <c:pt idx="482">
                  <c:v>1.1390417543884794</c:v>
                </c:pt>
                <c:pt idx="483">
                  <c:v>1.1412891342819869</c:v>
                </c:pt>
                <c:pt idx="484">
                  <c:v>1.143536486914577</c:v>
                </c:pt>
                <c:pt idx="485">
                  <c:v>1.145783811751772</c:v>
                </c:pt>
                <c:pt idx="486">
                  <c:v>1.1480311082589587</c:v>
                </c:pt>
                <c:pt idx="487">
                  <c:v>1.1502783759013855</c:v>
                </c:pt>
                <c:pt idx="488">
                  <c:v>1.1525256141441598</c:v>
                </c:pt>
                <c:pt idx="489">
                  <c:v>1.1547728224522456</c:v>
                </c:pt>
                <c:pt idx="490">
                  <c:v>1.1570200002904605</c:v>
                </c:pt>
                <c:pt idx="491">
                  <c:v>1.159267147123473</c:v>
                </c:pt>
                <c:pt idx="492">
                  <c:v>1.1615142624158001</c:v>
                </c:pt>
                <c:pt idx="493">
                  <c:v>1.1637613456318043</c:v>
                </c:pt>
                <c:pt idx="494">
                  <c:v>1.1660083962356911</c:v>
                </c:pt>
                <c:pt idx="495">
                  <c:v>1.168255413691506</c:v>
                </c:pt>
                <c:pt idx="496">
                  <c:v>1.1705023974631321</c:v>
                </c:pt>
                <c:pt idx="497">
                  <c:v>1.1727493470142873</c:v>
                </c:pt>
                <c:pt idx="498">
                  <c:v>1.1749962618085215</c:v>
                </c:pt>
                <c:pt idx="499">
                  <c:v>1.1772431413092139</c:v>
                </c:pt>
                <c:pt idx="500">
                  <c:v>1.1794899849795706</c:v>
                </c:pt>
                <c:pt idx="501">
                  <c:v>1.1817367922826212</c:v>
                </c:pt>
                <c:pt idx="502">
                  <c:v>1.183983562681217</c:v>
                </c:pt>
                <c:pt idx="503">
                  <c:v>1.1862302956380271</c:v>
                </c:pt>
                <c:pt idx="504">
                  <c:v>1.188476990615537</c:v>
                </c:pt>
                <c:pt idx="505">
                  <c:v>1.1907236470760447</c:v>
                </c:pt>
                <c:pt idx="506">
                  <c:v>1.1929702644816587</c:v>
                </c:pt>
                <c:pt idx="507">
                  <c:v>1.1952168422942948</c:v>
                </c:pt>
                <c:pt idx="508">
                  <c:v>1.197463379975674</c:v>
                </c:pt>
                <c:pt idx="509">
                  <c:v>1.1997098769873187</c:v>
                </c:pt>
                <c:pt idx="510">
                  <c:v>1.2019563327905511</c:v>
                </c:pt>
                <c:pt idx="511">
                  <c:v>1.2042027468464895</c:v>
                </c:pt>
                <c:pt idx="512">
                  <c:v>1.2064491186160462</c:v>
                </c:pt>
                <c:pt idx="513">
                  <c:v>1.2086954475599245</c:v>
                </c:pt>
                <c:pt idx="514">
                  <c:v>1.2109417331386159</c:v>
                </c:pt>
                <c:pt idx="515">
                  <c:v>1.213187974812397</c:v>
                </c:pt>
                <c:pt idx="516">
                  <c:v>1.2154341720413275</c:v>
                </c:pt>
                <c:pt idx="517">
                  <c:v>1.217680324285247</c:v>
                </c:pt>
                <c:pt idx="518">
                  <c:v>1.2199264310037721</c:v>
                </c:pt>
                <c:pt idx="519">
                  <c:v>1.2221724916562935</c:v>
                </c:pt>
                <c:pt idx="520">
                  <c:v>1.2244185057019739</c:v>
                </c:pt>
                <c:pt idx="521">
                  <c:v>1.2266644725997442</c:v>
                </c:pt>
                <c:pt idx="522">
                  <c:v>1.228910391808302</c:v>
                </c:pt>
                <c:pt idx="523">
                  <c:v>1.2311562627861072</c:v>
                </c:pt>
                <c:pt idx="524">
                  <c:v>1.2334020849913807</c:v>
                </c:pt>
                <c:pt idx="525">
                  <c:v>1.2356478578821009</c:v>
                </c:pt>
                <c:pt idx="526">
                  <c:v>1.2378935809160003</c:v>
                </c:pt>
                <c:pt idx="527">
                  <c:v>1.240139253550564</c:v>
                </c:pt>
                <c:pt idx="528">
                  <c:v>1.2423848752430258</c:v>
                </c:pt>
                <c:pt idx="529">
                  <c:v>1.2446304454503658</c:v>
                </c:pt>
                <c:pt idx="530">
                  <c:v>1.2468759636293076</c:v>
                </c:pt>
                <c:pt idx="531">
                  <c:v>1.2491214292363155</c:v>
                </c:pt>
                <c:pt idx="532">
                  <c:v>1.2513668417275914</c:v>
                </c:pt>
                <c:pt idx="533">
                  <c:v>1.253612200559072</c:v>
                </c:pt>
                <c:pt idx="534">
                  <c:v>1.255857505186426</c:v>
                </c:pt>
                <c:pt idx="535">
                  <c:v>1.2581027550650516</c:v>
                </c:pt>
                <c:pt idx="536">
                  <c:v>1.2603479496500734</c:v>
                </c:pt>
                <c:pt idx="537">
                  <c:v>1.2625930883963388</c:v>
                </c:pt>
                <c:pt idx="538">
                  <c:v>1.2648381707584164</c:v>
                </c:pt>
                <c:pt idx="539">
                  <c:v>1.2670831961905924</c:v>
                </c:pt>
                <c:pt idx="540">
                  <c:v>1.2693281641468677</c:v>
                </c:pt>
                <c:pt idx="541">
                  <c:v>1.271573074080955</c:v>
                </c:pt>
                <c:pt idx="542">
                  <c:v>1.2738179254462767</c:v>
                </c:pt>
                <c:pt idx="543">
                  <c:v>1.2760627176959607</c:v>
                </c:pt>
                <c:pt idx="544">
                  <c:v>1.2783074502828384</c:v>
                </c:pt>
                <c:pt idx="545">
                  <c:v>1.2805521226594418</c:v>
                </c:pt>
                <c:pt idx="546">
                  <c:v>1.282796734278</c:v>
                </c:pt>
                <c:pt idx="547">
                  <c:v>1.2850412845904366</c:v>
                </c:pt>
                <c:pt idx="548">
                  <c:v>1.2872857730483673</c:v>
                </c:pt>
                <c:pt idx="549">
                  <c:v>1.2895301991030959</c:v>
                </c:pt>
                <c:pt idx="550">
                  <c:v>1.2917745622056123</c:v>
                </c:pt>
                <c:pt idx="551">
                  <c:v>1.2940188618065889</c:v>
                </c:pt>
                <c:pt idx="552">
                  <c:v>1.2962630973563785</c:v>
                </c:pt>
                <c:pt idx="553">
                  <c:v>1.2985072683050101</c:v>
                </c:pt>
                <c:pt idx="554">
                  <c:v>1.3007513741021872</c:v>
                </c:pt>
                <c:pt idx="555">
                  <c:v>1.3029954141972842</c:v>
                </c:pt>
                <c:pt idx="556">
                  <c:v>1.3052393880393431</c:v>
                </c:pt>
                <c:pt idx="557">
                  <c:v>1.3074832950770716</c:v>
                </c:pt>
                <c:pt idx="558">
                  <c:v>1.3097271347588391</c:v>
                </c:pt>
                <c:pt idx="559">
                  <c:v>1.3119709065326739</c:v>
                </c:pt>
                <c:pt idx="560">
                  <c:v>1.3142146098462606</c:v>
                </c:pt>
                <c:pt idx="561">
                  <c:v>1.316458244146937</c:v>
                </c:pt>
                <c:pt idx="562">
                  <c:v>1.3187018088816909</c:v>
                </c:pt>
                <c:pt idx="563">
                  <c:v>1.320945303497157</c:v>
                </c:pt>
                <c:pt idx="564">
                  <c:v>1.3231887274396144</c:v>
                </c:pt>
                <c:pt idx="565">
                  <c:v>1.3254320801549828</c:v>
                </c:pt>
                <c:pt idx="566">
                  <c:v>1.3276753610888201</c:v>
                </c:pt>
                <c:pt idx="567">
                  <c:v>1.3299185696863192</c:v>
                </c:pt>
                <c:pt idx="568">
                  <c:v>1.3321617053923047</c:v>
                </c:pt>
                <c:pt idx="569">
                  <c:v>1.3344047676512303</c:v>
                </c:pt>
                <c:pt idx="570">
                  <c:v>1.3366477559071754</c:v>
                </c:pt>
                <c:pt idx="571">
                  <c:v>1.3388906696038421</c:v>
                </c:pt>
                <c:pt idx="572">
                  <c:v>1.3411335081845521</c:v>
                </c:pt>
                <c:pt idx="573">
                  <c:v>1.3433762710922439</c:v>
                </c:pt>
                <c:pt idx="574">
                  <c:v>1.3456189577694693</c:v>
                </c:pt>
                <c:pt idx="575">
                  <c:v>1.3478615676583903</c:v>
                </c:pt>
                <c:pt idx="576">
                  <c:v>1.3501041002007768</c:v>
                </c:pt>
                <c:pt idx="577">
                  <c:v>1.3523465548380023</c:v>
                </c:pt>
                <c:pt idx="578">
                  <c:v>1.3545889310110417</c:v>
                </c:pt>
                <c:pt idx="579">
                  <c:v>1.3568312281604678</c:v>
                </c:pt>
                <c:pt idx="580">
                  <c:v>1.3590734457264479</c:v>
                </c:pt>
                <c:pt idx="581">
                  <c:v>1.3613155831487416</c:v>
                </c:pt>
                <c:pt idx="582">
                  <c:v>1.3635576398666964</c:v>
                </c:pt>
                <c:pt idx="583">
                  <c:v>1.3657996153192455</c:v>
                </c:pt>
                <c:pt idx="584">
                  <c:v>1.3680415089449045</c:v>
                </c:pt>
                <c:pt idx="585">
                  <c:v>1.3702833201817677</c:v>
                </c:pt>
                <c:pt idx="586">
                  <c:v>1.3725250484675053</c:v>
                </c:pt>
                <c:pt idx="587">
                  <c:v>1.3747666932393605</c:v>
                </c:pt>
                <c:pt idx="588">
                  <c:v>1.3770082539341457</c:v>
                </c:pt>
                <c:pt idx="589">
                  <c:v>1.3792497299882398</c:v>
                </c:pt>
                <c:pt idx="590">
                  <c:v>1.3814911208375846</c:v>
                </c:pt>
                <c:pt idx="591">
                  <c:v>1.383732425917682</c:v>
                </c:pt>
                <c:pt idx="592">
                  <c:v>1.3859736446635904</c:v>
                </c:pt>
                <c:pt idx="593">
                  <c:v>1.3882147765099215</c:v>
                </c:pt>
                <c:pt idx="594">
                  <c:v>1.3904558208908375</c:v>
                </c:pt>
                <c:pt idx="595">
                  <c:v>1.3926967772400471</c:v>
                </c:pt>
                <c:pt idx="596">
                  <c:v>1.3949376449908031</c:v>
                </c:pt>
                <c:pt idx="597">
                  <c:v>1.3971784235758984</c:v>
                </c:pt>
                <c:pt idx="598">
                  <c:v>1.3994191124276631</c:v>
                </c:pt>
                <c:pt idx="599">
                  <c:v>1.4016597109779612</c:v>
                </c:pt>
                <c:pt idx="600">
                  <c:v>1.403900218658187</c:v>
                </c:pt>
                <c:pt idx="601">
                  <c:v>1.4061406348992627</c:v>
                </c:pt>
                <c:pt idx="602">
                  <c:v>1.4083809591316334</c:v>
                </c:pt>
                <c:pt idx="603">
                  <c:v>1.4106211907852657</c:v>
                </c:pt>
                <c:pt idx="604">
                  <c:v>1.412861329289643</c:v>
                </c:pt>
                <c:pt idx="605">
                  <c:v>1.415101374073763</c:v>
                </c:pt>
                <c:pt idx="606">
                  <c:v>1.4173413245661335</c:v>
                </c:pt>
                <c:pt idx="607">
                  <c:v>1.41958118019477</c:v>
                </c:pt>
                <c:pt idx="608">
                  <c:v>1.4218209403871915</c:v>
                </c:pt>
                <c:pt idx="609">
                  <c:v>1.4240606045704178</c:v>
                </c:pt>
                <c:pt idx="610">
                  <c:v>1.4263001721709656</c:v>
                </c:pt>
                <c:pt idx="611">
                  <c:v>1.4285396426148456</c:v>
                </c:pt>
                <c:pt idx="612">
                  <c:v>1.4307790153275584</c:v>
                </c:pt>
                <c:pt idx="613">
                  <c:v>1.4330182897340915</c:v>
                </c:pt>
                <c:pt idx="614">
                  <c:v>1.4352574652589163</c:v>
                </c:pt>
                <c:pt idx="615">
                  <c:v>1.4374965413259837</c:v>
                </c:pt>
                <c:pt idx="616">
                  <c:v>1.4397355173587216</c:v>
                </c:pt>
                <c:pt idx="617">
                  <c:v>1.441974392780031</c:v>
                </c:pt>
                <c:pt idx="618">
                  <c:v>1.4442131670122824</c:v>
                </c:pt>
                <c:pt idx="619">
                  <c:v>1.4464518394773125</c:v>
                </c:pt>
                <c:pt idx="620">
                  <c:v>1.4486904095964206</c:v>
                </c:pt>
                <c:pt idx="621">
                  <c:v>1.4509288767903654</c:v>
                </c:pt>
                <c:pt idx="622">
                  <c:v>1.4531672404793612</c:v>
                </c:pt>
                <c:pt idx="623">
                  <c:v>1.4554055000830746</c:v>
                </c:pt>
                <c:pt idx="624">
                  <c:v>1.4576436550206207</c:v>
                </c:pt>
                <c:pt idx="625">
                  <c:v>1.4598817047105597</c:v>
                </c:pt>
                <c:pt idx="626">
                  <c:v>1.4621196485708936</c:v>
                </c:pt>
                <c:pt idx="627">
                  <c:v>1.4643574860190622</c:v>
                </c:pt>
                <c:pt idx="628">
                  <c:v>1.4665952164719398</c:v>
                </c:pt>
                <c:pt idx="629">
                  <c:v>1.4688328393458314</c:v>
                </c:pt>
                <c:pt idx="630">
                  <c:v>1.4710703540564696</c:v>
                </c:pt>
                <c:pt idx="631">
                  <c:v>1.4733077600190103</c:v>
                </c:pt>
                <c:pt idx="632">
                  <c:v>1.4755450566480297</c:v>
                </c:pt>
                <c:pt idx="633">
                  <c:v>1.4777822433575203</c:v>
                </c:pt>
                <c:pt idx="634">
                  <c:v>1.4800193195608871</c:v>
                </c:pt>
                <c:pt idx="635">
                  <c:v>1.4822562846709446</c:v>
                </c:pt>
                <c:pt idx="636">
                  <c:v>1.4844931380999129</c:v>
                </c:pt>
                <c:pt idx="637">
                  <c:v>1.4867298792594135</c:v>
                </c:pt>
                <c:pt idx="638">
                  <c:v>1.4889665075604659</c:v>
                </c:pt>
                <c:pt idx="639">
                  <c:v>1.4912030224134845</c:v>
                </c:pt>
                <c:pt idx="640">
                  <c:v>1.4934394232282737</c:v>
                </c:pt>
                <c:pt idx="641">
                  <c:v>1.4956757094140256</c:v>
                </c:pt>
                <c:pt idx="642">
                  <c:v>1.4979118803793152</c:v>
                </c:pt>
                <c:pt idx="643">
                  <c:v>1.5001479355320968</c:v>
                </c:pt>
                <c:pt idx="644">
                  <c:v>1.5023838742797007</c:v>
                </c:pt>
                <c:pt idx="645">
                  <c:v>1.5046196960288289</c:v>
                </c:pt>
                <c:pt idx="646">
                  <c:v>1.5068554001855521</c:v>
                </c:pt>
                <c:pt idx="647">
                  <c:v>1.5090909861553046</c:v>
                </c:pt>
                <c:pt idx="648">
                  <c:v>1.5113264533428818</c:v>
                </c:pt>
                <c:pt idx="649">
                  <c:v>1.5135618011524359</c:v>
                </c:pt>
                <c:pt idx="650">
                  <c:v>1.5157970289874716</c:v>
                </c:pt>
                <c:pt idx="651">
                  <c:v>1.5180321362508429</c:v>
                </c:pt>
                <c:pt idx="652">
                  <c:v>1.5202671223447488</c:v>
                </c:pt>
                <c:pt idx="653">
                  <c:v>1.5225019866707299</c:v>
                </c:pt>
                <c:pt idx="654">
                  <c:v>1.524736728629664</c:v>
                </c:pt>
                <c:pt idx="655">
                  <c:v>1.5269713476217628</c:v>
                </c:pt>
                <c:pt idx="656">
                  <c:v>1.5292058430465671</c:v>
                </c:pt>
                <c:pt idx="657">
                  <c:v>1.5314402143029437</c:v>
                </c:pt>
                <c:pt idx="658">
                  <c:v>1.5336744607890811</c:v>
                </c:pt>
                <c:pt idx="659">
                  <c:v>1.5359085819024856</c:v>
                </c:pt>
                <c:pt idx="660">
                  <c:v>1.538142577039977</c:v>
                </c:pt>
                <c:pt idx="661">
                  <c:v>1.5403764455976856</c:v>
                </c:pt>
                <c:pt idx="662">
                  <c:v>1.5426101869710469</c:v>
                </c:pt>
                <c:pt idx="663">
                  <c:v>1.5448438005547984</c:v>
                </c:pt>
                <c:pt idx="664">
                  <c:v>1.5470772857429755</c:v>
                </c:pt>
                <c:pt idx="665">
                  <c:v>1.5493106419289073</c:v>
                </c:pt>
                <c:pt idx="666">
                  <c:v>1.5515438685052125</c:v>
                </c:pt>
                <c:pt idx="667">
                  <c:v>1.5537769648637956</c:v>
                </c:pt>
                <c:pt idx="668">
                  <c:v>1.5560099303958423</c:v>
                </c:pt>
                <c:pt idx="669">
                  <c:v>1.5582427644918164</c:v>
                </c:pt>
                <c:pt idx="670">
                  <c:v>1.5604754665414544</c:v>
                </c:pt>
                <c:pt idx="671">
                  <c:v>1.562708035933762</c:v>
                </c:pt>
                <c:pt idx="672">
                  <c:v>1.5649404720570101</c:v>
                </c:pt>
                <c:pt idx="673">
                  <c:v>1.5671727742987309</c:v>
                </c:pt>
                <c:pt idx="674">
                  <c:v>1.5694049420457126</c:v>
                </c:pt>
                <c:pt idx="675">
                  <c:v>1.5716369746839962</c:v>
                </c:pt>
                <c:pt idx="676">
                  <c:v>1.5738688715988713</c:v>
                </c:pt>
                <c:pt idx="677">
                  <c:v>1.5761006321748712</c:v>
                </c:pt>
                <c:pt idx="678">
                  <c:v>1.5783322557957689</c:v>
                </c:pt>
                <c:pt idx="679">
                  <c:v>1.5805637418445733</c:v>
                </c:pt>
                <c:pt idx="680">
                  <c:v>1.5827950897035246</c:v>
                </c:pt>
                <c:pt idx="681">
                  <c:v>1.58502629875409</c:v>
                </c:pt>
                <c:pt idx="682">
                  <c:v>1.5872573683769593</c:v>
                </c:pt>
                <c:pt idx="683">
                  <c:v>1.5894882979520411</c:v>
                </c:pt>
                <c:pt idx="684">
                  <c:v>1.5917190868584572</c:v>
                </c:pt>
                <c:pt idx="685">
                  <c:v>1.5939497344745401</c:v>
                </c:pt>
                <c:pt idx="686">
                  <c:v>1.5961802401778271</c:v>
                </c:pt>
                <c:pt idx="687">
                  <c:v>1.5984106033450565</c:v>
                </c:pt>
                <c:pt idx="688">
                  <c:v>1.600640823352163</c:v>
                </c:pt>
                <c:pt idx="689">
                  <c:v>1.6028708995742738</c:v>
                </c:pt>
                <c:pt idx="690">
                  <c:v>1.6051008313857034</c:v>
                </c:pt>
                <c:pt idx="691">
                  <c:v>1.6073306181599498</c:v>
                </c:pt>
                <c:pt idx="692">
                  <c:v>1.6095602592696898</c:v>
                </c:pt>
                <c:pt idx="693">
                  <c:v>1.6117897540867743</c:v>
                </c:pt>
                <c:pt idx="694">
                  <c:v>1.6140191019822236</c:v>
                </c:pt>
                <c:pt idx="695">
                  <c:v>1.616248302326224</c:v>
                </c:pt>
                <c:pt idx="696">
                  <c:v>1.6184773544881219</c:v>
                </c:pt>
                <c:pt idx="697">
                  <c:v>1.62070625783642</c:v>
                </c:pt>
                <c:pt idx="698">
                  <c:v>1.6229350117387724</c:v>
                </c:pt>
                <c:pt idx="699">
                  <c:v>1.6251636155619804</c:v>
                </c:pt>
                <c:pt idx="700">
                  <c:v>1.6273920686719872</c:v>
                </c:pt>
                <c:pt idx="701">
                  <c:v>1.6296203704338741</c:v>
                </c:pt>
                <c:pt idx="702">
                  <c:v>1.6318485202118551</c:v>
                </c:pt>
                <c:pt idx="703">
                  <c:v>1.6340765173692726</c:v>
                </c:pt>
                <c:pt idx="704">
                  <c:v>1.6363043612685928</c:v>
                </c:pt>
                <c:pt idx="705">
                  <c:v>1.6385320512714006</c:v>
                </c:pt>
                <c:pt idx="706">
                  <c:v>1.6407595867383953</c:v>
                </c:pt>
                <c:pt idx="707">
                  <c:v>1.6429869670293853</c:v>
                </c:pt>
                <c:pt idx="708">
                  <c:v>1.6452141915032841</c:v>
                </c:pt>
                <c:pt idx="709">
                  <c:v>1.6474412595181047</c:v>
                </c:pt>
                <c:pt idx="710">
                  <c:v>1.6496681704309555</c:v>
                </c:pt>
                <c:pt idx="711">
                  <c:v>1.6518949235980349</c:v>
                </c:pt>
                <c:pt idx="712">
                  <c:v>1.6541215183746267</c:v>
                </c:pt>
                <c:pt idx="713">
                  <c:v>1.6563479541150952</c:v>
                </c:pt>
                <c:pt idx="714">
                  <c:v>1.6585742301728803</c:v>
                </c:pt>
                <c:pt idx="715">
                  <c:v>1.6608003459004925</c:v>
                </c:pt>
                <c:pt idx="716">
                  <c:v>1.6630263006495083</c:v>
                </c:pt>
                <c:pt idx="717">
                  <c:v>1.6652520937705646</c:v>
                </c:pt>
                <c:pt idx="718">
                  <c:v>1.6674777246133545</c:v>
                </c:pt>
                <c:pt idx="719">
                  <c:v>1.6697031925266219</c:v>
                </c:pt>
                <c:pt idx="720">
                  <c:v>1.6719284968581563</c:v>
                </c:pt>
                <c:pt idx="721">
                  <c:v>1.6741536369547878</c:v>
                </c:pt>
                <c:pt idx="722">
                  <c:v>1.6763786121623827</c:v>
                </c:pt>
                <c:pt idx="723">
                  <c:v>1.6786034218258374</c:v>
                </c:pt>
                <c:pt idx="724">
                  <c:v>1.6808280652890739</c:v>
                </c:pt>
                <c:pt idx="725">
                  <c:v>1.6830525418950348</c:v>
                </c:pt>
                <c:pt idx="726">
                  <c:v>1.6852768509856779</c:v>
                </c:pt>
                <c:pt idx="727">
                  <c:v>1.6875009919019708</c:v>
                </c:pt>
                <c:pt idx="728">
                  <c:v>1.6897249639838858</c:v>
                </c:pt>
                <c:pt idx="729">
                  <c:v>1.6919487665703954</c:v>
                </c:pt>
                <c:pt idx="730">
                  <c:v>1.6941723989994659</c:v>
                </c:pt>
                <c:pt idx="731">
                  <c:v>1.6963958606080529</c:v>
                </c:pt>
                <c:pt idx="732">
                  <c:v>1.698619150732096</c:v>
                </c:pt>
                <c:pt idx="733">
                  <c:v>1.700842268706513</c:v>
                </c:pt>
                <c:pt idx="734">
                  <c:v>1.7030652138651949</c:v>
                </c:pt>
                <c:pt idx="735">
                  <c:v>1.7052879855410008</c:v>
                </c:pt>
                <c:pt idx="736">
                  <c:v>1.707510583065752</c:v>
                </c:pt>
                <c:pt idx="737">
                  <c:v>1.7097580126887582</c:v>
                </c:pt>
                <c:pt idx="738">
                  <c:v>1.7120078517059847</c:v>
                </c:pt>
                <c:pt idx="739">
                  <c:v>1.7142601207909929</c:v>
                </c:pt>
                <c:pt idx="740">
                  <c:v>1.7165148405004058</c:v>
                </c:pt>
                <c:pt idx="741">
                  <c:v>1.71877203128009</c:v>
                </c:pt>
                <c:pt idx="742">
                  <c:v>1.7210317134711541</c:v>
                </c:pt>
                <c:pt idx="743">
                  <c:v>1.7232939073157729</c:v>
                </c:pt>
                <c:pt idx="744">
                  <c:v>1.7255586329628418</c:v>
                </c:pt>
                <c:pt idx="745">
                  <c:v>1.727825910473469</c:v>
                </c:pt>
                <c:pt idx="746">
                  <c:v>1.7300957598263109</c:v>
                </c:pt>
                <c:pt idx="747">
                  <c:v>1.7323682009227555</c:v>
                </c:pt>
                <c:pt idx="748">
                  <c:v>1.7346432535919605</c:v>
                </c:pt>
                <c:pt idx="749">
                  <c:v>1.7369209375957511</c:v>
                </c:pt>
                <c:pt idx="750">
                  <c:v>1.7392012726333814</c:v>
                </c:pt>
                <c:pt idx="751">
                  <c:v>1.7414842783461659</c:v>
                </c:pt>
                <c:pt idx="752">
                  <c:v>1.7437699743219846</c:v>
                </c:pt>
                <c:pt idx="753">
                  <c:v>1.7460583800996659</c:v>
                </c:pt>
                <c:pt idx="754">
                  <c:v>1.7483495151732535</c:v>
                </c:pt>
                <c:pt idx="755">
                  <c:v>1.7506433989961594</c:v>
                </c:pt>
                <c:pt idx="756">
                  <c:v>1.752940050985208</c:v>
                </c:pt>
                <c:pt idx="757">
                  <c:v>1.7552394905245747</c:v>
                </c:pt>
                <c:pt idx="758">
                  <c:v>1.7575417369696233</c:v>
                </c:pt>
                <c:pt idx="759">
                  <c:v>1.7598468096506461</c:v>
                </c:pt>
                <c:pt idx="760">
                  <c:v>1.7621547278765075</c:v>
                </c:pt>
                <c:pt idx="761">
                  <c:v>1.764465510938199</c:v>
                </c:pt>
                <c:pt idx="762">
                  <c:v>1.7667791781123046</c:v>
                </c:pt>
                <c:pt idx="763">
                  <c:v>1.7690957486643819</c:v>
                </c:pt>
                <c:pt idx="764">
                  <c:v>1.7714152418522615</c:v>
                </c:pt>
                <c:pt idx="765">
                  <c:v>1.7737376769292672</c:v>
                </c:pt>
                <c:pt idx="766">
                  <c:v>1.7760630731473601</c:v>
                </c:pt>
                <c:pt idx="767">
                  <c:v>1.7783914497602096</c:v>
                </c:pt>
                <c:pt idx="768">
                  <c:v>1.7807228260261925</c:v>
                </c:pt>
                <c:pt idx="769">
                  <c:v>1.7830572212113251</c:v>
                </c:pt>
                <c:pt idx="770">
                  <c:v>1.7853946545921286</c:v>
                </c:pt>
                <c:pt idx="771">
                  <c:v>1.7877351454584305</c:v>
                </c:pt>
                <c:pt idx="772">
                  <c:v>1.7900787131161056</c:v>
                </c:pt>
                <c:pt idx="773">
                  <c:v>1.7924253768897567</c:v>
                </c:pt>
                <c:pt idx="774">
                  <c:v>1.7947751561253398</c:v>
                </c:pt>
                <c:pt idx="775">
                  <c:v>1.7971280701927326</c:v>
                </c:pt>
                <c:pt idx="776">
                  <c:v>1.7994841384882507</c:v>
                </c:pt>
                <c:pt idx="777">
                  <c:v>1.801843380437113</c:v>
                </c:pt>
                <c:pt idx="778">
                  <c:v>1.8042058154958567</c:v>
                </c:pt>
                <c:pt idx="779">
                  <c:v>1.8065714631547061</c:v>
                </c:pt>
                <c:pt idx="780">
                  <c:v>1.8089403429398945</c:v>
                </c:pt>
                <c:pt idx="781">
                  <c:v>1.8113124744159426</c:v>
                </c:pt>
                <c:pt idx="782">
                  <c:v>1.8136878771878939</c:v>
                </c:pt>
                <c:pt idx="783">
                  <c:v>1.81606657090351</c:v>
                </c:pt>
                <c:pt idx="784">
                  <c:v>1.8184485752554245</c:v>
                </c:pt>
                <c:pt idx="785">
                  <c:v>1.8208339099832618</c:v>
                </c:pt>
                <c:pt idx="786">
                  <c:v>1.8232225948757161</c:v>
                </c:pt>
                <c:pt idx="787">
                  <c:v>1.8256146497725982</c:v>
                </c:pt>
                <c:pt idx="788">
                  <c:v>1.828010094566846</c:v>
                </c:pt>
                <c:pt idx="789">
                  <c:v>1.8304089492065037</c:v>
                </c:pt>
                <c:pt idx="790">
                  <c:v>1.8328112336966693</c:v>
                </c:pt>
                <c:pt idx="791">
                  <c:v>1.8352169681014125</c:v>
                </c:pt>
                <c:pt idx="792">
                  <c:v>1.8376261725456622</c:v>
                </c:pt>
                <c:pt idx="793">
                  <c:v>1.8400388672170673</c:v>
                </c:pt>
                <c:pt idx="794">
                  <c:v>1.8424550723678315</c:v>
                </c:pt>
                <c:pt idx="795">
                  <c:v>1.8448748083165198</c:v>
                </c:pt>
                <c:pt idx="796">
                  <c:v>1.8472980954498437</c:v>
                </c:pt>
                <c:pt idx="797">
                  <c:v>1.8497249542244194</c:v>
                </c:pt>
                <c:pt idx="798">
                  <c:v>1.8521554051685063</c:v>
                </c:pt>
                <c:pt idx="799">
                  <c:v>1.8545894688837221</c:v>
                </c:pt>
                <c:pt idx="800">
                  <c:v>1.857027166046737</c:v>
                </c:pt>
                <c:pt idx="801">
                  <c:v>1.8594685174109493</c:v>
                </c:pt>
                <c:pt idx="802">
                  <c:v>1.8619135438081404</c:v>
                </c:pt>
                <c:pt idx="803">
                  <c:v>1.8643622661501129</c:v>
                </c:pt>
                <c:pt idx="804">
                  <c:v>1.8668147054303101</c:v>
                </c:pt>
                <c:pt idx="805">
                  <c:v>1.8692708827254203</c:v>
                </c:pt>
                <c:pt idx="806">
                  <c:v>1.8717308191969635</c:v>
                </c:pt>
                <c:pt idx="807">
                  <c:v>1.8741945360928651</c:v>
                </c:pt>
                <c:pt idx="808">
                  <c:v>1.8766620547490134</c:v>
                </c:pt>
                <c:pt idx="809">
                  <c:v>1.8791333965908046</c:v>
                </c:pt>
                <c:pt idx="810">
                  <c:v>1.8816085831346741</c:v>
                </c:pt>
                <c:pt idx="811">
                  <c:v>1.8840876359896164</c:v>
                </c:pt>
                <c:pt idx="812">
                  <c:v>1.8865705768586922</c:v>
                </c:pt>
                <c:pt idx="813">
                  <c:v>1.8890574275405256</c:v>
                </c:pt>
                <c:pt idx="814">
                  <c:v>1.8915482099307901</c:v>
                </c:pt>
                <c:pt idx="815">
                  <c:v>1.8940429460236852</c:v>
                </c:pt>
                <c:pt idx="816">
                  <c:v>1.8965416579134038</c:v>
                </c:pt>
                <c:pt idx="817">
                  <c:v>1.899044367795591</c:v>
                </c:pt>
                <c:pt idx="818">
                  <c:v>1.9015510979687946</c:v>
                </c:pt>
                <c:pt idx="819">
                  <c:v>1.9040618708359076</c:v>
                </c:pt>
                <c:pt idx="820">
                  <c:v>1.9065767089056052</c:v>
                </c:pt>
                <c:pt idx="821">
                  <c:v>1.9090956347937731</c:v>
                </c:pt>
                <c:pt idx="822">
                  <c:v>1.9116186712249323</c:v>
                </c:pt>
                <c:pt idx="823">
                  <c:v>1.9141458410336565</c:v>
                </c:pt>
                <c:pt idx="824">
                  <c:v>1.9166771671659846</c:v>
                </c:pt>
                <c:pt idx="825">
                  <c:v>1.9192126726808296</c:v>
                </c:pt>
                <c:pt idx="826">
                  <c:v>1.9217523807513825</c:v>
                </c:pt>
                <c:pt idx="827">
                  <c:v>1.9242963146665135</c:v>
                </c:pt>
                <c:pt idx="828">
                  <c:v>1.9268444978321682</c:v>
                </c:pt>
                <c:pt idx="829">
                  <c:v>1.9293969537727631</c:v>
                </c:pt>
                <c:pt idx="830">
                  <c:v>1.9319537061325769</c:v>
                </c:pt>
                <c:pt idx="831">
                  <c:v>1.9345147786771411</c:v>
                </c:pt>
                <c:pt idx="832">
                  <c:v>1.9370801952946277</c:v>
                </c:pt>
                <c:pt idx="833">
                  <c:v>1.9396499799972373</c:v>
                </c:pt>
                <c:pt idx="834">
                  <c:v>1.9422241569225847</c:v>
                </c:pt>
                <c:pt idx="835">
                  <c:v>1.9439906938054712</c:v>
                </c:pt>
                <c:pt idx="836">
                  <c:v>1.9457572306883577</c:v>
                </c:pt>
                <c:pt idx="837">
                  <c:v>1.9475237675712442</c:v>
                </c:pt>
                <c:pt idx="838">
                  <c:v>1.9492903044541308</c:v>
                </c:pt>
                <c:pt idx="839">
                  <c:v>1.9510568413370173</c:v>
                </c:pt>
                <c:pt idx="840">
                  <c:v>1.9528233782199038</c:v>
                </c:pt>
                <c:pt idx="841">
                  <c:v>1.9545899151027903</c:v>
                </c:pt>
                <c:pt idx="842">
                  <c:v>1.9563564519856769</c:v>
                </c:pt>
                <c:pt idx="843">
                  <c:v>1.9581229888685634</c:v>
                </c:pt>
                <c:pt idx="844">
                  <c:v>1.9598895257514499</c:v>
                </c:pt>
                <c:pt idx="845">
                  <c:v>1.9616560626343365</c:v>
                </c:pt>
                <c:pt idx="846">
                  <c:v>1.963422599517223</c:v>
                </c:pt>
                <c:pt idx="847">
                  <c:v>1.9651891364001095</c:v>
                </c:pt>
                <c:pt idx="848">
                  <c:v>1.966955673282996</c:v>
                </c:pt>
                <c:pt idx="849">
                  <c:v>1.9687222101658826</c:v>
                </c:pt>
                <c:pt idx="850">
                  <c:v>1.9704887470487691</c:v>
                </c:pt>
                <c:pt idx="851">
                  <c:v>1.9722552839316556</c:v>
                </c:pt>
                <c:pt idx="852">
                  <c:v>1.9740218208145421</c:v>
                </c:pt>
                <c:pt idx="853">
                  <c:v>1.9757883576974287</c:v>
                </c:pt>
                <c:pt idx="854">
                  <c:v>1.9775548945803152</c:v>
                </c:pt>
                <c:pt idx="855">
                  <c:v>1.9793214314632017</c:v>
                </c:pt>
                <c:pt idx="856">
                  <c:v>1.9810879683460882</c:v>
                </c:pt>
                <c:pt idx="857">
                  <c:v>1.9828545052289748</c:v>
                </c:pt>
                <c:pt idx="858">
                  <c:v>1.9846210421118613</c:v>
                </c:pt>
                <c:pt idx="859">
                  <c:v>1.9863875789947478</c:v>
                </c:pt>
                <c:pt idx="860">
                  <c:v>1.9881541158776344</c:v>
                </c:pt>
                <c:pt idx="861">
                  <c:v>1.9899206527605209</c:v>
                </c:pt>
                <c:pt idx="862">
                  <c:v>1.9916871896434074</c:v>
                </c:pt>
                <c:pt idx="863">
                  <c:v>1.9934537265262939</c:v>
                </c:pt>
                <c:pt idx="864">
                  <c:v>1.9952202634091805</c:v>
                </c:pt>
                <c:pt idx="865">
                  <c:v>1.996986800292067</c:v>
                </c:pt>
                <c:pt idx="866">
                  <c:v>1.9987533371749535</c:v>
                </c:pt>
                <c:pt idx="867">
                  <c:v>2.00051987405784</c:v>
                </c:pt>
                <c:pt idx="868">
                  <c:v>2.0022864109407266</c:v>
                </c:pt>
                <c:pt idx="869">
                  <c:v>2.0040529478236131</c:v>
                </c:pt>
                <c:pt idx="870">
                  <c:v>2.0058194847064996</c:v>
                </c:pt>
                <c:pt idx="871">
                  <c:v>2.0075860215893861</c:v>
                </c:pt>
                <c:pt idx="872">
                  <c:v>2.0093525584722727</c:v>
                </c:pt>
                <c:pt idx="873">
                  <c:v>2.0111190953551592</c:v>
                </c:pt>
                <c:pt idx="874">
                  <c:v>2.0128856322380457</c:v>
                </c:pt>
                <c:pt idx="875">
                  <c:v>2.0146521691209323</c:v>
                </c:pt>
                <c:pt idx="876">
                  <c:v>2.0164187060038188</c:v>
                </c:pt>
                <c:pt idx="877">
                  <c:v>2.0181852428867053</c:v>
                </c:pt>
                <c:pt idx="878">
                  <c:v>2.0199517797695918</c:v>
                </c:pt>
                <c:pt idx="879">
                  <c:v>2.0217183166524784</c:v>
                </c:pt>
                <c:pt idx="880">
                  <c:v>2.0234848535353649</c:v>
                </c:pt>
                <c:pt idx="881">
                  <c:v>2.0252513904182514</c:v>
                </c:pt>
                <c:pt idx="882">
                  <c:v>2.0270179273011379</c:v>
                </c:pt>
              </c:numCache>
            </c:numRef>
          </c:xVal>
          <c:yVal>
            <c:numRef>
              <c:f>Performance!$K$28:$K$910</c:f>
              <c:numCache>
                <c:formatCode>0</c:formatCode>
                <c:ptCount val="883"/>
                <c:pt idx="0" formatCode="General">
                  <c:v>0</c:v>
                </c:pt>
                <c:pt idx="1">
                  <c:v>118.84647417828852</c:v>
                </c:pt>
                <c:pt idx="2">
                  <c:v>168.29262189803282</c:v>
                </c:pt>
                <c:pt idx="3">
                  <c:v>188.48266213447246</c:v>
                </c:pt>
                <c:pt idx="4">
                  <c:v>204.80849723037915</c:v>
                </c:pt>
                <c:pt idx="5">
                  <c:v>218.22656810487635</c:v>
                </c:pt>
                <c:pt idx="6">
                  <c:v>229.39077349404425</c:v>
                </c:pt>
                <c:pt idx="7">
                  <c:v>238.7721655563723</c:v>
                </c:pt>
                <c:pt idx="8">
                  <c:v>246.72243148584647</c:v>
                </c:pt>
                <c:pt idx="9">
                  <c:v>253.51101239259512</c:v>
                </c:pt>
                <c:pt idx="10">
                  <c:v>259.34838236317364</c:v>
                </c:pt>
                <c:pt idx="11">
                  <c:v>264.40143922029557</c:v>
                </c:pt>
                <c:pt idx="12">
                  <c:v>268.80410718991271</c:v>
                </c:pt>
                <c:pt idx="13">
                  <c:v>272.66488478812516</c:v>
                </c:pt>
                <c:pt idx="14">
                  <c:v>276.07236329596691</c:v>
                </c:pt>
                <c:pt idx="15">
                  <c:v>279.09935109824443</c:v>
                </c:pt>
                <c:pt idx="16">
                  <c:v>281.8060129864694</c:v>
                </c:pt>
                <c:pt idx="17">
                  <c:v>284.24229666465845</c:v>
                </c:pt>
                <c:pt idx="18">
                  <c:v>286.44983281239286</c:v>
                </c:pt>
                <c:pt idx="19">
                  <c:v>288.46343943756841</c:v>
                </c:pt>
                <c:pt idx="20">
                  <c:v>290.31232422612601</c:v>
                </c:pt>
                <c:pt idx="21">
                  <c:v>292.02105333748005</c:v>
                </c:pt>
                <c:pt idx="22">
                  <c:v>293.61033749282615</c:v>
                </c:pt>
                <c:pt idx="23">
                  <c:v>295.09767368982153</c:v>
                </c:pt>
                <c:pt idx="24">
                  <c:v>296.49787183011631</c:v>
                </c:pt>
                <c:pt idx="25">
                  <c:v>297.82348889636398</c:v>
                </c:pt>
                <c:pt idx="26">
                  <c:v>299.08518836060807</c:v>
                </c:pt>
                <c:pt idx="27">
                  <c:v>300.29203876444365</c:v>
                </c:pt>
                <c:pt idx="28">
                  <c:v>301.45176255220446</c:v>
                </c:pt>
                <c:pt idx="29">
                  <c:v>302.57094403177723</c:v>
                </c:pt>
                <c:pt idx="30">
                  <c:v>303.65520361612477</c:v>
                </c:pt>
                <c:pt idx="31">
                  <c:v>304.70934414568575</c:v>
                </c:pt>
                <c:pt idx="32">
                  <c:v>305.73747401873459</c:v>
                </c:pt>
                <c:pt idx="33">
                  <c:v>306.7431110004311</c:v>
                </c:pt>
                <c:pt idx="34">
                  <c:v>307.72926989284508</c:v>
                </c:pt>
                <c:pt idx="35">
                  <c:v>308.69853669258407</c:v>
                </c:pt>
                <c:pt idx="36">
                  <c:v>309.65313141050649</c:v>
                </c:pt>
                <c:pt idx="37">
                  <c:v>310.59496136025052</c:v>
                </c:pt>
                <c:pt idx="38">
                  <c:v>311.5256664187504</c:v>
                </c:pt>
                <c:pt idx="39">
                  <c:v>312.4466575152581</c:v>
                </c:pt>
                <c:pt idx="40">
                  <c:v>313.35914939848385</c:v>
                </c:pt>
                <c:pt idx="41">
                  <c:v>314.2641885634643</c:v>
                </c:pt>
                <c:pt idx="42">
                  <c:v>315.16267707689548</c:v>
                </c:pt>
                <c:pt idx="43">
                  <c:v>316.0553929240678</c:v>
                </c:pt>
                <c:pt idx="44">
                  <c:v>316.94300740127329</c:v>
                </c:pt>
                <c:pt idx="45">
                  <c:v>317.82609999661946</c:v>
                </c:pt>
                <c:pt idx="46">
                  <c:v>318.70517113301918</c:v>
                </c:pt>
                <c:pt idx="47">
                  <c:v>319.58065309013506</c:v>
                </c:pt>
                <c:pt idx="48">
                  <c:v>320.45291937310077</c:v>
                </c:pt>
                <c:pt idx="49">
                  <c:v>321.32229275548644</c:v>
                </c:pt>
                <c:pt idx="50">
                  <c:v>322.18905218996389</c:v>
                </c:pt>
                <c:pt idx="51">
                  <c:v>323.05343875001199</c:v>
                </c:pt>
                <c:pt idx="52">
                  <c:v>323.91566074331905</c:v>
                </c:pt>
                <c:pt idx="53">
                  <c:v>324.77589811493459</c:v>
                </c:pt>
                <c:pt idx="54">
                  <c:v>325.63430624186128</c:v>
                </c:pt>
                <c:pt idx="55">
                  <c:v>326.49101920580875</c:v>
                </c:pt>
                <c:pt idx="56">
                  <c:v>327.34615261744597</c:v>
                </c:pt>
                <c:pt idx="57">
                  <c:v>328.19980605596277</c:v>
                </c:pt>
                <c:pt idx="58">
                  <c:v>329.0520651768619</c:v>
                </c:pt>
                <c:pt idx="59">
                  <c:v>329.90300353544637</c:v>
                </c:pt>
                <c:pt idx="60">
                  <c:v>330.75268416470755</c:v>
                </c:pt>
                <c:pt idx="61">
                  <c:v>331.60116094170485</c:v>
                </c:pt>
                <c:pt idx="62">
                  <c:v>332.44847977183622</c:v>
                </c:pt>
                <c:pt idx="63">
                  <c:v>333.29467961569469</c:v>
                </c:pt>
                <c:pt idx="64">
                  <c:v>334.139793380198</c:v>
                </c:pt>
                <c:pt idx="65">
                  <c:v>334.98384869226544</c:v>
                </c:pt>
                <c:pt idx="66">
                  <c:v>335.82686857095723</c:v>
                </c:pt>
                <c:pt idx="67">
                  <c:v>336.66887201221982</c:v>
                </c:pt>
                <c:pt idx="68">
                  <c:v>337.50987449703661</c:v>
                </c:pt>
                <c:pt idx="69">
                  <c:v>338.36286024499145</c:v>
                </c:pt>
                <c:pt idx="70">
                  <c:v>339.21531380812081</c:v>
                </c:pt>
                <c:pt idx="71">
                  <c:v>340.06664285165482</c:v>
                </c:pt>
                <c:pt idx="72">
                  <c:v>340.91685367724199</c:v>
                </c:pt>
                <c:pt idx="73">
                  <c:v>341.76595074754857</c:v>
                </c:pt>
                <c:pt idx="74">
                  <c:v>342.6139369142723</c:v>
                </c:pt>
                <c:pt idx="75">
                  <c:v>343.46081361774975</c:v>
                </c:pt>
                <c:pt idx="76">
                  <c:v>344.30658106109144</c:v>
                </c:pt>
                <c:pt idx="77">
                  <c:v>345.15123836254577</c:v>
                </c:pt>
                <c:pt idx="78">
                  <c:v>345.99478368900986</c:v>
                </c:pt>
                <c:pt idx="79">
                  <c:v>346.83721437274738</c:v>
                </c:pt>
                <c:pt idx="80">
                  <c:v>347.67852701361545</c:v>
                </c:pt>
                <c:pt idx="81">
                  <c:v>348.51871756885544</c:v>
                </c:pt>
                <c:pt idx="82">
                  <c:v>349.35778143166931</c:v>
                </c:pt>
                <c:pt idx="83">
                  <c:v>350.19571350042918</c:v>
                </c:pt>
                <c:pt idx="84">
                  <c:v>351.0325082390994</c:v>
                </c:pt>
                <c:pt idx="85">
                  <c:v>351.86815973054189</c:v>
                </c:pt>
                <c:pt idx="86">
                  <c:v>352.70266172335943</c:v>
                </c:pt>
                <c:pt idx="87">
                  <c:v>353.53600767324269</c:v>
                </c:pt>
                <c:pt idx="88">
                  <c:v>354.36819077887441</c:v>
                </c:pt>
                <c:pt idx="89">
                  <c:v>355.19920401419432</c:v>
                </c:pt>
                <c:pt idx="90">
                  <c:v>356.02904015620754</c:v>
                </c:pt>
                <c:pt idx="91">
                  <c:v>356.85769181007481</c:v>
                </c:pt>
                <c:pt idx="92">
                  <c:v>357.68515143076132</c:v>
                </c:pt>
                <c:pt idx="93">
                  <c:v>358.51141134242857</c:v>
                </c:pt>
                <c:pt idx="94">
                  <c:v>359.33646375545368</c:v>
                </c:pt>
                <c:pt idx="95">
                  <c:v>360.16030078148924</c:v>
                </c:pt>
                <c:pt idx="96">
                  <c:v>360.98291444675158</c:v>
                </c:pt>
                <c:pt idx="97">
                  <c:v>361.80429670383114</c:v>
                </c:pt>
                <c:pt idx="98">
                  <c:v>362.62443944210804</c:v>
                </c:pt>
                <c:pt idx="99">
                  <c:v>363.44333449692982</c:v>
                </c:pt>
                <c:pt idx="100">
                  <c:v>364.26097365783249</c:v>
                </c:pt>
                <c:pt idx="101">
                  <c:v>365.0773486757401</c:v>
                </c:pt>
                <c:pt idx="102">
                  <c:v>365.89245126947878</c:v>
                </c:pt>
                <c:pt idx="103">
                  <c:v>366.70627313146684</c:v>
                </c:pt>
                <c:pt idx="104">
                  <c:v>367.51880593256993</c:v>
                </c:pt>
                <c:pt idx="105">
                  <c:v>368.33004132695515</c:v>
                </c:pt>
                <c:pt idx="106">
                  <c:v>369.13997095581368</c:v>
                </c:pt>
                <c:pt idx="107">
                  <c:v>369.94858645108934</c:v>
                </c:pt>
                <c:pt idx="108">
                  <c:v>370.75587943851883</c:v>
                </c:pt>
                <c:pt idx="109">
                  <c:v>371.56184154056996</c:v>
                </c:pt>
                <c:pt idx="110">
                  <c:v>372.3664643788594</c:v>
                </c:pt>
                <c:pt idx="111">
                  <c:v>373.16973957651794</c:v>
                </c:pt>
                <c:pt idx="112">
                  <c:v>373.97165876005755</c:v>
                </c:pt>
                <c:pt idx="113">
                  <c:v>374.77221356130076</c:v>
                </c:pt>
                <c:pt idx="114">
                  <c:v>375.57139561884776</c:v>
                </c:pt>
                <c:pt idx="115">
                  <c:v>376.36919657960368</c:v>
                </c:pt>
                <c:pt idx="116">
                  <c:v>377.16560810003136</c:v>
                </c:pt>
                <c:pt idx="117">
                  <c:v>377.96062184730107</c:v>
                </c:pt>
                <c:pt idx="118">
                  <c:v>378.75422950033214</c:v>
                </c:pt>
                <c:pt idx="119">
                  <c:v>379.54642275067607</c:v>
                </c:pt>
                <c:pt idx="120">
                  <c:v>380.33719330336004</c:v>
                </c:pt>
                <c:pt idx="121">
                  <c:v>381.1265328777132</c:v>
                </c:pt>
                <c:pt idx="122">
                  <c:v>381.91443320793115</c:v>
                </c:pt>
                <c:pt idx="123">
                  <c:v>382.70088604375167</c:v>
                </c:pt>
                <c:pt idx="124">
                  <c:v>383.48588315095105</c:v>
                </c:pt>
                <c:pt idx="125">
                  <c:v>384.26941631187697</c:v>
                </c:pt>
                <c:pt idx="126">
                  <c:v>385.05147732584942</c:v>
                </c:pt>
                <c:pt idx="127">
                  <c:v>385.83205800967318</c:v>
                </c:pt>
                <c:pt idx="128">
                  <c:v>386.61115019784722</c:v>
                </c:pt>
                <c:pt idx="129">
                  <c:v>387.38874574301002</c:v>
                </c:pt>
                <c:pt idx="130">
                  <c:v>388.1648365162074</c:v>
                </c:pt>
                <c:pt idx="131">
                  <c:v>388.93941440716395</c:v>
                </c:pt>
                <c:pt idx="132">
                  <c:v>389.71247132452459</c:v>
                </c:pt>
                <c:pt idx="133">
                  <c:v>390.48399919612524</c:v>
                </c:pt>
                <c:pt idx="134">
                  <c:v>391.2539899691385</c:v>
                </c:pt>
                <c:pt idx="135">
                  <c:v>392.02243561033299</c:v>
                </c:pt>
                <c:pt idx="136">
                  <c:v>392.78932810618085</c:v>
                </c:pt>
                <c:pt idx="137">
                  <c:v>393.55465946305208</c:v>
                </c:pt>
                <c:pt idx="138">
                  <c:v>394.31842170737048</c:v>
                </c:pt>
                <c:pt idx="139">
                  <c:v>395.08060688581514</c:v>
                </c:pt>
                <c:pt idx="140">
                  <c:v>395.84120706526676</c:v>
                </c:pt>
                <c:pt idx="141">
                  <c:v>396.600214333103</c:v>
                </c:pt>
                <c:pt idx="142">
                  <c:v>397.35762079719177</c:v>
                </c:pt>
                <c:pt idx="143">
                  <c:v>398.11341858608648</c:v>
                </c:pt>
                <c:pt idx="144">
                  <c:v>398.86759984904245</c:v>
                </c:pt>
                <c:pt idx="145">
                  <c:v>399.62015675620091</c:v>
                </c:pt>
                <c:pt idx="146">
                  <c:v>400.37108149850314</c:v>
                </c:pt>
                <c:pt idx="147">
                  <c:v>401.12036628794783</c:v>
                </c:pt>
                <c:pt idx="148">
                  <c:v>401.86800335757692</c:v>
                </c:pt>
                <c:pt idx="149">
                  <c:v>402.61398496156835</c:v>
                </c:pt>
                <c:pt idx="150">
                  <c:v>403.35830337522498</c:v>
                </c:pt>
                <c:pt idx="151">
                  <c:v>404.10095089522764</c:v>
                </c:pt>
                <c:pt idx="152">
                  <c:v>404.84191983945095</c:v>
                </c:pt>
                <c:pt idx="153">
                  <c:v>405.58120254716943</c:v>
                </c:pt>
                <c:pt idx="154">
                  <c:v>406.31879137914325</c:v>
                </c:pt>
                <c:pt idx="155">
                  <c:v>407.05467871747601</c:v>
                </c:pt>
                <c:pt idx="156">
                  <c:v>408.8033719196635</c:v>
                </c:pt>
                <c:pt idx="157">
                  <c:v>410.14574748627251</c:v>
                </c:pt>
                <c:pt idx="158">
                  <c:v>411.18957834503971</c:v>
                </c:pt>
                <c:pt idx="159">
                  <c:v>412.01387298503886</c:v>
                </c:pt>
                <c:pt idx="160">
                  <c:v>412.67657359428227</c:v>
                </c:pt>
                <c:pt idx="161">
                  <c:v>413.22019371457242</c:v>
                </c:pt>
                <c:pt idx="162">
                  <c:v>413.67594450462093</c:v>
                </c:pt>
                <c:pt idx="163">
                  <c:v>414.06675420078466</c:v>
                </c:pt>
                <c:pt idx="164">
                  <c:v>414.40947783384621</c:v>
                </c:pt>
                <c:pt idx="165">
                  <c:v>414.71651480789575</c:v>
                </c:pt>
                <c:pt idx="166">
                  <c:v>414.9969935193476</c:v>
                </c:pt>
                <c:pt idx="167">
                  <c:v>415.25763936038499</c:v>
                </c:pt>
                <c:pt idx="168">
                  <c:v>415.50341111316021</c:v>
                </c:pt>
                <c:pt idx="169">
                  <c:v>415.73796784227289</c:v>
                </c:pt>
                <c:pt idx="170">
                  <c:v>415.96401167003603</c:v>
                </c:pt>
                <c:pt idx="171">
                  <c:v>416.1835396115797</c:v>
                </c:pt>
                <c:pt idx="172">
                  <c:v>416.3980287343644</c:v>
                </c:pt>
                <c:pt idx="173">
                  <c:v>416.60857239774714</c:v>
                </c:pt>
                <c:pt idx="174">
                  <c:v>416.81598057418864</c:v>
                </c:pt>
                <c:pt idx="175">
                  <c:v>417.02085377858589</c:v>
                </c:pt>
                <c:pt idx="176">
                  <c:v>417.22363759069282</c:v>
                </c:pt>
                <c:pt idx="177">
                  <c:v>417.42466289644676</c:v>
                </c:pt>
                <c:pt idx="178">
                  <c:v>417.62417561160527</c:v>
                </c:pt>
                <c:pt idx="179">
                  <c:v>417.8223586538162</c:v>
                </c:pt>
                <c:pt idx="180">
                  <c:v>418.01934819713961</c:v>
                </c:pt>
                <c:pt idx="181">
                  <c:v>418.21524570587081</c:v>
                </c:pt>
                <c:pt idx="182">
                  <c:v>418.41012685093887</c:v>
                </c:pt>
                <c:pt idx="183">
                  <c:v>418.60404812091252</c:v>
                </c:pt>
                <c:pt idx="184">
                  <c:v>418.79705172799339</c:v>
                </c:pt>
                <c:pt idx="185">
                  <c:v>418.98916925108551</c:v>
                </c:pt>
                <c:pt idx="186">
                  <c:v>419.18042434318704</c:v>
                </c:pt>
                <c:pt idx="187">
                  <c:v>419.37083474513787</c:v>
                </c:pt>
                <c:pt idx="188">
                  <c:v>419.56041378433491</c:v>
                </c:pt>
                <c:pt idx="189">
                  <c:v>419.74917149088543</c:v>
                </c:pt>
                <c:pt idx="190">
                  <c:v>419.93711542995442</c:v>
                </c:pt>
                <c:pt idx="191">
                  <c:v>420.12425132221745</c:v>
                </c:pt>
                <c:pt idx="192">
                  <c:v>420.3105835073909</c:v>
                </c:pt>
                <c:pt idx="193">
                  <c:v>420.49611529024372</c:v>
                </c:pt>
                <c:pt idx="194">
                  <c:v>420.68084919944636</c:v>
                </c:pt>
                <c:pt idx="195">
                  <c:v>420.86478718118508</c:v>
                </c:pt>
                <c:pt idx="196">
                  <c:v>421.04793074395076</c:v>
                </c:pt>
                <c:pt idx="197">
                  <c:v>421.23028106731311</c:v>
                </c:pt>
                <c:pt idx="198">
                  <c:v>421.41183908323256</c:v>
                </c:pt>
                <c:pt idx="199">
                  <c:v>421.59260553717132</c:v>
                </c:pt>
                <c:pt idx="200">
                  <c:v>421.77258103395121</c:v>
                </c:pt>
                <c:pt idx="201">
                  <c:v>421.9517660721782</c:v>
                </c:pt>
                <c:pt idx="202">
                  <c:v>422.13016107025697</c:v>
                </c:pt>
                <c:pt idx="203">
                  <c:v>422.30776638573434</c:v>
                </c:pt>
                <c:pt idx="204">
                  <c:v>422.48458233015316</c:v>
                </c:pt>
                <c:pt idx="205">
                  <c:v>422.6606091798763</c:v>
                </c:pt>
                <c:pt idx="206">
                  <c:v>422.83584718470541</c:v>
                </c:pt>
                <c:pt idx="207">
                  <c:v>423.01029657394554</c:v>
                </c:pt>
                <c:pt idx="208">
                  <c:v>423.18395756128945</c:v>
                </c:pt>
                <c:pt idx="209">
                  <c:v>423.35683034833335</c:v>
                </c:pt>
                <c:pt idx="210">
                  <c:v>423.52891512731196</c:v>
                </c:pt>
                <c:pt idx="211">
                  <c:v>423.70021208324181</c:v>
                </c:pt>
                <c:pt idx="212">
                  <c:v>423.87072139526975</c:v>
                </c:pt>
                <c:pt idx="213">
                  <c:v>424.04044323804754</c:v>
                </c:pt>
                <c:pt idx="214">
                  <c:v>424.20937778255711</c:v>
                </c:pt>
                <c:pt idx="215">
                  <c:v>424.37752519674922</c:v>
                </c:pt>
                <c:pt idx="216">
                  <c:v>424.54488564615286</c:v>
                </c:pt>
                <c:pt idx="217">
                  <c:v>424.71145929418498</c:v>
                </c:pt>
                <c:pt idx="218">
                  <c:v>424.87724630240723</c:v>
                </c:pt>
                <c:pt idx="219">
                  <c:v>425.04224683093742</c:v>
                </c:pt>
                <c:pt idx="220">
                  <c:v>425.20646103842626</c:v>
                </c:pt>
                <c:pt idx="221">
                  <c:v>425.36988908229313</c:v>
                </c:pt>
                <c:pt idx="222">
                  <c:v>425.53253111881764</c:v>
                </c:pt>
                <c:pt idx="223">
                  <c:v>425.69438730316989</c:v>
                </c:pt>
                <c:pt idx="224">
                  <c:v>425.85545778954656</c:v>
                </c:pt>
                <c:pt idx="225">
                  <c:v>426.01574273113016</c:v>
                </c:pt>
                <c:pt idx="226">
                  <c:v>426.17524228019766</c:v>
                </c:pt>
                <c:pt idx="227">
                  <c:v>426.33395658809252</c:v>
                </c:pt>
                <c:pt idx="228">
                  <c:v>426.49188580530443</c:v>
                </c:pt>
                <c:pt idx="229">
                  <c:v>426.64903008147269</c:v>
                </c:pt>
                <c:pt idx="230">
                  <c:v>426.80538956528028</c:v>
                </c:pt>
                <c:pt idx="231">
                  <c:v>426.9609644046638</c:v>
                </c:pt>
                <c:pt idx="232">
                  <c:v>427.11575474667836</c:v>
                </c:pt>
                <c:pt idx="233">
                  <c:v>427.26976073757106</c:v>
                </c:pt>
                <c:pt idx="234">
                  <c:v>427.42298252274168</c:v>
                </c:pt>
                <c:pt idx="235">
                  <c:v>427.57542024678662</c:v>
                </c:pt>
                <c:pt idx="236">
                  <c:v>427.72707405346773</c:v>
                </c:pt>
                <c:pt idx="237">
                  <c:v>427.87794408577031</c:v>
                </c:pt>
                <c:pt idx="238">
                  <c:v>428.02803048582257</c:v>
                </c:pt>
                <c:pt idx="239">
                  <c:v>428.17733339499796</c:v>
                </c:pt>
                <c:pt idx="240">
                  <c:v>428.32585295379243</c:v>
                </c:pt>
                <c:pt idx="241">
                  <c:v>428.47358930195855</c:v>
                </c:pt>
                <c:pt idx="242">
                  <c:v>428.62054257843351</c:v>
                </c:pt>
                <c:pt idx="243">
                  <c:v>428.76671292135842</c:v>
                </c:pt>
                <c:pt idx="244">
                  <c:v>428.91210046806532</c:v>
                </c:pt>
                <c:pt idx="245">
                  <c:v>429.05670535508847</c:v>
                </c:pt>
                <c:pt idx="246">
                  <c:v>429.20052771817205</c:v>
                </c:pt>
                <c:pt idx="247">
                  <c:v>429.34356769230436</c:v>
                </c:pt>
                <c:pt idx="248">
                  <c:v>429.48582541161409</c:v>
                </c:pt>
                <c:pt idx="249">
                  <c:v>429.6273010094946</c:v>
                </c:pt>
                <c:pt idx="250">
                  <c:v>429.76799461854273</c:v>
                </c:pt>
                <c:pt idx="251">
                  <c:v>429.90790637053067</c:v>
                </c:pt>
                <c:pt idx="252">
                  <c:v>430.04703639647914</c:v>
                </c:pt>
                <c:pt idx="253">
                  <c:v>430.18538482664042</c:v>
                </c:pt>
                <c:pt idx="254">
                  <c:v>430.32295179044155</c:v>
                </c:pt>
                <c:pt idx="255">
                  <c:v>430.45973741656644</c:v>
                </c:pt>
                <c:pt idx="256">
                  <c:v>430.59574183292159</c:v>
                </c:pt>
                <c:pt idx="257">
                  <c:v>430.73096516656136</c:v>
                </c:pt>
                <c:pt idx="258">
                  <c:v>430.86540754385788</c:v>
                </c:pt>
                <c:pt idx="259">
                  <c:v>430.99906909038657</c:v>
                </c:pt>
                <c:pt idx="260">
                  <c:v>431.13194993089485</c:v>
                </c:pt>
                <c:pt idx="261">
                  <c:v>431.26405018941705</c:v>
                </c:pt>
                <c:pt idx="262">
                  <c:v>431.3953699891627</c:v>
                </c:pt>
                <c:pt idx="263">
                  <c:v>431.52590945265081</c:v>
                </c:pt>
                <c:pt idx="264">
                  <c:v>431.65566870152685</c:v>
                </c:pt>
                <c:pt idx="265">
                  <c:v>431.78464785676056</c:v>
                </c:pt>
                <c:pt idx="266">
                  <c:v>431.91284703849561</c:v>
                </c:pt>
                <c:pt idx="267">
                  <c:v>432.04026636615117</c:v>
                </c:pt>
                <c:pt idx="268">
                  <c:v>432.16690595835894</c:v>
                </c:pt>
                <c:pt idx="269">
                  <c:v>432.29276593297385</c:v>
                </c:pt>
                <c:pt idx="270">
                  <c:v>432.41784640711529</c:v>
                </c:pt>
                <c:pt idx="271">
                  <c:v>432.54214749714538</c:v>
                </c:pt>
                <c:pt idx="272">
                  <c:v>432.66566931865452</c:v>
                </c:pt>
                <c:pt idx="273">
                  <c:v>432.78841198648058</c:v>
                </c:pt>
                <c:pt idx="274">
                  <c:v>432.91037561467476</c:v>
                </c:pt>
                <c:pt idx="275">
                  <c:v>433.03156031658011</c:v>
                </c:pt>
                <c:pt idx="276">
                  <c:v>433.15196620474512</c:v>
                </c:pt>
                <c:pt idx="277">
                  <c:v>433.27159339100723</c:v>
                </c:pt>
                <c:pt idx="278">
                  <c:v>433.39044198641847</c:v>
                </c:pt>
                <c:pt idx="279">
                  <c:v>433.50851210127735</c:v>
                </c:pt>
                <c:pt idx="280">
                  <c:v>433.62580384515388</c:v>
                </c:pt>
                <c:pt idx="281">
                  <c:v>433.74231732685405</c:v>
                </c:pt>
                <c:pt idx="282">
                  <c:v>433.85805265444958</c:v>
                </c:pt>
                <c:pt idx="283">
                  <c:v>433.97300993525783</c:v>
                </c:pt>
                <c:pt idx="284">
                  <c:v>434.08718927582635</c:v>
                </c:pt>
                <c:pt idx="285">
                  <c:v>434.20059078200279</c:v>
                </c:pt>
                <c:pt idx="286">
                  <c:v>434.31321455887024</c:v>
                </c:pt>
                <c:pt idx="287">
                  <c:v>434.4250607107636</c:v>
                </c:pt>
                <c:pt idx="288">
                  <c:v>434.53612934128665</c:v>
                </c:pt>
                <c:pt idx="289">
                  <c:v>434.64642055328727</c:v>
                </c:pt>
                <c:pt idx="290">
                  <c:v>434.75593444890717</c:v>
                </c:pt>
                <c:pt idx="291">
                  <c:v>434.86467112950936</c:v>
                </c:pt>
                <c:pt idx="292">
                  <c:v>434.97263069574836</c:v>
                </c:pt>
                <c:pt idx="293">
                  <c:v>435.07981324753069</c:v>
                </c:pt>
                <c:pt idx="294">
                  <c:v>435.18621888402993</c:v>
                </c:pt>
                <c:pt idx="295">
                  <c:v>435.29184770368101</c:v>
                </c:pt>
                <c:pt idx="296">
                  <c:v>435.39669980419984</c:v>
                </c:pt>
                <c:pt idx="297">
                  <c:v>435.50077528255497</c:v>
                </c:pt>
                <c:pt idx="298">
                  <c:v>435.60407423499595</c:v>
                </c:pt>
                <c:pt idx="299">
                  <c:v>435.70659675701796</c:v>
                </c:pt>
                <c:pt idx="300">
                  <c:v>435.80834294342549</c:v>
                </c:pt>
                <c:pt idx="301">
                  <c:v>435.90931288827289</c:v>
                </c:pt>
                <c:pt idx="302">
                  <c:v>436.00950668488633</c:v>
                </c:pt>
                <c:pt idx="303">
                  <c:v>436.10892442586322</c:v>
                </c:pt>
                <c:pt idx="304">
                  <c:v>436.20756620307628</c:v>
                </c:pt>
                <c:pt idx="305">
                  <c:v>436.30543210768667</c:v>
                </c:pt>
                <c:pt idx="306">
                  <c:v>436.40252223012214</c:v>
                </c:pt>
                <c:pt idx="307">
                  <c:v>436.49883666008077</c:v>
                </c:pt>
                <c:pt idx="308">
                  <c:v>436.59437548656678</c:v>
                </c:pt>
                <c:pt idx="309">
                  <c:v>436.68913879781235</c:v>
                </c:pt>
                <c:pt idx="310">
                  <c:v>436.78312668139671</c:v>
                </c:pt>
                <c:pt idx="311">
                  <c:v>436.87633922412414</c:v>
                </c:pt>
                <c:pt idx="312">
                  <c:v>436.96877651208928</c:v>
                </c:pt>
                <c:pt idx="313">
                  <c:v>437.06043863071397</c:v>
                </c:pt>
                <c:pt idx="314">
                  <c:v>437.15132566465104</c:v>
                </c:pt>
                <c:pt idx="315">
                  <c:v>437.24143769784331</c:v>
                </c:pt>
                <c:pt idx="316">
                  <c:v>437.33077481355724</c:v>
                </c:pt>
                <c:pt idx="317">
                  <c:v>437.41933709429901</c:v>
                </c:pt>
                <c:pt idx="318">
                  <c:v>437.50712462190046</c:v>
                </c:pt>
                <c:pt idx="319">
                  <c:v>437.59413747745236</c:v>
                </c:pt>
                <c:pt idx="320">
                  <c:v>437.68037574134956</c:v>
                </c:pt>
                <c:pt idx="321">
                  <c:v>437.76583949327807</c:v>
                </c:pt>
                <c:pt idx="322">
                  <c:v>437.85052881218252</c:v>
                </c:pt>
                <c:pt idx="323">
                  <c:v>437.93444377635535</c:v>
                </c:pt>
                <c:pt idx="324">
                  <c:v>438.01758446332366</c:v>
                </c:pt>
                <c:pt idx="325">
                  <c:v>438.09995094995037</c:v>
                </c:pt>
                <c:pt idx="326">
                  <c:v>438.18154331235348</c:v>
                </c:pt>
                <c:pt idx="327">
                  <c:v>438.26236162598218</c:v>
                </c:pt>
                <c:pt idx="328">
                  <c:v>438.34240596554895</c:v>
                </c:pt>
                <c:pt idx="329">
                  <c:v>438.42167640508467</c:v>
                </c:pt>
                <c:pt idx="330">
                  <c:v>438.50017301790075</c:v>
                </c:pt>
                <c:pt idx="331">
                  <c:v>438.57789587659727</c:v>
                </c:pt>
                <c:pt idx="332">
                  <c:v>438.65484505311144</c:v>
                </c:pt>
                <c:pt idx="333">
                  <c:v>438.73102061863091</c:v>
                </c:pt>
                <c:pt idx="334">
                  <c:v>438.80642264368521</c:v>
                </c:pt>
                <c:pt idx="335">
                  <c:v>438.88105119805596</c:v>
                </c:pt>
                <c:pt idx="336">
                  <c:v>438.95490635086759</c:v>
                </c:pt>
                <c:pt idx="337">
                  <c:v>439.02798817053008</c:v>
                </c:pt>
                <c:pt idx="338">
                  <c:v>439.10029672474406</c:v>
                </c:pt>
                <c:pt idx="339">
                  <c:v>439.17183208053791</c:v>
                </c:pt>
                <c:pt idx="340">
                  <c:v>439.2425943042083</c:v>
                </c:pt>
                <c:pt idx="341">
                  <c:v>439.31258346137906</c:v>
                </c:pt>
                <c:pt idx="342">
                  <c:v>439.38179961699331</c:v>
                </c:pt>
                <c:pt idx="343">
                  <c:v>439.45024283525328</c:v>
                </c:pt>
                <c:pt idx="344">
                  <c:v>439.517913179711</c:v>
                </c:pt>
                <c:pt idx="345">
                  <c:v>439.58481071320057</c:v>
                </c:pt>
                <c:pt idx="346">
                  <c:v>439.65093549786718</c:v>
                </c:pt>
                <c:pt idx="347">
                  <c:v>439.71628759516699</c:v>
                </c:pt>
                <c:pt idx="348">
                  <c:v>439.7808670658606</c:v>
                </c:pt>
                <c:pt idx="349">
                  <c:v>439.84467397002317</c:v>
                </c:pt>
                <c:pt idx="350">
                  <c:v>439.90770836703439</c:v>
                </c:pt>
                <c:pt idx="351">
                  <c:v>439.96997031557686</c:v>
                </c:pt>
                <c:pt idx="352">
                  <c:v>440.03145987364888</c:v>
                </c:pt>
                <c:pt idx="353">
                  <c:v>440.09217709857677</c:v>
                </c:pt>
                <c:pt idx="354">
                  <c:v>440.15212204697519</c:v>
                </c:pt>
                <c:pt idx="355">
                  <c:v>440.21129477477524</c:v>
                </c:pt>
                <c:pt idx="356">
                  <c:v>440.26969533722485</c:v>
                </c:pt>
                <c:pt idx="357">
                  <c:v>440.32732378887425</c:v>
                </c:pt>
                <c:pt idx="358">
                  <c:v>440.38418018362449</c:v>
                </c:pt>
                <c:pt idx="359">
                  <c:v>440.44026457463553</c:v>
                </c:pt>
                <c:pt idx="360">
                  <c:v>440.49557701443274</c:v>
                </c:pt>
                <c:pt idx="361">
                  <c:v>440.55011755480643</c:v>
                </c:pt>
                <c:pt idx="362">
                  <c:v>440.60388624691745</c:v>
                </c:pt>
                <c:pt idx="363">
                  <c:v>440.65688314119319</c:v>
                </c:pt>
                <c:pt idx="364">
                  <c:v>440.70910828740426</c:v>
                </c:pt>
                <c:pt idx="365">
                  <c:v>440.760561734654</c:v>
                </c:pt>
                <c:pt idx="366">
                  <c:v>440.81124353131378</c:v>
                </c:pt>
                <c:pt idx="367">
                  <c:v>440.86115372512347</c:v>
                </c:pt>
                <c:pt idx="368">
                  <c:v>440.91029236310516</c:v>
                </c:pt>
                <c:pt idx="369">
                  <c:v>440.95865949163448</c:v>
                </c:pt>
                <c:pt idx="370">
                  <c:v>441.00625515637074</c:v>
                </c:pt>
                <c:pt idx="371">
                  <c:v>441.05307940232512</c:v>
                </c:pt>
                <c:pt idx="372">
                  <c:v>441.099132273804</c:v>
                </c:pt>
                <c:pt idx="373">
                  <c:v>441.14441381443658</c:v>
                </c:pt>
                <c:pt idx="374">
                  <c:v>441.18892406719476</c:v>
                </c:pt>
                <c:pt idx="375">
                  <c:v>441.23266307435779</c:v>
                </c:pt>
                <c:pt idx="376">
                  <c:v>441.2756308775177</c:v>
                </c:pt>
                <c:pt idx="377">
                  <c:v>441.3178275176034</c:v>
                </c:pt>
                <c:pt idx="378">
                  <c:v>441.35925303486943</c:v>
                </c:pt>
                <c:pt idx="379">
                  <c:v>441.39990746888424</c:v>
                </c:pt>
                <c:pt idx="380">
                  <c:v>441.43979085853857</c:v>
                </c:pt>
                <c:pt idx="381">
                  <c:v>441.47890324205906</c:v>
                </c:pt>
                <c:pt idx="382">
                  <c:v>441.51724465697345</c:v>
                </c:pt>
                <c:pt idx="383">
                  <c:v>441.5548151401544</c:v>
                </c:pt>
                <c:pt idx="384">
                  <c:v>441.59161472780613</c:v>
                </c:pt>
                <c:pt idx="385">
                  <c:v>441.62764345542524</c:v>
                </c:pt>
                <c:pt idx="386">
                  <c:v>441.66290135788603</c:v>
                </c:pt>
                <c:pt idx="387">
                  <c:v>441.69738846932631</c:v>
                </c:pt>
                <c:pt idx="388">
                  <c:v>441.73110482326382</c:v>
                </c:pt>
                <c:pt idx="389">
                  <c:v>441.76405045252261</c:v>
                </c:pt>
                <c:pt idx="390">
                  <c:v>441.79622538923456</c:v>
                </c:pt>
                <c:pt idx="391">
                  <c:v>441.82762966489764</c:v>
                </c:pt>
                <c:pt idx="392">
                  <c:v>441.85826331031194</c:v>
                </c:pt>
                <c:pt idx="393">
                  <c:v>441.88812635559606</c:v>
                </c:pt>
                <c:pt idx="394">
                  <c:v>441.91721883024729</c:v>
                </c:pt>
                <c:pt idx="395">
                  <c:v>441.94554076303484</c:v>
                </c:pt>
                <c:pt idx="396">
                  <c:v>441.97309218207857</c:v>
                </c:pt>
                <c:pt idx="397">
                  <c:v>441.9998731148192</c:v>
                </c:pt>
                <c:pt idx="398">
                  <c:v>442.02588358805428</c:v>
                </c:pt>
                <c:pt idx="399">
                  <c:v>442.05112362788509</c:v>
                </c:pt>
                <c:pt idx="400">
                  <c:v>442.07559325974506</c:v>
                </c:pt>
                <c:pt idx="401">
                  <c:v>442.09929250840514</c:v>
                </c:pt>
                <c:pt idx="402">
                  <c:v>442.12222139798155</c:v>
                </c:pt>
                <c:pt idx="403">
                  <c:v>442.14437995187353</c:v>
                </c:pt>
                <c:pt idx="404">
                  <c:v>442.1657681928765</c:v>
                </c:pt>
                <c:pt idx="405">
                  <c:v>442.1863861430561</c:v>
                </c:pt>
                <c:pt idx="406">
                  <c:v>442.20623382383405</c:v>
                </c:pt>
                <c:pt idx="407">
                  <c:v>442.22531125598783</c:v>
                </c:pt>
                <c:pt idx="408">
                  <c:v>442.24361845960203</c:v>
                </c:pt>
                <c:pt idx="409">
                  <c:v>442.26115545408402</c:v>
                </c:pt>
                <c:pt idx="410">
                  <c:v>442.27792225818592</c:v>
                </c:pt>
                <c:pt idx="411">
                  <c:v>442.2939188900009</c:v>
                </c:pt>
                <c:pt idx="412">
                  <c:v>442.30914536694888</c:v>
                </c:pt>
                <c:pt idx="413">
                  <c:v>442.32360170575743</c:v>
                </c:pt>
                <c:pt idx="414">
                  <c:v>442.3372879225314</c:v>
                </c:pt>
                <c:pt idx="415">
                  <c:v>442.35020403266373</c:v>
                </c:pt>
                <c:pt idx="416">
                  <c:v>442.36235005094295</c:v>
                </c:pt>
                <c:pt idx="417">
                  <c:v>442.37372599140514</c:v>
                </c:pt>
                <c:pt idx="418">
                  <c:v>442.38433186749722</c:v>
                </c:pt>
                <c:pt idx="419">
                  <c:v>442.39416769196527</c:v>
                </c:pt>
                <c:pt idx="420">
                  <c:v>442.40323347688638</c:v>
                </c:pt>
                <c:pt idx="421">
                  <c:v>442.4115292336727</c:v>
                </c:pt>
                <c:pt idx="422">
                  <c:v>442.4190549730933</c:v>
                </c:pt>
                <c:pt idx="423">
                  <c:v>442.42581070521715</c:v>
                </c:pt>
                <c:pt idx="424">
                  <c:v>442.4317964394769</c:v>
                </c:pt>
                <c:pt idx="425">
                  <c:v>442.4370121846141</c:v>
                </c:pt>
                <c:pt idx="426">
                  <c:v>442.44145794872719</c:v>
                </c:pt>
                <c:pt idx="427">
                  <c:v>442.44513373924502</c:v>
                </c:pt>
                <c:pt idx="428">
                  <c:v>442.44803956291673</c:v>
                </c:pt>
                <c:pt idx="429">
                  <c:v>442.45017542583452</c:v>
                </c:pt>
                <c:pt idx="430">
                  <c:v>442.45154133343482</c:v>
                </c:pt>
                <c:pt idx="431">
                  <c:v>442.45213729047413</c:v>
                </c:pt>
                <c:pt idx="432">
                  <c:v>442.4519633010521</c:v>
                </c:pt>
                <c:pt idx="433">
                  <c:v>442.45101936860715</c:v>
                </c:pt>
                <c:pt idx="434">
                  <c:v>442.44930549590788</c:v>
                </c:pt>
                <c:pt idx="435">
                  <c:v>442.44682168504039</c:v>
                </c:pt>
                <c:pt idx="436">
                  <c:v>442.44356793746317</c:v>
                </c:pt>
                <c:pt idx="437">
                  <c:v>442.43954425393889</c:v>
                </c:pt>
                <c:pt idx="438">
                  <c:v>442.43475063458226</c:v>
                </c:pt>
                <c:pt idx="439">
                  <c:v>442.4291870788208</c:v>
                </c:pt>
                <c:pt idx="440">
                  <c:v>442.42285358546468</c:v>
                </c:pt>
                <c:pt idx="441">
                  <c:v>442.41575015260094</c:v>
                </c:pt>
                <c:pt idx="442">
                  <c:v>442.40787677768606</c:v>
                </c:pt>
                <c:pt idx="443">
                  <c:v>442.39923345751441</c:v>
                </c:pt>
                <c:pt idx="444">
                  <c:v>442.38982018818848</c:v>
                </c:pt>
                <c:pt idx="445">
                  <c:v>442.37963696518852</c:v>
                </c:pt>
                <c:pt idx="446">
                  <c:v>442.36868378328421</c:v>
                </c:pt>
                <c:pt idx="447">
                  <c:v>442.35696063659248</c:v>
                </c:pt>
                <c:pt idx="448">
                  <c:v>442.34446751859304</c:v>
                </c:pt>
                <c:pt idx="449">
                  <c:v>442.33120442208389</c:v>
                </c:pt>
                <c:pt idx="450">
                  <c:v>442.31717133917272</c:v>
                </c:pt>
                <c:pt idx="451">
                  <c:v>442.30236826134757</c:v>
                </c:pt>
                <c:pt idx="452">
                  <c:v>442.2867951793902</c:v>
                </c:pt>
                <c:pt idx="453">
                  <c:v>442.27045208344396</c:v>
                </c:pt>
                <c:pt idx="454">
                  <c:v>442.25333896296343</c:v>
                </c:pt>
                <c:pt idx="455">
                  <c:v>442.23545580678484</c:v>
                </c:pt>
                <c:pt idx="456">
                  <c:v>442.21680260301156</c:v>
                </c:pt>
                <c:pt idx="457">
                  <c:v>442.19737933914024</c:v>
                </c:pt>
                <c:pt idx="458">
                  <c:v>442.17718600195889</c:v>
                </c:pt>
                <c:pt idx="459">
                  <c:v>442.15622257763016</c:v>
                </c:pt>
                <c:pt idx="460">
                  <c:v>442.13448905160357</c:v>
                </c:pt>
                <c:pt idx="461">
                  <c:v>442.11198540870987</c:v>
                </c:pt>
                <c:pt idx="462">
                  <c:v>442.08871163308123</c:v>
                </c:pt>
                <c:pt idx="463">
                  <c:v>442.06466770819463</c:v>
                </c:pt>
                <c:pt idx="464">
                  <c:v>442.03985361685386</c:v>
                </c:pt>
                <c:pt idx="465">
                  <c:v>442.01426934121747</c:v>
                </c:pt>
                <c:pt idx="466">
                  <c:v>441.98791486274877</c:v>
                </c:pt>
                <c:pt idx="467">
                  <c:v>441.96079016225502</c:v>
                </c:pt>
                <c:pt idx="468">
                  <c:v>441.93289521989567</c:v>
                </c:pt>
                <c:pt idx="469">
                  <c:v>441.90423001511954</c:v>
                </c:pt>
                <c:pt idx="470">
                  <c:v>441.87479452675916</c:v>
                </c:pt>
                <c:pt idx="471">
                  <c:v>441.84458873294358</c:v>
                </c:pt>
                <c:pt idx="472">
                  <c:v>441.81361261114199</c:v>
                </c:pt>
                <c:pt idx="473">
                  <c:v>441.78186613816348</c:v>
                </c:pt>
                <c:pt idx="474">
                  <c:v>441.74934929013978</c:v>
                </c:pt>
                <c:pt idx="475">
                  <c:v>441.71606204253999</c:v>
                </c:pt>
                <c:pt idx="476">
                  <c:v>441.68200437016617</c:v>
                </c:pt>
                <c:pt idx="477">
                  <c:v>441.64717624713393</c:v>
                </c:pt>
                <c:pt idx="478">
                  <c:v>441.61157764692297</c:v>
                </c:pt>
                <c:pt idx="479">
                  <c:v>441.57520854231319</c:v>
                </c:pt>
                <c:pt idx="480">
                  <c:v>441.53806890542717</c:v>
                </c:pt>
                <c:pt idx="481">
                  <c:v>441.50015870772017</c:v>
                </c:pt>
                <c:pt idx="482">
                  <c:v>441.46147791996935</c:v>
                </c:pt>
                <c:pt idx="483">
                  <c:v>441.42202651227899</c:v>
                </c:pt>
                <c:pt idx="484">
                  <c:v>441.38180445409847</c:v>
                </c:pt>
                <c:pt idx="485">
                  <c:v>441.34081171419939</c:v>
                </c:pt>
                <c:pt idx="486">
                  <c:v>441.29904826067485</c:v>
                </c:pt>
                <c:pt idx="487">
                  <c:v>441.2565140609571</c:v>
                </c:pt>
                <c:pt idx="488">
                  <c:v>441.21320908179712</c:v>
                </c:pt>
                <c:pt idx="489">
                  <c:v>441.16913328927649</c:v>
                </c:pt>
                <c:pt idx="490">
                  <c:v>441.1242866488019</c:v>
                </c:pt>
                <c:pt idx="491">
                  <c:v>441.0786691251318</c:v>
                </c:pt>
                <c:pt idx="492">
                  <c:v>441.03228068230504</c:v>
                </c:pt>
                <c:pt idx="493">
                  <c:v>440.98512128372386</c:v>
                </c:pt>
                <c:pt idx="494">
                  <c:v>440.93719089210157</c:v>
                </c:pt>
                <c:pt idx="495">
                  <c:v>440.88848946949042</c:v>
                </c:pt>
                <c:pt idx="496">
                  <c:v>440.83901697725412</c:v>
                </c:pt>
                <c:pt idx="497">
                  <c:v>440.78877337608429</c:v>
                </c:pt>
                <c:pt idx="498">
                  <c:v>440.73775862600644</c:v>
                </c:pt>
                <c:pt idx="499">
                  <c:v>440.68597268636432</c:v>
                </c:pt>
                <c:pt idx="500">
                  <c:v>440.63341551582181</c:v>
                </c:pt>
                <c:pt idx="501">
                  <c:v>440.58008707237826</c:v>
                </c:pt>
                <c:pt idx="502">
                  <c:v>440.52598731334029</c:v>
                </c:pt>
                <c:pt idx="503">
                  <c:v>440.47111619535622</c:v>
                </c:pt>
                <c:pt idx="504">
                  <c:v>440.41547367437903</c:v>
                </c:pt>
                <c:pt idx="505">
                  <c:v>440.35905970569331</c:v>
                </c:pt>
                <c:pt idx="506">
                  <c:v>440.301874243908</c:v>
                </c:pt>
                <c:pt idx="507">
                  <c:v>440.24391724295288</c:v>
                </c:pt>
                <c:pt idx="508">
                  <c:v>440.18518865606654</c:v>
                </c:pt>
                <c:pt idx="509">
                  <c:v>440.1256884358163</c:v>
                </c:pt>
                <c:pt idx="510">
                  <c:v>440.06541653409687</c:v>
                </c:pt>
                <c:pt idx="511">
                  <c:v>440.0043729021142</c:v>
                </c:pt>
                <c:pt idx="512">
                  <c:v>439.94255749040161</c:v>
                </c:pt>
                <c:pt idx="513">
                  <c:v>439.87997024879758</c:v>
                </c:pt>
                <c:pt idx="514">
                  <c:v>439.81661112645952</c:v>
                </c:pt>
                <c:pt idx="515">
                  <c:v>439.75248007189145</c:v>
                </c:pt>
                <c:pt idx="516">
                  <c:v>439.68757703287696</c:v>
                </c:pt>
                <c:pt idx="517">
                  <c:v>439.62190195653358</c:v>
                </c:pt>
                <c:pt idx="518">
                  <c:v>439.55545478928917</c:v>
                </c:pt>
                <c:pt idx="519">
                  <c:v>439.48823547690785</c:v>
                </c:pt>
                <c:pt idx="520">
                  <c:v>439.42024396444663</c:v>
                </c:pt>
                <c:pt idx="521">
                  <c:v>439.35148019628986</c:v>
                </c:pt>
                <c:pt idx="522">
                  <c:v>439.28194411610718</c:v>
                </c:pt>
                <c:pt idx="523">
                  <c:v>439.21163566693974</c:v>
                </c:pt>
                <c:pt idx="524">
                  <c:v>439.14055479108845</c:v>
                </c:pt>
                <c:pt idx="525">
                  <c:v>439.06870143017852</c:v>
                </c:pt>
                <c:pt idx="526">
                  <c:v>438.99607552517131</c:v>
                </c:pt>
                <c:pt idx="527">
                  <c:v>438.92267701632773</c:v>
                </c:pt>
                <c:pt idx="528">
                  <c:v>438.84850584319764</c:v>
                </c:pt>
                <c:pt idx="529">
                  <c:v>438.77356194467689</c:v>
                </c:pt>
                <c:pt idx="530">
                  <c:v>438.69784525895039</c:v>
                </c:pt>
                <c:pt idx="531">
                  <c:v>438.62135572351286</c:v>
                </c:pt>
                <c:pt idx="532">
                  <c:v>438.5440932751701</c:v>
                </c:pt>
                <c:pt idx="533">
                  <c:v>438.466057850043</c:v>
                </c:pt>
                <c:pt idx="534">
                  <c:v>438.38724938354932</c:v>
                </c:pt>
                <c:pt idx="535">
                  <c:v>438.30766781042786</c:v>
                </c:pt>
                <c:pt idx="536">
                  <c:v>438.22731306469962</c:v>
                </c:pt>
                <c:pt idx="537">
                  <c:v>438.14618507972261</c:v>
                </c:pt>
                <c:pt idx="538">
                  <c:v>438.06428378813882</c:v>
                </c:pt>
                <c:pt idx="539">
                  <c:v>437.98160912189564</c:v>
                </c:pt>
                <c:pt idx="540">
                  <c:v>437.89816101225239</c:v>
                </c:pt>
                <c:pt idx="541">
                  <c:v>437.81393938978067</c:v>
                </c:pt>
                <c:pt idx="542">
                  <c:v>437.72894418432338</c:v>
                </c:pt>
                <c:pt idx="543">
                  <c:v>437.6431753250493</c:v>
                </c:pt>
                <c:pt idx="544">
                  <c:v>437.55663274043206</c:v>
                </c:pt>
                <c:pt idx="545">
                  <c:v>437.46931635822784</c:v>
                </c:pt>
                <c:pt idx="546">
                  <c:v>437.38122610550727</c:v>
                </c:pt>
                <c:pt idx="547">
                  <c:v>437.29236190863662</c:v>
                </c:pt>
                <c:pt idx="548">
                  <c:v>437.20272369326847</c:v>
                </c:pt>
                <c:pt idx="549">
                  <c:v>437.11231138437705</c:v>
                </c:pt>
                <c:pt idx="550">
                  <c:v>437.02112490621317</c:v>
                </c:pt>
                <c:pt idx="551">
                  <c:v>436.92916418234142</c:v>
                </c:pt>
                <c:pt idx="552">
                  <c:v>436.83642913559413</c:v>
                </c:pt>
                <c:pt idx="553">
                  <c:v>436.74291968813151</c:v>
                </c:pt>
                <c:pt idx="554">
                  <c:v>436.64863576138549</c:v>
                </c:pt>
                <c:pt idx="555">
                  <c:v>436.5535772760918</c:v>
                </c:pt>
                <c:pt idx="556">
                  <c:v>436.45774415228186</c:v>
                </c:pt>
                <c:pt idx="557">
                  <c:v>436.36113630926161</c:v>
                </c:pt>
                <c:pt idx="558">
                  <c:v>436.26375366564554</c:v>
                </c:pt>
                <c:pt idx="559">
                  <c:v>436.16559613933765</c:v>
                </c:pt>
                <c:pt idx="560">
                  <c:v>436.06666364751948</c:v>
                </c:pt>
                <c:pt idx="561">
                  <c:v>435.9669561066724</c:v>
                </c:pt>
                <c:pt idx="562">
                  <c:v>435.86647343255891</c:v>
                </c:pt>
                <c:pt idx="563">
                  <c:v>435.7652155402298</c:v>
                </c:pt>
                <c:pt idx="564">
                  <c:v>435.66318234402604</c:v>
                </c:pt>
                <c:pt idx="565">
                  <c:v>435.56037375756966</c:v>
                </c:pt>
                <c:pt idx="566">
                  <c:v>435.45678969377678</c:v>
                </c:pt>
                <c:pt idx="567">
                  <c:v>435.35243006483739</c:v>
                </c:pt>
                <c:pt idx="568">
                  <c:v>435.24729478222315</c:v>
                </c:pt>
                <c:pt idx="569">
                  <c:v>435.14138375669779</c:v>
                </c:pt>
                <c:pt idx="570">
                  <c:v>435.03469689830052</c:v>
                </c:pt>
                <c:pt idx="571">
                  <c:v>434.92723411634967</c:v>
                </c:pt>
                <c:pt idx="572">
                  <c:v>434.81899531944327</c:v>
                </c:pt>
                <c:pt idx="573">
                  <c:v>434.70998041546437</c:v>
                </c:pt>
                <c:pt idx="574">
                  <c:v>434.60018931156202</c:v>
                </c:pt>
                <c:pt idx="575">
                  <c:v>434.48962191417934</c:v>
                </c:pt>
                <c:pt idx="576">
                  <c:v>434.37827812901503</c:v>
                </c:pt>
                <c:pt idx="577">
                  <c:v>434.26615786105924</c:v>
                </c:pt>
                <c:pt idx="578">
                  <c:v>434.15326101456782</c:v>
                </c:pt>
                <c:pt idx="579">
                  <c:v>434.03958749307503</c:v>
                </c:pt>
                <c:pt idx="580">
                  <c:v>433.92513719938137</c:v>
                </c:pt>
                <c:pt idx="581">
                  <c:v>433.80991003556306</c:v>
                </c:pt>
                <c:pt idx="582">
                  <c:v>433.69390590296786</c:v>
                </c:pt>
                <c:pt idx="583">
                  <c:v>433.57712470221117</c:v>
                </c:pt>
                <c:pt idx="584">
                  <c:v>433.45956633317263</c:v>
                </c:pt>
                <c:pt idx="585">
                  <c:v>433.341230695001</c:v>
                </c:pt>
                <c:pt idx="586">
                  <c:v>433.2221176861197</c:v>
                </c:pt>
                <c:pt idx="587">
                  <c:v>433.1022272042062</c:v>
                </c:pt>
                <c:pt idx="588">
                  <c:v>432.98155914621441</c:v>
                </c:pt>
                <c:pt idx="589">
                  <c:v>432.86011340834943</c:v>
                </c:pt>
                <c:pt idx="590">
                  <c:v>432.73788988608527</c:v>
                </c:pt>
                <c:pt idx="591">
                  <c:v>432.61488847415865</c:v>
                </c:pt>
                <c:pt idx="592">
                  <c:v>432.49110906655574</c:v>
                </c:pt>
                <c:pt idx="593">
                  <c:v>432.36655155654302</c:v>
                </c:pt>
                <c:pt idx="594">
                  <c:v>432.24121583662469</c:v>
                </c:pt>
                <c:pt idx="595">
                  <c:v>432.11510179857936</c:v>
                </c:pt>
                <c:pt idx="596">
                  <c:v>431.98820933342643</c:v>
                </c:pt>
                <c:pt idx="597">
                  <c:v>431.86053833144706</c:v>
                </c:pt>
                <c:pt idx="598">
                  <c:v>431.7320886821762</c:v>
                </c:pt>
                <c:pt idx="599">
                  <c:v>431.60286027440821</c:v>
                </c:pt>
                <c:pt idx="600">
                  <c:v>431.47285299617431</c:v>
                </c:pt>
                <c:pt idx="601">
                  <c:v>431.34206673476916</c:v>
                </c:pt>
                <c:pt idx="602">
                  <c:v>431.21050137673393</c:v>
                </c:pt>
                <c:pt idx="603">
                  <c:v>431.07815680785097</c:v>
                </c:pt>
                <c:pt idx="604">
                  <c:v>430.94503291316573</c:v>
                </c:pt>
                <c:pt idx="605">
                  <c:v>430.81112957695035</c:v>
                </c:pt>
                <c:pt idx="606">
                  <c:v>430.67644668274073</c:v>
                </c:pt>
                <c:pt idx="607">
                  <c:v>430.54098411329647</c:v>
                </c:pt>
                <c:pt idx="608">
                  <c:v>430.40474175064514</c:v>
                </c:pt>
                <c:pt idx="609">
                  <c:v>430.26771947603044</c:v>
                </c:pt>
                <c:pt idx="610">
                  <c:v>430.129917169951</c:v>
                </c:pt>
                <c:pt idx="611">
                  <c:v>429.99133471213901</c:v>
                </c:pt>
                <c:pt idx="612">
                  <c:v>429.85197198156857</c:v>
                </c:pt>
                <c:pt idx="613">
                  <c:v>429.71182885644976</c:v>
                </c:pt>
                <c:pt idx="614">
                  <c:v>429.57090521422441</c:v>
                </c:pt>
                <c:pt idx="615">
                  <c:v>429.42920093157704</c:v>
                </c:pt>
                <c:pt idx="616">
                  <c:v>429.28671588440989</c:v>
                </c:pt>
                <c:pt idx="617">
                  <c:v>429.14344994786569</c:v>
                </c:pt>
                <c:pt idx="618">
                  <c:v>428.99940299632323</c:v>
                </c:pt>
                <c:pt idx="619">
                  <c:v>428.85457490338445</c:v>
                </c:pt>
                <c:pt idx="620">
                  <c:v>428.70896554187948</c:v>
                </c:pt>
                <c:pt idx="621">
                  <c:v>428.56257478386385</c:v>
                </c:pt>
                <c:pt idx="622">
                  <c:v>428.41540250062303</c:v>
                </c:pt>
                <c:pt idx="623">
                  <c:v>428.26744856265782</c:v>
                </c:pt>
                <c:pt idx="624">
                  <c:v>428.11871283970157</c:v>
                </c:pt>
                <c:pt idx="625">
                  <c:v>427.96919520071009</c:v>
                </c:pt>
                <c:pt idx="626">
                  <c:v>427.81889551384006</c:v>
                </c:pt>
                <c:pt idx="627">
                  <c:v>427.66781364648989</c:v>
                </c:pt>
                <c:pt idx="628">
                  <c:v>427.51594946526461</c:v>
                </c:pt>
                <c:pt idx="629">
                  <c:v>427.36330283598619</c:v>
                </c:pt>
                <c:pt idx="630">
                  <c:v>427.2098736236934</c:v>
                </c:pt>
                <c:pt idx="631">
                  <c:v>427.05566169262607</c:v>
                </c:pt>
                <c:pt idx="632">
                  <c:v>426.90066690625576</c:v>
                </c:pt>
                <c:pt idx="633">
                  <c:v>426.74488912725388</c:v>
                </c:pt>
                <c:pt idx="634">
                  <c:v>426.58832821750053</c:v>
                </c:pt>
                <c:pt idx="635">
                  <c:v>426.43098403808312</c:v>
                </c:pt>
                <c:pt idx="636">
                  <c:v>426.27285644929526</c:v>
                </c:pt>
                <c:pt idx="637">
                  <c:v>426.11394531063542</c:v>
                </c:pt>
                <c:pt idx="638">
                  <c:v>425.95425048080847</c:v>
                </c:pt>
                <c:pt idx="639">
                  <c:v>425.79377181771582</c:v>
                </c:pt>
                <c:pt idx="640">
                  <c:v>425.63250917846824</c:v>
                </c:pt>
                <c:pt idx="641">
                  <c:v>425.47046241936278</c:v>
                </c:pt>
                <c:pt idx="642">
                  <c:v>425.30763139590039</c:v>
                </c:pt>
                <c:pt idx="643">
                  <c:v>425.14401596277867</c:v>
                </c:pt>
                <c:pt idx="644">
                  <c:v>424.97961597388814</c:v>
                </c:pt>
                <c:pt idx="645">
                  <c:v>424.81443128231638</c:v>
                </c:pt>
                <c:pt idx="646">
                  <c:v>424.64846174032675</c:v>
                </c:pt>
                <c:pt idx="647">
                  <c:v>424.48170719939077</c:v>
                </c:pt>
                <c:pt idx="648">
                  <c:v>424.31416751016047</c:v>
                </c:pt>
                <c:pt idx="649">
                  <c:v>424.14584252247124</c:v>
                </c:pt>
                <c:pt idx="650">
                  <c:v>423.97673208534462</c:v>
                </c:pt>
                <c:pt idx="651">
                  <c:v>423.80683604699482</c:v>
                </c:pt>
                <c:pt idx="652">
                  <c:v>423.63615425480788</c:v>
                </c:pt>
                <c:pt idx="653">
                  <c:v>423.46468655535455</c:v>
                </c:pt>
                <c:pt idx="654">
                  <c:v>423.29243279437947</c:v>
                </c:pt>
                <c:pt idx="655">
                  <c:v>423.11939281680668</c:v>
                </c:pt>
                <c:pt idx="656">
                  <c:v>422.94556646673033</c:v>
                </c:pt>
                <c:pt idx="657">
                  <c:v>422.77095358743435</c:v>
                </c:pt>
                <c:pt idx="658">
                  <c:v>422.59555402135715</c:v>
                </c:pt>
                <c:pt idx="659">
                  <c:v>422.41936761011078</c:v>
                </c:pt>
                <c:pt idx="660">
                  <c:v>422.24239419448537</c:v>
                </c:pt>
                <c:pt idx="661">
                  <c:v>422.06463361442854</c:v>
                </c:pt>
                <c:pt idx="662">
                  <c:v>421.88608570905967</c:v>
                </c:pt>
                <c:pt idx="663">
                  <c:v>421.70675031665257</c:v>
                </c:pt>
                <c:pt idx="664">
                  <c:v>421.52662727464957</c:v>
                </c:pt>
                <c:pt idx="665">
                  <c:v>421.34571641965778</c:v>
                </c:pt>
                <c:pt idx="666">
                  <c:v>421.16401758743314</c:v>
                </c:pt>
                <c:pt idx="667">
                  <c:v>420.98153061288383</c:v>
                </c:pt>
                <c:pt idx="668">
                  <c:v>420.79825533009176</c:v>
                </c:pt>
                <c:pt idx="669">
                  <c:v>420.61419157227152</c:v>
                </c:pt>
                <c:pt idx="670">
                  <c:v>420.42933917179761</c:v>
                </c:pt>
                <c:pt idx="671">
                  <c:v>420.24369796020108</c:v>
                </c:pt>
                <c:pt idx="672">
                  <c:v>420.05726776814771</c:v>
                </c:pt>
                <c:pt idx="673">
                  <c:v>419.87004842544974</c:v>
                </c:pt>
                <c:pt idx="674">
                  <c:v>419.68203976107446</c:v>
                </c:pt>
                <c:pt idx="675">
                  <c:v>419.49324160311994</c:v>
                </c:pt>
                <c:pt idx="676">
                  <c:v>419.30365377883032</c:v>
                </c:pt>
                <c:pt idx="677">
                  <c:v>419.1132761145787</c:v>
                </c:pt>
                <c:pt idx="678">
                  <c:v>418.92210843589777</c:v>
                </c:pt>
                <c:pt idx="679">
                  <c:v>418.73015056742486</c:v>
                </c:pt>
                <c:pt idx="680">
                  <c:v>418.53740233294798</c:v>
                </c:pt>
                <c:pt idx="681">
                  <c:v>418.3438635553839</c:v>
                </c:pt>
                <c:pt idx="682">
                  <c:v>418.14953405676948</c:v>
                </c:pt>
                <c:pt idx="683">
                  <c:v>417.95441365827162</c:v>
                </c:pt>
                <c:pt idx="684">
                  <c:v>417.75850218019497</c:v>
                </c:pt>
                <c:pt idx="685">
                  <c:v>417.56179944194048</c:v>
                </c:pt>
                <c:pt idx="686">
                  <c:v>417.36430526205703</c:v>
                </c:pt>
                <c:pt idx="687">
                  <c:v>417.16601945819542</c:v>
                </c:pt>
                <c:pt idx="688">
                  <c:v>416.96694184713192</c:v>
                </c:pt>
                <c:pt idx="689">
                  <c:v>416.76707224474671</c:v>
                </c:pt>
                <c:pt idx="690">
                  <c:v>416.56641046604545</c:v>
                </c:pt>
                <c:pt idx="691">
                  <c:v>416.36495632513504</c:v>
                </c:pt>
                <c:pt idx="692">
                  <c:v>416.16270963523158</c:v>
                </c:pt>
                <c:pt idx="693">
                  <c:v>415.95967020866067</c:v>
                </c:pt>
                <c:pt idx="694">
                  <c:v>415.75583785685575</c:v>
                </c:pt>
                <c:pt idx="695">
                  <c:v>415.55121239034014</c:v>
                </c:pt>
                <c:pt idx="696">
                  <c:v>415.3457936187466</c:v>
                </c:pt>
                <c:pt idx="697">
                  <c:v>415.13958135080372</c:v>
                </c:pt>
                <c:pt idx="698">
                  <c:v>414.93257539434114</c:v>
                </c:pt>
                <c:pt idx="699">
                  <c:v>414.72477555626557</c:v>
                </c:pt>
                <c:pt idx="700">
                  <c:v>414.51618164259827</c:v>
                </c:pt>
                <c:pt idx="701">
                  <c:v>414.30679345842697</c:v>
                </c:pt>
                <c:pt idx="702">
                  <c:v>414.09661080794166</c:v>
                </c:pt>
                <c:pt idx="703">
                  <c:v>413.88563349441137</c:v>
                </c:pt>
                <c:pt idx="704">
                  <c:v>413.67386132018987</c:v>
                </c:pt>
                <c:pt idx="705">
                  <c:v>413.46129408670737</c:v>
                </c:pt>
                <c:pt idx="706">
                  <c:v>413.24793159447569</c:v>
                </c:pt>
                <c:pt idx="707">
                  <c:v>413.03377364308238</c:v>
                </c:pt>
                <c:pt idx="708">
                  <c:v>412.81882003118363</c:v>
                </c:pt>
                <c:pt idx="709">
                  <c:v>412.60307055651288</c:v>
                </c:pt>
                <c:pt idx="710">
                  <c:v>412.38652501586921</c:v>
                </c:pt>
                <c:pt idx="711">
                  <c:v>412.1691832051136</c:v>
                </c:pt>
                <c:pt idx="712">
                  <c:v>411.95104491918158</c:v>
                </c:pt>
                <c:pt idx="713">
                  <c:v>411.73210995206426</c:v>
                </c:pt>
                <c:pt idx="714">
                  <c:v>411.51237809680754</c:v>
                </c:pt>
                <c:pt idx="715">
                  <c:v>411.29184914552678</c:v>
                </c:pt>
                <c:pt idx="716">
                  <c:v>411.07052288938081</c:v>
                </c:pt>
                <c:pt idx="717">
                  <c:v>410.84839911858467</c:v>
                </c:pt>
                <c:pt idx="718">
                  <c:v>410.62547762240229</c:v>
                </c:pt>
                <c:pt idx="719">
                  <c:v>410.40175818914378</c:v>
                </c:pt>
                <c:pt idx="720">
                  <c:v>410.17724060616541</c:v>
                </c:pt>
                <c:pt idx="721">
                  <c:v>409.95192465986719</c:v>
                </c:pt>
                <c:pt idx="722">
                  <c:v>409.72581013568293</c:v>
                </c:pt>
                <c:pt idx="723">
                  <c:v>409.4988968180935</c:v>
                </c:pt>
                <c:pt idx="724">
                  <c:v>409.27118449061237</c:v>
                </c:pt>
                <c:pt idx="725">
                  <c:v>409.04267293577175</c:v>
                </c:pt>
                <c:pt idx="726">
                  <c:v>408.81336193514954</c:v>
                </c:pt>
                <c:pt idx="727">
                  <c:v>408.58325126934341</c:v>
                </c:pt>
                <c:pt idx="728">
                  <c:v>408.35234071797686</c:v>
                </c:pt>
                <c:pt idx="729">
                  <c:v>408.12063005969497</c:v>
                </c:pt>
                <c:pt idx="730">
                  <c:v>407.88811907215899</c:v>
                </c:pt>
                <c:pt idx="731">
                  <c:v>407.65480753205816</c:v>
                </c:pt>
                <c:pt idx="732">
                  <c:v>407.42069521507682</c:v>
                </c:pt>
                <c:pt idx="733">
                  <c:v>407.18578189592978</c:v>
                </c:pt>
                <c:pt idx="734">
                  <c:v>406.95006734832771</c:v>
                </c:pt>
                <c:pt idx="735">
                  <c:v>406.71355134498953</c:v>
                </c:pt>
                <c:pt idx="736">
                  <c:v>406.47623365763781</c:v>
                </c:pt>
                <c:pt idx="737">
                  <c:v>405.78127634036093</c:v>
                </c:pt>
                <c:pt idx="738">
                  <c:v>405.08220280822451</c:v>
                </c:pt>
                <c:pt idx="739">
                  <c:v>404.37908691408222</c:v>
                </c:pt>
                <c:pt idx="740">
                  <c:v>403.67200046530087</c:v>
                </c:pt>
                <c:pt idx="741">
                  <c:v>402.96101329059496</c:v>
                </c:pt>
                <c:pt idx="742">
                  <c:v>402.24619330466584</c:v>
                </c:pt>
                <c:pt idx="743">
                  <c:v>401.52760657064903</c:v>
                </c:pt>
                <c:pt idx="744">
                  <c:v>400.80531736053314</c:v>
                </c:pt>
                <c:pt idx="745">
                  <c:v>400.0793882135722</c:v>
                </c:pt>
                <c:pt idx="746">
                  <c:v>399.34987999272323</c:v>
                </c:pt>
                <c:pt idx="747">
                  <c:v>398.61685193930128</c:v>
                </c:pt>
                <c:pt idx="748">
                  <c:v>397.88036172575477</c:v>
                </c:pt>
                <c:pt idx="749">
                  <c:v>397.14046550675732</c:v>
                </c:pt>
                <c:pt idx="750">
                  <c:v>396.39721796859834</c:v>
                </c:pt>
                <c:pt idx="751">
                  <c:v>395.6506723769678</c:v>
                </c:pt>
                <c:pt idx="752">
                  <c:v>394.90088062316443</c:v>
                </c:pt>
                <c:pt idx="753">
                  <c:v>394.14789326879776</c:v>
                </c:pt>
                <c:pt idx="754">
                  <c:v>393.39175958903888</c:v>
                </c:pt>
                <c:pt idx="755">
                  <c:v>392.6325276144629</c:v>
                </c:pt>
                <c:pt idx="756">
                  <c:v>391.87024417149422</c:v>
                </c:pt>
                <c:pt idx="757">
                  <c:v>391.10495492159839</c:v>
                </c:pt>
                <c:pt idx="758">
                  <c:v>390.33670439914533</c:v>
                </c:pt>
                <c:pt idx="759">
                  <c:v>389.5655360480867</c:v>
                </c:pt>
                <c:pt idx="760">
                  <c:v>388.79149225741918</c:v>
                </c:pt>
                <c:pt idx="761">
                  <c:v>388.0146143954982</c:v>
                </c:pt>
                <c:pt idx="762">
                  <c:v>387.23494284329047</c:v>
                </c:pt>
                <c:pt idx="763">
                  <c:v>386.4525170264767</c:v>
                </c:pt>
                <c:pt idx="764">
                  <c:v>385.66737544659804</c:v>
                </c:pt>
                <c:pt idx="765">
                  <c:v>384.8795557111365</c:v>
                </c:pt>
                <c:pt idx="766">
                  <c:v>384.08909456267753</c:v>
                </c:pt>
                <c:pt idx="767">
                  <c:v>383.29602790710948</c:v>
                </c:pt>
                <c:pt idx="768">
                  <c:v>382.50039084091486</c:v>
                </c:pt>
                <c:pt idx="769">
                  <c:v>381.70221767762706</c:v>
                </c:pt>
                <c:pt idx="770">
                  <c:v>380.90154197336409</c:v>
                </c:pt>
                <c:pt idx="771">
                  <c:v>380.09839655164541</c:v>
                </c:pt>
                <c:pt idx="772">
                  <c:v>379.29281352731806</c:v>
                </c:pt>
                <c:pt idx="773">
                  <c:v>378.4848243298033</c:v>
                </c:pt>
                <c:pt idx="774">
                  <c:v>377.67445972552582</c:v>
                </c:pt>
                <c:pt idx="775">
                  <c:v>376.86174983970659</c:v>
                </c:pt>
                <c:pt idx="776">
                  <c:v>376.04672417739624</c:v>
                </c:pt>
                <c:pt idx="777">
                  <c:v>375.22941164386833</c:v>
                </c:pt>
                <c:pt idx="778">
                  <c:v>374.40984056437844</c:v>
                </c:pt>
                <c:pt idx="779">
                  <c:v>373.58803870326665</c:v>
                </c:pt>
                <c:pt idx="780">
                  <c:v>372.76403328248279</c:v>
                </c:pt>
                <c:pt idx="781">
                  <c:v>371.93785099949264</c:v>
                </c:pt>
                <c:pt idx="782">
                  <c:v>371.10951804465009</c:v>
                </c:pt>
                <c:pt idx="783">
                  <c:v>370.27906011800252</c:v>
                </c:pt>
                <c:pt idx="784">
                  <c:v>369.44650244556192</c:v>
                </c:pt>
                <c:pt idx="785">
                  <c:v>368.61186979508369</c:v>
                </c:pt>
                <c:pt idx="786">
                  <c:v>367.77518649130667</c:v>
                </c:pt>
                <c:pt idx="787">
                  <c:v>366.93647643076855</c:v>
                </c:pt>
                <c:pt idx="788">
                  <c:v>366.09576309609838</c:v>
                </c:pt>
                <c:pt idx="789">
                  <c:v>365.25306956990414</c:v>
                </c:pt>
                <c:pt idx="790">
                  <c:v>364.40841854818399</c:v>
                </c:pt>
                <c:pt idx="791">
                  <c:v>363.56183235334788</c:v>
                </c:pt>
                <c:pt idx="792">
                  <c:v>362.71333294682569</c:v>
                </c:pt>
                <c:pt idx="793">
                  <c:v>361.86294194124565</c:v>
                </c:pt>
                <c:pt idx="794">
                  <c:v>361.01068061228631</c:v>
                </c:pt>
                <c:pt idx="795">
                  <c:v>360.15656991008996</c:v>
                </c:pt>
                <c:pt idx="796">
                  <c:v>359.30063047038988</c:v>
                </c:pt>
                <c:pt idx="797">
                  <c:v>358.44288262522997</c:v>
                </c:pt>
                <c:pt idx="798">
                  <c:v>357.58334641337837</c:v>
                </c:pt>
                <c:pt idx="799">
                  <c:v>356.72204159040785</c:v>
                </c:pt>
                <c:pt idx="800">
                  <c:v>355.85898763845745</c:v>
                </c:pt>
                <c:pt idx="801">
                  <c:v>354.99420377569083</c:v>
                </c:pt>
                <c:pt idx="802">
                  <c:v>354.12770896547016</c:v>
                </c:pt>
                <c:pt idx="803">
                  <c:v>353.25952192521294</c:v>
                </c:pt>
                <c:pt idx="804">
                  <c:v>352.38966113500697</c:v>
                </c:pt>
                <c:pt idx="805">
                  <c:v>351.51814484593785</c:v>
                </c:pt>
                <c:pt idx="806">
                  <c:v>350.64499108815232</c:v>
                </c:pt>
                <c:pt idx="807">
                  <c:v>349.77021767867632</c:v>
                </c:pt>
                <c:pt idx="808">
                  <c:v>348.89384222900185</c:v>
                </c:pt>
                <c:pt idx="809">
                  <c:v>348.01588215239701</c:v>
                </c:pt>
                <c:pt idx="810">
                  <c:v>347.13635467104217</c:v>
                </c:pt>
                <c:pt idx="811">
                  <c:v>346.25527682289794</c:v>
                </c:pt>
                <c:pt idx="812">
                  <c:v>345.37266546837509</c:v>
                </c:pt>
                <c:pt idx="813">
                  <c:v>344.4885372968206</c:v>
                </c:pt>
                <c:pt idx="814">
                  <c:v>343.60290883273524</c:v>
                </c:pt>
                <c:pt idx="815">
                  <c:v>342.71579644188415</c:v>
                </c:pt>
                <c:pt idx="816">
                  <c:v>341.8272163371384</c:v>
                </c:pt>
                <c:pt idx="817">
                  <c:v>340.93718458418203</c:v>
                </c:pt>
                <c:pt idx="818">
                  <c:v>340.04571710702959</c:v>
                </c:pt>
                <c:pt idx="819">
                  <c:v>339.15282969335846</c:v>
                </c:pt>
                <c:pt idx="820">
                  <c:v>338.25853799968945</c:v>
                </c:pt>
                <c:pt idx="821">
                  <c:v>337.3658001274128</c:v>
                </c:pt>
                <c:pt idx="822">
                  <c:v>336.4831820758032</c:v>
                </c:pt>
                <c:pt idx="823">
                  <c:v>335.59937966079116</c:v>
                </c:pt>
                <c:pt idx="824">
                  <c:v>334.71440892936761</c:v>
                </c:pt>
                <c:pt idx="825">
                  <c:v>333.82828581950469</c:v>
                </c:pt>
                <c:pt idx="826">
                  <c:v>332.94102616442183</c:v>
                </c:pt>
                <c:pt idx="827">
                  <c:v>332.05264569669009</c:v>
                </c:pt>
                <c:pt idx="828">
                  <c:v>331.16316005221984</c:v>
                </c:pt>
                <c:pt idx="829">
                  <c:v>330.27258477411419</c:v>
                </c:pt>
                <c:pt idx="830">
                  <c:v>329.38093531641681</c:v>
                </c:pt>
                <c:pt idx="831">
                  <c:v>328.48822704771368</c:v>
                </c:pt>
                <c:pt idx="832">
                  <c:v>327.59447525463713</c:v>
                </c:pt>
                <c:pt idx="833">
                  <c:v>326.69969514524172</c:v>
                </c:pt>
                <c:pt idx="834">
                  <c:v>325.80390185230965</c:v>
                </c:pt>
                <c:pt idx="835">
                  <c:v>302.4233986370711</c:v>
                </c:pt>
                <c:pt idx="836">
                  <c:v>280.67728909822375</c:v>
                </c:pt>
                <c:pt idx="837">
                  <c:v>260.45304697604706</c:v>
                </c:pt>
                <c:pt idx="838">
                  <c:v>241.64581012280229</c:v>
                </c:pt>
                <c:pt idx="839">
                  <c:v>224.15786248367269</c:v>
                </c:pt>
                <c:pt idx="840">
                  <c:v>207.8981508782725</c:v>
                </c:pt>
                <c:pt idx="841">
                  <c:v>192.78183425508686</c:v>
                </c:pt>
                <c:pt idx="842">
                  <c:v>178.72986324624119</c:v>
                </c:pt>
                <c:pt idx="843">
                  <c:v>165.66858799473025</c:v>
                </c:pt>
                <c:pt idx="844">
                  <c:v>153.52939236134085</c:v>
                </c:pt>
                <c:pt idx="845">
                  <c:v>142.24835274462274</c:v>
                </c:pt>
                <c:pt idx="846">
                  <c:v>131.76591986498406</c:v>
                </c:pt>
                <c:pt idx="847">
                  <c:v>122.02662197387478</c:v>
                </c:pt>
                <c:pt idx="848">
                  <c:v>112.97878805157951</c:v>
                </c:pt>
                <c:pt idx="849">
                  <c:v>104.57428965286429</c:v>
                </c:pt>
                <c:pt idx="850">
                  <c:v>96.768300149047533</c:v>
                </c:pt>
                <c:pt idx="851">
                  <c:v>89.519070198424529</c:v>
                </c:pt>
                <c:pt idx="852">
                  <c:v>82.787718354744669</c:v>
                </c:pt>
                <c:pt idx="853">
                  <c:v>76.538035795994588</c:v>
                </c:pt>
                <c:pt idx="854">
                  <c:v>70.736304223407089</c:v>
                </c:pt>
                <c:pt idx="855">
                  <c:v>65.351126043709812</c:v>
                </c:pt>
                <c:pt idx="856">
                  <c:v>60.353266006438183</c:v>
                </c:pt>
                <c:pt idx="857">
                  <c:v>55.71550352291986</c:v>
                </c:pt>
                <c:pt idx="858">
                  <c:v>51.412494944548101</c:v>
                </c:pt>
                <c:pt idx="859">
                  <c:v>47.420645125398416</c:v>
                </c:pt>
                <c:pt idx="860">
                  <c:v>43.717987638312913</c:v>
                </c:pt>
                <c:pt idx="861">
                  <c:v>40.284073054438963</c:v>
                </c:pt>
                <c:pt idx="862">
                  <c:v>37.099864734000093</c:v>
                </c:pt>
                <c:pt idx="863">
                  <c:v>34.147641610899989</c:v>
                </c:pt>
                <c:pt idx="864">
                  <c:v>31.410907485675978</c:v>
                </c:pt>
                <c:pt idx="865">
                  <c:v>28.874306370330789</c:v>
                </c:pt>
                <c:pt idx="866">
                  <c:v>26.523543454622825</c:v>
                </c:pt>
                <c:pt idx="867">
                  <c:v>24.345311286328432</c:v>
                </c:pt>
                <c:pt idx="868">
                  <c:v>22.327220777520573</c:v>
                </c:pt>
                <c:pt idx="869">
                  <c:v>20.457736664566909</c:v>
                </c:pt>
                <c:pt idx="870">
                  <c:v>18.726117060595371</c:v>
                </c:pt>
                <c:pt idx="871">
                  <c:v>17.122356744457996</c:v>
                </c:pt>
                <c:pt idx="872">
                  <c:v>15.637133827982369</c:v>
                </c:pt>
                <c:pt idx="873">
                  <c:v>14.261759430803325</c:v>
                </c:pt>
                <c:pt idx="874">
                  <c:v>12.988129965061304</c:v>
                </c:pt>
                <c:pt idx="875">
                  <c:v>11.808681583987765</c:v>
                </c:pt>
                <c:pt idx="876">
                  <c:v>10.716346267976991</c:v>
                </c:pt>
                <c:pt idx="877">
                  <c:v>9.7045088911639485</c:v>
                </c:pt>
                <c:pt idx="878">
                  <c:v>8.7669644002730216</c:v>
                </c:pt>
                <c:pt idx="879">
                  <c:v>7.8978738922538376</c:v>
                </c:pt>
                <c:pt idx="880">
                  <c:v>7.0917178016034317</c:v>
                </c:pt>
                <c:pt idx="881">
                  <c:v>6.3432434211107012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C-4E1F-9378-655E0489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97391"/>
        <c:axId val="1"/>
      </c:scatterChart>
      <c:valAx>
        <c:axId val="461597391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(sec.)</a:t>
                </a:r>
              </a:p>
            </c:rich>
          </c:tx>
          <c:layout>
            <c:manualLayout>
              <c:xMode val="edge"/>
              <c:yMode val="edge"/>
              <c:x val="0.44887911454958407"/>
              <c:y val="0.89352136410200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pt-PT" sz="1000" b="0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Thrust  (lb</a:t>
                </a:r>
                <a:r>
                  <a:rPr lang="pt-PT" sz="800" b="0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f</a:t>
                </a:r>
                <a:r>
                  <a:rPr lang="pt-PT" sz="1000" b="0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488778054862843E-2"/>
              <c:y val="0.43287143956889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159739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01219512195122E-2"/>
          <c:y val="0.05"/>
          <c:w val="0.93292682926829273"/>
          <c:h val="0.89772727272727271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'Nozzle Design'!$Y$20:$Y$21</c:f>
              <c:numCache>
                <c:formatCode>0.00</c:formatCode>
                <c:ptCount val="2"/>
                <c:pt idx="0">
                  <c:v>0</c:v>
                </c:pt>
                <c:pt idx="1">
                  <c:v>0.55419288656652976</c:v>
                </c:pt>
              </c:numCache>
            </c:numRef>
          </c:xVal>
          <c:yVal>
            <c:numRef>
              <c:f>'Nozzle Design'!$Z$20:$Z$21</c:f>
              <c:numCache>
                <c:formatCode>0.00</c:formatCode>
                <c:ptCount val="2"/>
                <c:pt idx="0">
                  <c:v>0.5</c:v>
                </c:pt>
                <c:pt idx="1">
                  <c:v>0.11194996320391733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C4-4734-97D1-76ECE7B81866}"/>
            </c:ext>
          </c:extLst>
        </c:ser>
        <c:ser>
          <c:idx val="1"/>
          <c:order val="1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Design'!$Y$21:$Y$22</c:f>
              <c:numCache>
                <c:formatCode>0.00</c:formatCode>
                <c:ptCount val="2"/>
                <c:pt idx="0">
                  <c:v>0.55419288656652976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Design'!$Z$21:$Z$22</c:f>
              <c:numCache>
                <c:formatCode>0.00</c:formatCode>
                <c:ptCount val="2"/>
                <c:pt idx="0">
                  <c:v>0.11194996320391733</c:v>
                </c:pt>
                <c:pt idx="1">
                  <c:v>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C4-4734-97D1-76ECE7B81866}"/>
            </c:ext>
          </c:extLst>
        </c:ser>
        <c:ser>
          <c:idx val="2"/>
          <c:order val="2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Design'!$Y$22:$Y$23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Design'!$Z$22:$Z$23</c:f>
              <c:numCache>
                <c:formatCode>0.00</c:formatCode>
                <c:ptCount val="2"/>
                <c:pt idx="0">
                  <c:v>0.31664231254029768</c:v>
                </c:pt>
                <c:pt idx="1">
                  <c:v>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C4-4734-97D1-76ECE7B81866}"/>
            </c:ext>
          </c:extLst>
        </c:ser>
        <c:ser>
          <c:idx val="3"/>
          <c:order val="3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Design'!$Y$20:$Y$21</c:f>
              <c:numCache>
                <c:formatCode>0.00</c:formatCode>
                <c:ptCount val="2"/>
                <c:pt idx="0">
                  <c:v>0</c:v>
                </c:pt>
                <c:pt idx="1">
                  <c:v>0.55419288656652976</c:v>
                </c:pt>
              </c:numCache>
            </c:numRef>
          </c:xVal>
          <c:yVal>
            <c:numRef>
              <c:f>'Nozzle Design'!$AA$20:$AA$21</c:f>
              <c:numCache>
                <c:formatCode>0.00</c:formatCode>
                <c:ptCount val="2"/>
                <c:pt idx="0">
                  <c:v>-0.5</c:v>
                </c:pt>
                <c:pt idx="1">
                  <c:v>-0.11194996320391733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C4-4734-97D1-76ECE7B81866}"/>
            </c:ext>
          </c:extLst>
        </c:ser>
        <c:ser>
          <c:idx val="4"/>
          <c:order val="4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Design'!$Y$21:$Y$22</c:f>
              <c:numCache>
                <c:formatCode>0.00</c:formatCode>
                <c:ptCount val="2"/>
                <c:pt idx="0">
                  <c:v>0.55419288656652976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Design'!$AA$21:$AA$22</c:f>
              <c:numCache>
                <c:formatCode>0.00</c:formatCode>
                <c:ptCount val="2"/>
                <c:pt idx="0">
                  <c:v>-0.11194996320391733</c:v>
                </c:pt>
                <c:pt idx="1">
                  <c:v>-0.31664231254029768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C4-4734-97D1-76ECE7B81866}"/>
            </c:ext>
          </c:extLst>
        </c:ser>
        <c:ser>
          <c:idx val="5"/>
          <c:order val="5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Design'!$Y$22:$Y$23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Design'!$AA$22:$AA$23</c:f>
              <c:numCache>
                <c:formatCode>0.00</c:formatCode>
                <c:ptCount val="2"/>
                <c:pt idx="0">
                  <c:v>-0.31664231254029768</c:v>
                </c:pt>
                <c:pt idx="1">
                  <c:v>-0.33181511450933843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C4-4734-97D1-76ECE7B81866}"/>
            </c:ext>
          </c:extLst>
        </c:ser>
        <c:ser>
          <c:idx val="6"/>
          <c:order val="6"/>
          <c:spPr>
            <a:ln w="22225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Design'!$Y$24:$Y$25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Design'!$Z$24:$Z$25</c:f>
              <c:numCache>
                <c:formatCode>0.00</c:formatCode>
                <c:ptCount val="2"/>
                <c:pt idx="0">
                  <c:v>0.31664231254029768</c:v>
                </c:pt>
                <c:pt idx="1">
                  <c:v>-0.31664231254029768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C4-4734-97D1-76ECE7B81866}"/>
            </c:ext>
          </c:extLst>
        </c:ser>
        <c:ser>
          <c:idx val="7"/>
          <c:order val="7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Design'!$Y$26:$Y$27</c:f>
              <c:numCache>
                <c:formatCode>0.00</c:formatCode>
                <c:ptCount val="2"/>
                <c:pt idx="0">
                  <c:v>1.5885770974230502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Design'!$Z$26:$Z$27</c:f>
              <c:numCache>
                <c:formatCode>0.00</c:formatCode>
                <c:ptCount val="2"/>
                <c:pt idx="0">
                  <c:v>0.33181511450933843</c:v>
                </c:pt>
                <c:pt idx="1">
                  <c:v>-0.33181511450933843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C4-4734-97D1-76ECE7B81866}"/>
            </c:ext>
          </c:extLst>
        </c:ser>
        <c:ser>
          <c:idx val="8"/>
          <c:order val="8"/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C4-4734-97D1-76ECE7B818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pt-PT"/>
                      <a:t>exit plane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C4-4734-97D1-76ECE7B8186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'Nozzle Design'!$Y$28:$Y$29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Design'!$Z$28:$Z$29</c:f>
              <c:numCache>
                <c:formatCode>General</c:formatCode>
                <c:ptCount val="2"/>
                <c:pt idx="0">
                  <c:v>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AC4-4734-97D1-76ECE7B81866}"/>
            </c:ext>
          </c:extLst>
        </c:ser>
        <c:ser>
          <c:idx val="9"/>
          <c:order val="9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'Nozzle Design'!$Y$20:$Y$21</c:f>
              <c:numCache>
                <c:formatCode>0.00</c:formatCode>
                <c:ptCount val="2"/>
                <c:pt idx="0">
                  <c:v>0</c:v>
                </c:pt>
                <c:pt idx="1">
                  <c:v>0.55419288656652976</c:v>
                </c:pt>
              </c:numCache>
            </c:numRef>
          </c:xVal>
          <c:yVal>
            <c:numRef>
              <c:f>'Nozzle Design'!$Z$20:$Z$21</c:f>
              <c:numCache>
                <c:formatCode>0.00</c:formatCode>
                <c:ptCount val="2"/>
                <c:pt idx="0">
                  <c:v>0.5</c:v>
                </c:pt>
                <c:pt idx="1">
                  <c:v>0.11194996320391733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C4-4734-97D1-76ECE7B81866}"/>
            </c:ext>
          </c:extLst>
        </c:ser>
        <c:ser>
          <c:idx val="10"/>
          <c:order val="10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Design'!$Y$21:$Y$22</c:f>
              <c:numCache>
                <c:formatCode>0.00</c:formatCode>
                <c:ptCount val="2"/>
                <c:pt idx="0">
                  <c:v>0.55419288656652976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Design'!$Z$21:$Z$22</c:f>
              <c:numCache>
                <c:formatCode>0.00</c:formatCode>
                <c:ptCount val="2"/>
                <c:pt idx="0">
                  <c:v>0.11194996320391733</c:v>
                </c:pt>
                <c:pt idx="1">
                  <c:v>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AC4-4734-97D1-76ECE7B81866}"/>
            </c:ext>
          </c:extLst>
        </c:ser>
        <c:ser>
          <c:idx val="11"/>
          <c:order val="11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Design'!$Y$22:$Y$23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Design'!$Z$22:$Z$23</c:f>
              <c:numCache>
                <c:formatCode>0.00</c:formatCode>
                <c:ptCount val="2"/>
                <c:pt idx="0">
                  <c:v>0.31664231254029768</c:v>
                </c:pt>
                <c:pt idx="1">
                  <c:v>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AC4-4734-97D1-76ECE7B81866}"/>
            </c:ext>
          </c:extLst>
        </c:ser>
        <c:ser>
          <c:idx val="12"/>
          <c:order val="12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Design'!$Y$20:$Y$21</c:f>
              <c:numCache>
                <c:formatCode>0.00</c:formatCode>
                <c:ptCount val="2"/>
                <c:pt idx="0">
                  <c:v>0</c:v>
                </c:pt>
                <c:pt idx="1">
                  <c:v>0.55419288656652976</c:v>
                </c:pt>
              </c:numCache>
            </c:numRef>
          </c:xVal>
          <c:yVal>
            <c:numRef>
              <c:f>'Nozzle Design'!$AA$20:$AA$21</c:f>
              <c:numCache>
                <c:formatCode>0.00</c:formatCode>
                <c:ptCount val="2"/>
                <c:pt idx="0">
                  <c:v>-0.5</c:v>
                </c:pt>
                <c:pt idx="1">
                  <c:v>-0.11194996320391733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AC4-4734-97D1-76ECE7B81866}"/>
            </c:ext>
          </c:extLst>
        </c:ser>
        <c:ser>
          <c:idx val="13"/>
          <c:order val="13"/>
          <c:spPr>
            <a:ln w="254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Design'!$Y$21:$Y$22</c:f>
              <c:numCache>
                <c:formatCode>0.00</c:formatCode>
                <c:ptCount val="2"/>
                <c:pt idx="0">
                  <c:v>0.55419288656652976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Design'!$AA$21:$AA$22</c:f>
              <c:numCache>
                <c:formatCode>0.00</c:formatCode>
                <c:ptCount val="2"/>
                <c:pt idx="0">
                  <c:v>-0.11194996320391733</c:v>
                </c:pt>
                <c:pt idx="1">
                  <c:v>-0.31664231254029768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AC4-4734-97D1-76ECE7B81866}"/>
            </c:ext>
          </c:extLst>
        </c:ser>
        <c:ser>
          <c:idx val="14"/>
          <c:order val="14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Design'!$Y$22:$Y$23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Design'!$AA$22:$AA$23</c:f>
              <c:numCache>
                <c:formatCode>0.00</c:formatCode>
                <c:ptCount val="2"/>
                <c:pt idx="0">
                  <c:v>-0.31664231254029768</c:v>
                </c:pt>
                <c:pt idx="1">
                  <c:v>-0.33181511450933843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AC4-4734-97D1-76ECE7B81866}"/>
            </c:ext>
          </c:extLst>
        </c:ser>
        <c:ser>
          <c:idx val="15"/>
          <c:order val="15"/>
          <c:spPr>
            <a:ln w="22225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'Nozzle Design'!$Y$24:$Y$25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Design'!$Z$24:$Z$25</c:f>
              <c:numCache>
                <c:formatCode>0.00</c:formatCode>
                <c:ptCount val="2"/>
                <c:pt idx="0">
                  <c:v>0.31664231254029768</c:v>
                </c:pt>
                <c:pt idx="1">
                  <c:v>-0.31664231254029768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AC4-4734-97D1-76ECE7B81866}"/>
            </c:ext>
          </c:extLst>
        </c:ser>
        <c:ser>
          <c:idx val="16"/>
          <c:order val="16"/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'Nozzle Design'!$Y$26:$Y$27</c:f>
              <c:numCache>
                <c:formatCode>0.00</c:formatCode>
                <c:ptCount val="2"/>
                <c:pt idx="0">
                  <c:v>1.5885770974230502</c:v>
                </c:pt>
                <c:pt idx="1">
                  <c:v>1.5885770974230502</c:v>
                </c:pt>
              </c:numCache>
            </c:numRef>
          </c:xVal>
          <c:yVal>
            <c:numRef>
              <c:f>'Nozzle Design'!$Z$26:$Z$27</c:f>
              <c:numCache>
                <c:formatCode>0.00</c:formatCode>
                <c:ptCount val="2"/>
                <c:pt idx="0">
                  <c:v>0.33181511450933843</c:v>
                </c:pt>
                <c:pt idx="1">
                  <c:v>-0.33181511450933843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AC4-4734-97D1-76ECE7B81866}"/>
            </c:ext>
          </c:extLst>
        </c:ser>
        <c:ser>
          <c:idx val="17"/>
          <c:order val="17"/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'Nozzle Design'!$Y$28:$Y$29</c:f>
              <c:numCache>
                <c:formatCode>0.00</c:formatCode>
                <c:ptCount val="2"/>
                <c:pt idx="0">
                  <c:v>1.5171946764343469</c:v>
                </c:pt>
                <c:pt idx="1">
                  <c:v>1.5171946764343469</c:v>
                </c:pt>
              </c:numCache>
            </c:numRef>
          </c:xVal>
          <c:yVal>
            <c:numRef>
              <c:f>'Nozzle Design'!$Z$28:$Z$29</c:f>
              <c:numCache>
                <c:formatCode>General</c:formatCode>
                <c:ptCount val="2"/>
                <c:pt idx="0">
                  <c:v>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AC4-4734-97D1-76ECE7B81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85951"/>
        <c:axId val="1"/>
      </c:scatterChart>
      <c:valAx>
        <c:axId val="461185951"/>
        <c:scaling>
          <c:orientation val="minMax"/>
          <c:max val="2.5"/>
          <c:min val="0"/>
        </c:scaling>
        <c:delete val="0"/>
        <c:axPos val="b"/>
        <c:numFmt formatCode="0.00" sourceLinked="1"/>
        <c:majorTickMark val="none"/>
        <c:minorTickMark val="none"/>
        <c:tickLblPos val="none"/>
        <c:crossAx val="1"/>
        <c:crosses val="autoZero"/>
        <c:crossBetween val="midCat"/>
      </c:valAx>
      <c:valAx>
        <c:axId val="1"/>
        <c:scaling>
          <c:orientation val="minMax"/>
          <c:max val="1"/>
          <c:min val="-1"/>
        </c:scaling>
        <c:delete val="0"/>
        <c:axPos val="l"/>
        <c:numFmt formatCode="0.00" sourceLinked="1"/>
        <c:majorTickMark val="none"/>
        <c:minorTickMark val="none"/>
        <c:tickLblPos val="none"/>
        <c:crossAx val="461185951"/>
        <c:crosses val="autoZero"/>
        <c:crossBetween val="midCat"/>
        <c:majorUnit val="0.2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556608550231567"/>
          <c:y val="0.10625048637612781"/>
          <c:w val="0.68591301366850743"/>
          <c:h val="0.62812787534122627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333399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9933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xVal>
            <c:numRef>
              <c:f>Output!$C$24:$C$46</c:f>
              <c:numCache>
                <c:formatCode>0.000</c:formatCode>
                <c:ptCount val="23"/>
                <c:pt idx="0">
                  <c:v>0</c:v>
                </c:pt>
                <c:pt idx="1">
                  <c:v>0.13216739721887991</c:v>
                </c:pt>
                <c:pt idx="2">
                  <c:v>0.13479998096386012</c:v>
                </c:pt>
                <c:pt idx="3">
                  <c:v>0.23909601841983627</c:v>
                </c:pt>
                <c:pt idx="4">
                  <c:v>0.33958711800376656</c:v>
                </c:pt>
                <c:pt idx="5">
                  <c:v>0.43481499743339447</c:v>
                </c:pt>
                <c:pt idx="6">
                  <c:v>0.52855732155512936</c:v>
                </c:pt>
                <c:pt idx="7">
                  <c:v>0.62251683145304293</c:v>
                </c:pt>
                <c:pt idx="8">
                  <c:v>0.71664958190908157</c:v>
                </c:pt>
                <c:pt idx="9">
                  <c:v>0.81091359761792048</c:v>
                </c:pt>
                <c:pt idx="10">
                  <c:v>0.90526810859689011</c:v>
                </c:pt>
                <c:pt idx="11">
                  <c:v>0.99967316091972669</c:v>
                </c:pt>
                <c:pt idx="12">
                  <c:v>1.094089253734817</c:v>
                </c:pt>
                <c:pt idx="13">
                  <c:v>1.188476990615537</c:v>
                </c:pt>
                <c:pt idx="14">
                  <c:v>1.282796734278</c:v>
                </c:pt>
                <c:pt idx="15">
                  <c:v>1.3770082539341457</c:v>
                </c:pt>
                <c:pt idx="16">
                  <c:v>1.4710703540564696</c:v>
                </c:pt>
                <c:pt idx="17">
                  <c:v>1.5649404720570101</c:v>
                </c:pt>
                <c:pt idx="18">
                  <c:v>1.6585742301728803</c:v>
                </c:pt>
                <c:pt idx="19">
                  <c:v>1.752940050985208</c:v>
                </c:pt>
                <c:pt idx="20">
                  <c:v>1.8521554051685063</c:v>
                </c:pt>
                <c:pt idx="21">
                  <c:v>1.9528233782199038</c:v>
                </c:pt>
                <c:pt idx="22">
                  <c:v>2.0270179273011379</c:v>
                </c:pt>
              </c:numCache>
            </c:numRef>
          </c:xVal>
          <c:yVal>
            <c:numRef>
              <c:f>Output!$D$24:$D$46</c:f>
              <c:numCache>
                <c:formatCode>0</c:formatCode>
                <c:ptCount val="23"/>
                <c:pt idx="0">
                  <c:v>0</c:v>
                </c:pt>
                <c:pt idx="1">
                  <c:v>1401.9066201734465</c:v>
                </c:pt>
                <c:pt idx="2">
                  <c:v>1405.8775988048385</c:v>
                </c:pt>
                <c:pt idx="3">
                  <c:v>1561.4628031491618</c:v>
                </c:pt>
                <c:pt idx="4">
                  <c:v>1712.7859814408434</c:v>
                </c:pt>
                <c:pt idx="5">
                  <c:v>1848.2422733135593</c:v>
                </c:pt>
                <c:pt idx="6">
                  <c:v>1883.941320269309</c:v>
                </c:pt>
                <c:pt idx="7">
                  <c:v>1912.9352272988185</c:v>
                </c:pt>
                <c:pt idx="8">
                  <c:v>1935.7953388399419</c:v>
                </c:pt>
                <c:pt idx="9">
                  <c:v>1952.5592144299292</c:v>
                </c:pt>
                <c:pt idx="10">
                  <c:v>1963.2542293497061</c:v>
                </c:pt>
                <c:pt idx="11">
                  <c:v>1967.8980631518859</c:v>
                </c:pt>
                <c:pt idx="12">
                  <c:v>1966.4990070862718</c:v>
                </c:pt>
                <c:pt idx="13">
                  <c:v>1959.0561099983727</c:v>
                </c:pt>
                <c:pt idx="14">
                  <c:v>1945.5591699625174</c:v>
                </c:pt>
                <c:pt idx="15">
                  <c:v>1925.9885713941908</c:v>
                </c:pt>
                <c:pt idx="16">
                  <c:v>1900.314959852913</c:v>
                </c:pt>
                <c:pt idx="17">
                  <c:v>1868.4987384862745</c:v>
                </c:pt>
                <c:pt idx="18">
                  <c:v>1830.4893602502193</c:v>
                </c:pt>
                <c:pt idx="19">
                  <c:v>1743.1172201236407</c:v>
                </c:pt>
                <c:pt idx="20">
                  <c:v>1590.6022415159896</c:v>
                </c:pt>
                <c:pt idx="21">
                  <c:v>924.77255473673176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3-4EB9-A11B-C83BCEAC8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86911"/>
        <c:axId val="1"/>
      </c:scatterChart>
      <c:valAx>
        <c:axId val="461186911"/>
        <c:scaling>
          <c:orientation val="minMax"/>
        </c:scaling>
        <c:delete val="0"/>
        <c:axPos val="b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(seconds)</a:t>
                </a:r>
              </a:p>
            </c:rich>
          </c:tx>
          <c:layout>
            <c:manualLayout>
              <c:xMode val="edge"/>
              <c:yMode val="edge"/>
              <c:x val="0.44198966126464112"/>
              <c:y val="0.853574463264034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Thrust  (Newtons)</a:t>
                </a:r>
              </a:p>
            </c:rich>
          </c:tx>
          <c:layout>
            <c:manualLayout>
              <c:xMode val="edge"/>
              <c:yMode val="edge"/>
              <c:x val="5.2486167760885848E-2"/>
              <c:y val="0.232143733831832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118691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79358340872712"/>
          <c:y val="0.10658347995858013"/>
          <c:w val="0.70804756655793499"/>
          <c:h val="0.6269616468151771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333399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9933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xVal>
            <c:numRef>
              <c:f>Output!$C$24:$C$46</c:f>
              <c:numCache>
                <c:formatCode>0.000</c:formatCode>
                <c:ptCount val="23"/>
                <c:pt idx="0">
                  <c:v>0</c:v>
                </c:pt>
                <c:pt idx="1">
                  <c:v>0.13216739721887991</c:v>
                </c:pt>
                <c:pt idx="2">
                  <c:v>0.13479998096386012</c:v>
                </c:pt>
                <c:pt idx="3">
                  <c:v>0.23909601841983627</c:v>
                </c:pt>
                <c:pt idx="4">
                  <c:v>0.33958711800376656</c:v>
                </c:pt>
                <c:pt idx="5">
                  <c:v>0.43481499743339447</c:v>
                </c:pt>
                <c:pt idx="6">
                  <c:v>0.52855732155512936</c:v>
                </c:pt>
                <c:pt idx="7">
                  <c:v>0.62251683145304293</c:v>
                </c:pt>
                <c:pt idx="8">
                  <c:v>0.71664958190908157</c:v>
                </c:pt>
                <c:pt idx="9">
                  <c:v>0.81091359761792048</c:v>
                </c:pt>
                <c:pt idx="10">
                  <c:v>0.90526810859689011</c:v>
                </c:pt>
                <c:pt idx="11">
                  <c:v>0.99967316091972669</c:v>
                </c:pt>
                <c:pt idx="12">
                  <c:v>1.094089253734817</c:v>
                </c:pt>
                <c:pt idx="13">
                  <c:v>1.188476990615537</c:v>
                </c:pt>
                <c:pt idx="14">
                  <c:v>1.282796734278</c:v>
                </c:pt>
                <c:pt idx="15">
                  <c:v>1.3770082539341457</c:v>
                </c:pt>
                <c:pt idx="16">
                  <c:v>1.4710703540564696</c:v>
                </c:pt>
                <c:pt idx="17">
                  <c:v>1.5649404720570101</c:v>
                </c:pt>
                <c:pt idx="18">
                  <c:v>1.6585742301728803</c:v>
                </c:pt>
                <c:pt idx="19">
                  <c:v>1.752940050985208</c:v>
                </c:pt>
                <c:pt idx="20">
                  <c:v>1.8521554051685063</c:v>
                </c:pt>
                <c:pt idx="21">
                  <c:v>1.9528233782199038</c:v>
                </c:pt>
                <c:pt idx="22">
                  <c:v>2.0270179273011379</c:v>
                </c:pt>
              </c:numCache>
            </c:numRef>
          </c:xVal>
          <c:yVal>
            <c:numRef>
              <c:f>Output!$E$24:$E$46</c:f>
              <c:numCache>
                <c:formatCode>0</c:formatCode>
                <c:ptCount val="23"/>
                <c:pt idx="0">
                  <c:v>0</c:v>
                </c:pt>
                <c:pt idx="1">
                  <c:v>315.16267707689548</c:v>
                </c:pt>
                <c:pt idx="2">
                  <c:v>316.0553929240678</c:v>
                </c:pt>
                <c:pt idx="3">
                  <c:v>351.0325082390994</c:v>
                </c:pt>
                <c:pt idx="4">
                  <c:v>385.05147732584942</c:v>
                </c:pt>
                <c:pt idx="5">
                  <c:v>415.50341111316021</c:v>
                </c:pt>
                <c:pt idx="6">
                  <c:v>423.52891512731196</c:v>
                </c:pt>
                <c:pt idx="7">
                  <c:v>430.04703639647914</c:v>
                </c:pt>
                <c:pt idx="8">
                  <c:v>435.18621888402993</c:v>
                </c:pt>
                <c:pt idx="9">
                  <c:v>438.95490635086759</c:v>
                </c:pt>
                <c:pt idx="10">
                  <c:v>441.35925303486943</c:v>
                </c:pt>
                <c:pt idx="11">
                  <c:v>442.40323347688638</c:v>
                </c:pt>
                <c:pt idx="12">
                  <c:v>442.08871163308123</c:v>
                </c:pt>
                <c:pt idx="13">
                  <c:v>440.41547367437903</c:v>
                </c:pt>
                <c:pt idx="14">
                  <c:v>437.38122610550727</c:v>
                </c:pt>
                <c:pt idx="15">
                  <c:v>432.98155914621441</c:v>
                </c:pt>
                <c:pt idx="16">
                  <c:v>427.2098736236934</c:v>
                </c:pt>
                <c:pt idx="17">
                  <c:v>420.05726776814771</c:v>
                </c:pt>
                <c:pt idx="18">
                  <c:v>411.51237809680754</c:v>
                </c:pt>
                <c:pt idx="19">
                  <c:v>391.87024417149422</c:v>
                </c:pt>
                <c:pt idx="20">
                  <c:v>357.58334641337837</c:v>
                </c:pt>
                <c:pt idx="21">
                  <c:v>207.8981508782725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C-44CB-8C4B-03838636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181151"/>
        <c:axId val="1"/>
      </c:scatterChart>
      <c:valAx>
        <c:axId val="461181151"/>
        <c:scaling>
          <c:orientation val="minMax"/>
        </c:scaling>
        <c:delete val="0"/>
        <c:axPos val="b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Time  (seconds)</a:t>
                </a:r>
              </a:p>
            </c:rich>
          </c:tx>
          <c:layout>
            <c:manualLayout>
              <c:xMode val="edge"/>
              <c:yMode val="edge"/>
              <c:x val="0.43093995156682768"/>
              <c:y val="0.8540955230058608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80008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Thrust  (Pounds)</a:t>
                </a:r>
              </a:p>
            </c:rich>
          </c:tx>
          <c:layout>
            <c:manualLayout>
              <c:xMode val="edge"/>
              <c:yMode val="edge"/>
              <c:x val="5.2486187845303872E-2"/>
              <c:y val="0.245552168882115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80008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118115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54174397031541"/>
          <c:y val="0.10000057445182935"/>
          <c:w val="0.47866419294990725"/>
          <c:h val="0.72353311718388147"/>
        </c:manualLayout>
      </c:layout>
      <c:scatterChart>
        <c:scatterStyle val="smoothMarker"/>
        <c:varyColors val="0"/>
        <c:ser>
          <c:idx val="0"/>
          <c:order val="0"/>
          <c:tx>
            <c:v>KNDX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Burnrate!$M$9:$M$54</c:f>
              <c:numCache>
                <c:formatCode>General</c:formatCode>
                <c:ptCount val="46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0.77900000000000003</c:v>
                </c:pt>
                <c:pt idx="4">
                  <c:v>1.0289999999999999</c:v>
                </c:pt>
                <c:pt idx="5">
                  <c:v>1.2789999999999999</c:v>
                </c:pt>
                <c:pt idx="6">
                  <c:v>1.5289999999999999</c:v>
                </c:pt>
                <c:pt idx="7">
                  <c:v>1.7789999999999999</c:v>
                </c:pt>
                <c:pt idx="8">
                  <c:v>2.0289999999999999</c:v>
                </c:pt>
                <c:pt idx="9">
                  <c:v>2.2789999999999999</c:v>
                </c:pt>
                <c:pt idx="10">
                  <c:v>2.5720000000000001</c:v>
                </c:pt>
                <c:pt idx="11">
                  <c:v>2.8220000000000001</c:v>
                </c:pt>
                <c:pt idx="12">
                  <c:v>3.0720000000000001</c:v>
                </c:pt>
                <c:pt idx="13">
                  <c:v>3.3220000000000001</c:v>
                </c:pt>
                <c:pt idx="14">
                  <c:v>3.5720000000000001</c:v>
                </c:pt>
                <c:pt idx="15">
                  <c:v>3.8220000000000001</c:v>
                </c:pt>
                <c:pt idx="16">
                  <c:v>4.0720000000000001</c:v>
                </c:pt>
                <c:pt idx="17">
                  <c:v>4.3220000000000001</c:v>
                </c:pt>
                <c:pt idx="18">
                  <c:v>4.5720000000000001</c:v>
                </c:pt>
                <c:pt idx="19">
                  <c:v>4.8220000000000001</c:v>
                </c:pt>
                <c:pt idx="20">
                  <c:v>5.0720000000000001</c:v>
                </c:pt>
                <c:pt idx="21">
                  <c:v>5.3220000000000001</c:v>
                </c:pt>
                <c:pt idx="22">
                  <c:v>5.5720000000000001</c:v>
                </c:pt>
                <c:pt idx="23">
                  <c:v>5.93</c:v>
                </c:pt>
                <c:pt idx="24">
                  <c:v>6.18</c:v>
                </c:pt>
                <c:pt idx="25">
                  <c:v>6.43</c:v>
                </c:pt>
                <c:pt idx="26">
                  <c:v>6.68</c:v>
                </c:pt>
                <c:pt idx="27">
                  <c:v>6.93</c:v>
                </c:pt>
                <c:pt idx="28">
                  <c:v>7.18</c:v>
                </c:pt>
                <c:pt idx="29">
                  <c:v>7.43</c:v>
                </c:pt>
                <c:pt idx="30">
                  <c:v>7.68</c:v>
                </c:pt>
                <c:pt idx="31">
                  <c:v>7.93</c:v>
                </c:pt>
                <c:pt idx="32">
                  <c:v>8.18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</c:numCache>
            </c:numRef>
          </c:xVal>
          <c:yVal>
            <c:numRef>
              <c:f>Burnrate!$P$9:$P$54</c:f>
              <c:numCache>
                <c:formatCode>General</c:formatCode>
                <c:ptCount val="46"/>
                <c:pt idx="0">
                  <c:v>2.1325053799737348</c:v>
                </c:pt>
                <c:pt idx="1">
                  <c:v>3.7612688985091727</c:v>
                </c:pt>
                <c:pt idx="2">
                  <c:v>5.7777967355870876</c:v>
                </c:pt>
                <c:pt idx="3">
                  <c:v>7.6036003680458659</c:v>
                </c:pt>
                <c:pt idx="4">
                  <c:v>7.5509061978369258</c:v>
                </c:pt>
                <c:pt idx="5">
                  <c:v>7.5366320912941802</c:v>
                </c:pt>
                <c:pt idx="6">
                  <c:v>7.5249348438442505</c:v>
                </c:pt>
                <c:pt idx="7">
                  <c:v>7.5150272244598799</c:v>
                </c:pt>
                <c:pt idx="8">
                  <c:v>7.5064351188758884</c:v>
                </c:pt>
                <c:pt idx="9">
                  <c:v>7.4988508095539634</c:v>
                </c:pt>
                <c:pt idx="10">
                  <c:v>7.3583290655181441</c:v>
                </c:pt>
                <c:pt idx="11">
                  <c:v>7.8433945471532729</c:v>
                </c:pt>
                <c:pt idx="12">
                  <c:v>8.3152250095321865</c:v>
                </c:pt>
                <c:pt idx="13">
                  <c:v>8.7752187637091339</c:v>
                </c:pt>
                <c:pt idx="14">
                  <c:v>9.2245329836184613</c:v>
                </c:pt>
                <c:pt idx="15">
                  <c:v>9.6641391797676466</c:v>
                </c:pt>
                <c:pt idx="16">
                  <c:v>10.094863127774543</c:v>
                </c:pt>
                <c:pt idx="17">
                  <c:v>10.517414293326143</c:v>
                </c:pt>
                <c:pt idx="18">
                  <c:v>10.932407963195997</c:v>
                </c:pt>
                <c:pt idx="19">
                  <c:v>11.340382189469967</c:v>
                </c:pt>
                <c:pt idx="20">
                  <c:v>11.741810967849634</c:v>
                </c:pt>
                <c:pt idx="21">
                  <c:v>12.137114630927718</c:v>
                </c:pt>
                <c:pt idx="22">
                  <c:v>12.526668147844054</c:v>
                </c:pt>
                <c:pt idx="23">
                  <c:v>13.217360622834429</c:v>
                </c:pt>
                <c:pt idx="24">
                  <c:v>13.136774539884957</c:v>
                </c:pt>
                <c:pt idx="25">
                  <c:v>13.059847161795481</c:v>
                </c:pt>
                <c:pt idx="26">
                  <c:v>12.986279488740509</c:v>
                </c:pt>
                <c:pt idx="27">
                  <c:v>12.915807022080093</c:v>
                </c:pt>
                <c:pt idx="28">
                  <c:v>12.848194703751872</c:v>
                </c:pt>
                <c:pt idx="29">
                  <c:v>12.783232745506083</c:v>
                </c:pt>
                <c:pt idx="30">
                  <c:v>12.720733167280462</c:v>
                </c:pt>
                <c:pt idx="31">
                  <c:v>12.660526905315331</c:v>
                </c:pt>
                <c:pt idx="32">
                  <c:v>12.602461381483874</c:v>
                </c:pt>
                <c:pt idx="33">
                  <c:v>12.531042318830446</c:v>
                </c:pt>
                <c:pt idx="34">
                  <c:v>12.447445669176275</c:v>
                </c:pt>
                <c:pt idx="35">
                  <c:v>12.603297815275388</c:v>
                </c:pt>
                <c:pt idx="36">
                  <c:v>12.756751208083816</c:v>
                </c:pt>
                <c:pt idx="37">
                  <c:v>12.907906140183</c:v>
                </c:pt>
                <c:pt idx="38">
                  <c:v>13.056856199302223</c:v>
                </c:pt>
                <c:pt idx="39">
                  <c:v>13.203688875937655</c:v>
                </c:pt>
                <c:pt idx="40">
                  <c:v>13.348486102178473</c:v>
                </c:pt>
                <c:pt idx="41">
                  <c:v>13.491324731007724</c:v>
                </c:pt>
                <c:pt idx="42">
                  <c:v>13.632276963907207</c:v>
                </c:pt>
                <c:pt idx="43">
                  <c:v>13.771410733408681</c:v>
                </c:pt>
                <c:pt idx="44">
                  <c:v>13.908790046249266</c:v>
                </c:pt>
                <c:pt idx="45">
                  <c:v>14.044475291969215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9-4EEF-9CDD-F42DF24BF382}"/>
            </c:ext>
          </c:extLst>
        </c:ser>
        <c:ser>
          <c:idx val="1"/>
          <c:order val="1"/>
          <c:tx>
            <c:v>KNSB fine</c:v>
          </c:tx>
          <c:spPr>
            <a:ln w="1905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Burnrate!$U$9:$U$83</c:f>
              <c:numCache>
                <c:formatCode>General</c:formatCode>
                <c:ptCount val="75"/>
                <c:pt idx="0">
                  <c:v>2.5961439795794132</c:v>
                </c:pt>
                <c:pt idx="1">
                  <c:v>4.5095242519879797</c:v>
                </c:pt>
                <c:pt idx="2">
                  <c:v>6.0172969584618192</c:v>
                </c:pt>
                <c:pt idx="3">
                  <c:v>7.3244229711811482</c:v>
                </c:pt>
                <c:pt idx="4">
                  <c:v>8.5038132745340107</c:v>
                </c:pt>
                <c:pt idx="5">
                  <c:v>9.3740448526367466</c:v>
                </c:pt>
                <c:pt idx="6">
                  <c:v>8.8939071755279144</c:v>
                </c:pt>
                <c:pt idx="7">
                  <c:v>8.5023135353635624</c:v>
                </c:pt>
                <c:pt idx="8">
                  <c:v>8.1740270219434006</c:v>
                </c:pt>
                <c:pt idx="9">
                  <c:v>7.8929886040141852</c:v>
                </c:pt>
                <c:pt idx="10">
                  <c:v>7.7102095237583672</c:v>
                </c:pt>
                <c:pt idx="11">
                  <c:v>7.801213608674356</c:v>
                </c:pt>
                <c:pt idx="12">
                  <c:v>7.7925632490984515</c:v>
                </c:pt>
                <c:pt idx="13">
                  <c:v>7.7846019298594484</c:v>
                </c:pt>
                <c:pt idx="14">
                  <c:v>7.7772284917136059</c:v>
                </c:pt>
                <c:pt idx="15">
                  <c:v>7.7703625013564839</c:v>
                </c:pt>
                <c:pt idx="16">
                  <c:v>7.7639389539880135</c:v>
                </c:pt>
                <c:pt idx="17">
                  <c:v>7.7579045664627335</c:v>
                </c:pt>
                <c:pt idx="18">
                  <c:v>7.7522151204058236</c:v>
                </c:pt>
                <c:pt idx="19">
                  <c:v>7.7468335175651957</c:v>
                </c:pt>
                <c:pt idx="20">
                  <c:v>7.7417283299614903</c:v>
                </c:pt>
                <c:pt idx="21">
                  <c:v>7.7368727010922083</c:v>
                </c:pt>
                <c:pt idx="22">
                  <c:v>7.7322435009134436</c:v>
                </c:pt>
                <c:pt idx="23">
                  <c:v>7.7278206673804695</c:v>
                </c:pt>
                <c:pt idx="24">
                  <c:v>7.723586687220636</c:v>
                </c:pt>
                <c:pt idx="25">
                  <c:v>7.7172784893185353</c:v>
                </c:pt>
                <c:pt idx="26">
                  <c:v>8.1393047534918015</c:v>
                </c:pt>
                <c:pt idx="27">
                  <c:v>8.3005486392322965</c:v>
                </c:pt>
                <c:pt idx="28">
                  <c:v>8.4591190785716908</c:v>
                </c:pt>
                <c:pt idx="29">
                  <c:v>8.6151510103659632</c:v>
                </c:pt>
                <c:pt idx="30">
                  <c:v>8.7687682925235677</c:v>
                </c:pt>
                <c:pt idx="31">
                  <c:v>8.9200849400797466</c:v>
                </c:pt>
                <c:pt idx="32">
                  <c:v>9.069206190561534</c:v>
                </c:pt>
                <c:pt idx="33">
                  <c:v>9.2162294252424335</c:v>
                </c:pt>
                <c:pt idx="34">
                  <c:v>9.3612449694474318</c:v>
                </c:pt>
                <c:pt idx="35">
                  <c:v>9.5043367907911236</c:v>
                </c:pt>
                <c:pt idx="36">
                  <c:v>9.6455831108406453</c:v>
                </c:pt>
                <c:pt idx="37">
                  <c:v>9.7850569429885326</c:v>
                </c:pt>
                <c:pt idx="38">
                  <c:v>9.9228265671455205</c:v>
                </c:pt>
                <c:pt idx="39">
                  <c:v>10.05895595010481</c:v>
                </c:pt>
                <c:pt idx="40">
                  <c:v>10.193505118998692</c:v>
                </c:pt>
                <c:pt idx="41">
                  <c:v>10.326530494098591</c:v>
                </c:pt>
                <c:pt idx="42">
                  <c:v>10.458085186247397</c:v>
                </c:pt>
                <c:pt idx="43">
                  <c:v>10.58821926341796</c:v>
                </c:pt>
                <c:pt idx="44">
                  <c:v>10.716979990231412</c:v>
                </c:pt>
                <c:pt idx="45">
                  <c:v>10.84441204371837</c:v>
                </c:pt>
                <c:pt idx="46">
                  <c:v>10.970557708144641</c:v>
                </c:pt>
                <c:pt idx="47">
                  <c:v>10.932488733891011</c:v>
                </c:pt>
                <c:pt idx="48">
                  <c:v>10.946926612745623</c:v>
                </c:pt>
                <c:pt idx="49">
                  <c:v>10.961090363496956</c:v>
                </c:pt>
                <c:pt idx="50">
                  <c:v>10.97499053683531</c:v>
                </c:pt>
                <c:pt idx="51">
                  <c:v>10.988637079627617</c:v>
                </c:pt>
                <c:pt idx="52">
                  <c:v>11.0020393803598</c:v>
                </c:pt>
                <c:pt idx="53">
                  <c:v>11.015206310370765</c:v>
                </c:pt>
                <c:pt idx="54">
                  <c:v>11.028146261338042</c:v>
                </c:pt>
                <c:pt idx="55">
                  <c:v>11.040867179417527</c:v>
                </c:pt>
                <c:pt idx="56">
                  <c:v>11.053376596390002</c:v>
                </c:pt>
                <c:pt idx="57">
                  <c:v>11.065681658124634</c:v>
                </c:pt>
                <c:pt idx="58">
                  <c:v>11.077789150632556</c:v>
                </c:pt>
                <c:pt idx="59">
                  <c:v>11.089705523951828</c:v>
                </c:pt>
                <c:pt idx="60">
                  <c:v>11.101436914077221</c:v>
                </c:pt>
                <c:pt idx="61">
                  <c:v>11.112989163124192</c:v>
                </c:pt>
                <c:pt idx="62">
                  <c:v>11.124367837895285</c:v>
                </c:pt>
                <c:pt idx="63">
                  <c:v>11.135578246998753</c:v>
                </c:pt>
                <c:pt idx="64">
                  <c:v>11.146625456653096</c:v>
                </c:pt>
                <c:pt idx="65">
                  <c:v>11.157514305296953</c:v>
                </c:pt>
                <c:pt idx="66">
                  <c:v>11.168249417111291</c:v>
                </c:pt>
                <c:pt idx="67">
                  <c:v>11.178835214549855</c:v>
                </c:pt>
                <c:pt idx="68">
                  <c:v>11.189275929964063</c:v>
                </c:pt>
                <c:pt idx="69">
                  <c:v>11.19957561639991</c:v>
                </c:pt>
                <c:pt idx="70">
                  <c:v>11.209738157636787</c:v>
                </c:pt>
                <c:pt idx="71">
                  <c:v>11.219767277531348</c:v>
                </c:pt>
                <c:pt idx="72">
                  <c:v>11.22966654872347</c:v>
                </c:pt>
                <c:pt idx="73">
                  <c:v>11.239439400755961</c:v>
                </c:pt>
                <c:pt idx="74">
                  <c:v>11.249089127654859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9-4EEF-9CDD-F42DF24BF382}"/>
            </c:ext>
          </c:extLst>
        </c:ser>
        <c:ser>
          <c:idx val="2"/>
          <c:order val="2"/>
          <c:tx>
            <c:v>KNSB/KNER Coarse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Burnrate!$X$9:$X$83</c:f>
              <c:numCache>
                <c:formatCode>General</c:formatCode>
                <c:ptCount val="75"/>
                <c:pt idx="0">
                  <c:v>3.1146140765372103</c:v>
                </c:pt>
                <c:pt idx="1">
                  <c:v>3.7831631063172546</c:v>
                </c:pt>
                <c:pt idx="2">
                  <c:v>4.1876611638803078</c:v>
                </c:pt>
                <c:pt idx="3">
                  <c:v>4.4878351897905322</c:v>
                </c:pt>
                <c:pt idx="4">
                  <c:v>4.7301144132054924</c:v>
                </c:pt>
                <c:pt idx="5">
                  <c:v>4.8936121159802841</c:v>
                </c:pt>
                <c:pt idx="6">
                  <c:v>5.0771267720387012</c:v>
                </c:pt>
                <c:pt idx="7">
                  <c:v>5.2397501080146469</c:v>
                </c:pt>
                <c:pt idx="8">
                  <c:v>5.3862260238248547</c:v>
                </c:pt>
                <c:pt idx="9">
                  <c:v>5.5198044312655083</c:v>
                </c:pt>
                <c:pt idx="10">
                  <c:v>5.6111042914110296</c:v>
                </c:pt>
                <c:pt idx="11">
                  <c:v>5.7274833168357899</c:v>
                </c:pt>
                <c:pt idx="12">
                  <c:v>5.8360357294929761</c:v>
                </c:pt>
                <c:pt idx="13">
                  <c:v>5.937868048236747</c:v>
                </c:pt>
                <c:pt idx="14">
                  <c:v>6.0338603202130594</c:v>
                </c:pt>
                <c:pt idx="15">
                  <c:v>6.1247248523620117</c:v>
                </c:pt>
                <c:pt idx="16">
                  <c:v>6.2110469116140763</c:v>
                </c:pt>
                <c:pt idx="17">
                  <c:v>6.2933136860522163</c:v>
                </c:pt>
                <c:pt idx="18">
                  <c:v>6.371935369505298</c:v>
                </c:pt>
                <c:pt idx="19">
                  <c:v>6.4472608211874141</c:v>
                </c:pt>
                <c:pt idx="20">
                  <c:v>6.5195894024173873</c:v>
                </c:pt>
                <c:pt idx="21">
                  <c:v>6.589180064357417</c:v>
                </c:pt>
                <c:pt idx="22">
                  <c:v>6.6562584231512005</c:v>
                </c:pt>
                <c:pt idx="23">
                  <c:v>6.7210223376619975</c:v>
                </c:pt>
                <c:pt idx="24">
                  <c:v>6.7836463568428407</c:v>
                </c:pt>
                <c:pt idx="25">
                  <c:v>6.8780986019197048</c:v>
                </c:pt>
                <c:pt idx="26">
                  <c:v>6.9358913427372242</c:v>
                </c:pt>
                <c:pt idx="27">
                  <c:v>6.9920255211013549</c:v>
                </c:pt>
                <c:pt idx="28">
                  <c:v>7.0466059172433386</c:v>
                </c:pt>
                <c:pt idx="29">
                  <c:v>7.0997273261921308</c:v>
                </c:pt>
                <c:pt idx="30">
                  <c:v>7.1514758088742738</c:v>
                </c:pt>
                <c:pt idx="31">
                  <c:v>7.2019297513263716</c:v>
                </c:pt>
                <c:pt idx="32">
                  <c:v>7.2511607665049107</c:v>
                </c:pt>
                <c:pt idx="33">
                  <c:v>7.2992344661271771</c:v>
                </c:pt>
                <c:pt idx="34">
                  <c:v>7.3462111245320374</c:v>
                </c:pt>
                <c:pt idx="35">
                  <c:v>7.3921462523092965</c:v>
                </c:pt>
                <c:pt idx="36">
                  <c:v>7.4370910941186619</c:v>
                </c:pt>
                <c:pt idx="37">
                  <c:v>7.4810930624882701</c:v>
                </c:pt>
                <c:pt idx="38">
                  <c:v>7.5241961172882137</c:v>
                </c:pt>
                <c:pt idx="39">
                  <c:v>7.566441098895984</c:v>
                </c:pt>
                <c:pt idx="40">
                  <c:v>7.6078660217174825</c:v>
                </c:pt>
                <c:pt idx="41">
                  <c:v>7.6485063336296886</c:v>
                </c:pt>
                <c:pt idx="42">
                  <c:v>7.6883951460161137</c:v>
                </c:pt>
                <c:pt idx="43">
                  <c:v>7.7275634383324352</c:v>
                </c:pt>
                <c:pt idx="44">
                  <c:v>7.7660402405353262</c:v>
                </c:pt>
                <c:pt idx="45">
                  <c:v>7.8038527962071509</c:v>
                </c:pt>
                <c:pt idx="46">
                  <c:v>7.8410267087931862</c:v>
                </c:pt>
                <c:pt idx="47">
                  <c:v>7.8793120581569127</c:v>
                </c:pt>
                <c:pt idx="48">
                  <c:v>7.9152519394326157</c:v>
                </c:pt>
                <c:pt idx="49">
                  <c:v>7.9506223873730706</c:v>
                </c:pt>
                <c:pt idx="50">
                  <c:v>7.9854435818622189</c:v>
                </c:pt>
                <c:pt idx="51">
                  <c:v>8.0197346076317295</c:v>
                </c:pt>
                <c:pt idx="52">
                  <c:v>8.0535135335288697</c:v>
                </c:pt>
                <c:pt idx="53">
                  <c:v>8.0867974846651229</c:v>
                </c:pt>
                <c:pt idx="54">
                  <c:v>8.1196027082045017</c:v>
                </c:pt>
                <c:pt idx="55">
                  <c:v>8.1519446334572692</c:v>
                </c:pt>
                <c:pt idx="56">
                  <c:v>8.18383792686455</c:v>
                </c:pt>
                <c:pt idx="57">
                  <c:v>8.2152965423899076</c:v>
                </c:pt>
                <c:pt idx="58">
                  <c:v>8.2463337677738693</c:v>
                </c:pt>
                <c:pt idx="59">
                  <c:v>8.2769622670551541</c:v>
                </c:pt>
                <c:pt idx="60">
                  <c:v>8.3071941197169767</c:v>
                </c:pt>
                <c:pt idx="61">
                  <c:v>8.3370408567769818</c:v>
                </c:pt>
                <c:pt idx="62">
                  <c:v>8.3665134941047885</c:v>
                </c:pt>
                <c:pt idx="63">
                  <c:v>8.3956225632205825</c:v>
                </c:pt>
                <c:pt idx="64">
                  <c:v>8.4243781398014583</c:v>
                </c:pt>
                <c:pt idx="65">
                  <c:v>8.4527898700986448</c:v>
                </c:pt>
                <c:pt idx="66">
                  <c:v>8.4808669954479772</c:v>
                </c:pt>
                <c:pt idx="67">
                  <c:v>8.5086183750375515</c:v>
                </c:pt>
                <c:pt idx="68">
                  <c:v>8.5360525070802016</c:v>
                </c:pt>
                <c:pt idx="69">
                  <c:v>8.563177548524024</c:v>
                </c:pt>
                <c:pt idx="70">
                  <c:v>8.5900013334212488</c:v>
                </c:pt>
                <c:pt idx="71">
                  <c:v>8.6165313900643685</c:v>
                </c:pt>
                <c:pt idx="72">
                  <c:v>8.6427749569881502</c:v>
                </c:pt>
                <c:pt idx="73">
                  <c:v>8.6687389979270772</c:v>
                </c:pt>
                <c:pt idx="74">
                  <c:v>8.6944302158095503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F9-4EEF-9CDD-F42DF24BF382}"/>
            </c:ext>
          </c:extLst>
        </c:ser>
        <c:ser>
          <c:idx val="3"/>
          <c:order val="3"/>
          <c:tx>
            <c:v>KNSU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Burnrate!$AA$9:$AA$83</c:f>
              <c:numCache>
                <c:formatCode>General</c:formatCode>
                <c:ptCount val="75"/>
                <c:pt idx="0">
                  <c:v>4.0063235406169513</c:v>
                </c:pt>
                <c:pt idx="1">
                  <c:v>5.3112863117496252</c:v>
                </c:pt>
                <c:pt idx="2">
                  <c:v>6.154157302027957</c:v>
                </c:pt>
                <c:pt idx="3">
                  <c:v>6.8039853892487088</c:v>
                </c:pt>
                <c:pt idx="4">
                  <c:v>7.3430038203476196</c:v>
                </c:pt>
                <c:pt idx="5">
                  <c:v>7.7138769158553897</c:v>
                </c:pt>
                <c:pt idx="6">
                  <c:v>8.1368437956329398</c:v>
                </c:pt>
                <c:pt idx="7">
                  <c:v>8.5174619489981307</c:v>
                </c:pt>
                <c:pt idx="8">
                  <c:v>8.8648726296577909</c:v>
                </c:pt>
                <c:pt idx="9">
                  <c:v>9.1854242404966282</c:v>
                </c:pt>
                <c:pt idx="10">
                  <c:v>9.4065412024390511</c:v>
                </c:pt>
                <c:pt idx="11">
                  <c:v>9.6907507955007954</c:v>
                </c:pt>
                <c:pt idx="12">
                  <c:v>9.9582009066836878</c:v>
                </c:pt>
                <c:pt idx="13">
                  <c:v>10.211138208716385</c:v>
                </c:pt>
                <c:pt idx="14">
                  <c:v>10.451364245048202</c:v>
                </c:pt>
                <c:pt idx="15">
                  <c:v>10.680348243691963</c:v>
                </c:pt>
                <c:pt idx="16">
                  <c:v>10.899305898790347</c:v>
                </c:pt>
                <c:pt idx="17">
                  <c:v>11.109255829876441</c:v>
                </c:pt>
                <c:pt idx="18">
                  <c:v>11.311060959363074</c:v>
                </c:pt>
                <c:pt idx="19">
                  <c:v>11.505459435177105</c:v>
                </c:pt>
                <c:pt idx="20">
                  <c:v>11.693088141181613</c:v>
                </c:pt>
                <c:pt idx="21">
                  <c:v>11.874500847160288</c:v>
                </c:pt>
                <c:pt idx="22">
                  <c:v>12.050182413095706</c:v>
                </c:pt>
                <c:pt idx="23">
                  <c:v>12.220560042775332</c:v>
                </c:pt>
                <c:pt idx="24">
                  <c:v>12.38601229914714</c:v>
                </c:pt>
                <c:pt idx="25">
                  <c:v>12.636856219276774</c:v>
                </c:pt>
                <c:pt idx="26">
                  <c:v>12.791108275097109</c:v>
                </c:pt>
                <c:pt idx="27">
                  <c:v>12.94148832547007</c:v>
                </c:pt>
                <c:pt idx="28">
                  <c:v>13.088227790813562</c:v>
                </c:pt>
                <c:pt idx="29">
                  <c:v>13.231536786637625</c:v>
                </c:pt>
                <c:pt idx="30">
                  <c:v>13.371606727397856</c:v>
                </c:pt>
                <c:pt idx="31">
                  <c:v>13.508612538615981</c:v>
                </c:pt>
                <c:pt idx="32">
                  <c:v>13.642714546571433</c:v>
                </c:pt>
                <c:pt idx="33">
                  <c:v>13.774060100882698</c:v>
                </c:pt>
                <c:pt idx="34">
                  <c:v>13.902784974461726</c:v>
                </c:pt>
                <c:pt idx="35">
                  <c:v>14.029014576860025</c:v>
                </c:pt>
                <c:pt idx="36">
                  <c:v>14.15286501036107</c:v>
                </c:pt>
                <c:pt idx="37">
                  <c:v>14.274443992889061</c:v>
                </c:pt>
                <c:pt idx="38">
                  <c:v>14.393851667584638</c:v>
                </c:pt>
                <c:pt idx="39">
                  <c:v>14.511181315507365</c:v>
                </c:pt>
                <c:pt idx="40">
                  <c:v>14.626519985183409</c:v>
                </c:pt>
                <c:pt idx="41">
                  <c:v>14.739949050487544</c:v>
                </c:pt>
                <c:pt idx="42">
                  <c:v>14.851544706526093</c:v>
                </c:pt>
                <c:pt idx="43">
                  <c:v>14.961378411689379</c:v>
                </c:pt>
                <c:pt idx="44">
                  <c:v>15.069517282805291</c:v>
                </c:pt>
                <c:pt idx="45">
                  <c:v>15.17602444929908</c:v>
                </c:pt>
                <c:pt idx="46">
                  <c:v>15.280959371408951</c:v>
                </c:pt>
                <c:pt idx="47">
                  <c:v>15.389265924804342</c:v>
                </c:pt>
                <c:pt idx="48">
                  <c:v>15.491153061205791</c:v>
                </c:pt>
                <c:pt idx="49">
                  <c:v>15.591629364312524</c:v>
                </c:pt>
                <c:pt idx="50">
                  <c:v>15.6907420980202</c:v>
                </c:pt>
                <c:pt idx="51">
                  <c:v>15.788536050167133</c:v>
                </c:pt>
                <c:pt idx="52">
                  <c:v>15.885053707226641</c:v>
                </c:pt>
                <c:pt idx="53">
                  <c:v>15.980335413620324</c:v>
                </c:pt>
                <c:pt idx="54">
                  <c:v>16.074419517265053</c:v>
                </c:pt>
                <c:pt idx="55">
                  <c:v>16.167342502771259</c:v>
                </c:pt>
                <c:pt idx="56">
                  <c:v>16.259139113541448</c:v>
                </c:pt>
                <c:pt idx="57">
                  <c:v>16.349842463871937</c:v>
                </c:pt>
                <c:pt idx="58">
                  <c:v>16.439484142034068</c:v>
                </c:pt>
                <c:pt idx="59">
                  <c:v>16.528094305200984</c:v>
                </c:pt>
                <c:pt idx="60">
                  <c:v>16.615701766989869</c:v>
                </c:pt>
                <c:pt idx="61">
                  <c:v>16.702334078305423</c:v>
                </c:pt>
                <c:pt idx="62">
                  <c:v>16.788017602096723</c:v>
                </c:pt>
                <c:pt idx="63">
                  <c:v>16.87277758257477</c:v>
                </c:pt>
                <c:pt idx="64">
                  <c:v>16.956638209381165</c:v>
                </c:pt>
                <c:pt idx="65">
                  <c:v>17.039622677148028</c:v>
                </c:pt>
                <c:pt idx="66">
                  <c:v>17.121753240844736</c:v>
                </c:pt>
                <c:pt idx="67">
                  <c:v>17.203051267267902</c:v>
                </c:pt>
                <c:pt idx="68">
                  <c:v>17.28353728299594</c:v>
                </c:pt>
                <c:pt idx="69">
                  <c:v>17.363231019098606</c:v>
                </c:pt>
                <c:pt idx="70">
                  <c:v>17.442151452864127</c:v>
                </c:pt>
                <c:pt idx="71">
                  <c:v>17.520316846782137</c:v>
                </c:pt>
                <c:pt idx="72">
                  <c:v>17.597744784998241</c:v>
                </c:pt>
                <c:pt idx="73">
                  <c:v>17.674452207436644</c:v>
                </c:pt>
                <c:pt idx="74">
                  <c:v>17.750455441769379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F9-4EEF-9CDD-F42DF24BF382}"/>
            </c:ext>
          </c:extLst>
        </c:ser>
        <c:ser>
          <c:idx val="4"/>
          <c:order val="4"/>
          <c:tx>
            <c:v>KNER Coarse</c:v>
          </c:tx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Burnrate!$AD$9:$AD$83</c:f>
              <c:numCache>
                <c:formatCode>General</c:formatCode>
                <c:ptCount val="75"/>
                <c:pt idx="0">
                  <c:v>1.1705073303177296</c:v>
                </c:pt>
                <c:pt idx="1">
                  <c:v>1.6669443061951288</c:v>
                </c:pt>
                <c:pt idx="2">
                  <c:v>2.0050852910630397</c:v>
                </c:pt>
                <c:pt idx="3">
                  <c:v>2.2740350358343679</c:v>
                </c:pt>
                <c:pt idx="4">
                  <c:v>2.502158816479831</c:v>
                </c:pt>
                <c:pt idx="5">
                  <c:v>2.6616283381672599</c:v>
                </c:pt>
                <c:pt idx="6">
                  <c:v>2.8458850077329401</c:v>
                </c:pt>
                <c:pt idx="7">
                  <c:v>3.0137895695176322</c:v>
                </c:pt>
                <c:pt idx="8">
                  <c:v>3.1687197595398047</c:v>
                </c:pt>
                <c:pt idx="9">
                  <c:v>3.3130476405669254</c:v>
                </c:pt>
                <c:pt idx="10">
                  <c:v>3.4133560332957864</c:v>
                </c:pt>
                <c:pt idx="11">
                  <c:v>3.5431666180067785</c:v>
                </c:pt>
                <c:pt idx="12">
                  <c:v>3.6662090804915897</c:v>
                </c:pt>
                <c:pt idx="13">
                  <c:v>3.7833498443975704</c:v>
                </c:pt>
                <c:pt idx="14">
                  <c:v>3.8952883413514137</c:v>
                </c:pt>
                <c:pt idx="15">
                  <c:v>4.002598522988575</c:v>
                </c:pt>
                <c:pt idx="16">
                  <c:v>4.1057580328790628</c:v>
                </c:pt>
                <c:pt idx="17">
                  <c:v>4.2051692348090439</c:v>
                </c:pt>
                <c:pt idx="18">
                  <c:v>4.3011747076556706</c:v>
                </c:pt>
                <c:pt idx="19">
                  <c:v>4.3940688841132829</c:v>
                </c:pt>
                <c:pt idx="20">
                  <c:v>4.4841069419350692</c:v>
                </c:pt>
                <c:pt idx="21">
                  <c:v>4.5715116989344065</c:v>
                </c:pt>
                <c:pt idx="22">
                  <c:v>4.6564790321090843</c:v>
                </c:pt>
                <c:pt idx="23">
                  <c:v>4.7391821884610827</c:v>
                </c:pt>
                <c:pt idx="24">
                  <c:v>4.819775251764181</c:v>
                </c:pt>
                <c:pt idx="25">
                  <c:v>4.9424846520138512</c:v>
                </c:pt>
                <c:pt idx="26">
                  <c:v>5.0182511202694222</c:v>
                </c:pt>
                <c:pt idx="27">
                  <c:v>5.0923394178357002</c:v>
                </c:pt>
                <c:pt idx="28">
                  <c:v>5.1648451506439796</c:v>
                </c:pt>
                <c:pt idx="29">
                  <c:v>5.2358553768711609</c:v>
                </c:pt>
                <c:pt idx="30">
                  <c:v>5.3054496300473195</c:v>
                </c:pt>
                <c:pt idx="31">
                  <c:v>5.3737007907047829</c:v>
                </c:pt>
                <c:pt idx="32">
                  <c:v>5.4406758330164502</c:v>
                </c:pt>
                <c:pt idx="33">
                  <c:v>5.5064364675921631</c:v>
                </c:pt>
                <c:pt idx="34">
                  <c:v>5.5710396975007379</c:v>
                </c:pt>
                <c:pt idx="35">
                  <c:v>5.6345383013730448</c:v>
                </c:pt>
                <c:pt idx="36">
                  <c:v>5.6969812549062393</c:v>
                </c:pt>
                <c:pt idx="37">
                  <c:v>5.7584141000737281</c:v>
                </c:pt>
                <c:pt idx="38">
                  <c:v>5.8188792697324221</c:v>
                </c:pt>
                <c:pt idx="39">
                  <c:v>5.8784163740195217</c:v>
                </c:pt>
                <c:pt idx="40">
                  <c:v>5.9370624538782817</c:v>
                </c:pt>
                <c:pt idx="41">
                  <c:v>5.9948522061941407</c:v>
                </c:pt>
                <c:pt idx="42">
                  <c:v>6.0518181843196643</c:v>
                </c:pt>
                <c:pt idx="43">
                  <c:v>6.1079909771877627</c:v>
                </c:pt>
                <c:pt idx="44">
                  <c:v>6.1633993697335185</c:v>
                </c:pt>
                <c:pt idx="45">
                  <c:v>6.2180704869466865</c:v>
                </c:pt>
                <c:pt idx="46">
                  <c:v>6.2720299235442489</c:v>
                </c:pt>
                <c:pt idx="47">
                  <c:v>6.3278218658739025</c:v>
                </c:pt>
                <c:pt idx="48">
                  <c:v>6.3803980788639256</c:v>
                </c:pt>
                <c:pt idx="49">
                  <c:v>6.4323323319313559</c:v>
                </c:pt>
                <c:pt idx="50">
                  <c:v>6.4836451115017439</c:v>
                </c:pt>
                <c:pt idx="51">
                  <c:v>6.5343558623541309</c:v>
                </c:pt>
                <c:pt idx="52">
                  <c:v>6.5844830595512249</c:v>
                </c:pt>
                <c:pt idx="53">
                  <c:v>6.6340442741419654</c:v>
                </c:pt>
                <c:pt idx="54">
                  <c:v>6.683056233280726</c:v>
                </c:pt>
                <c:pt idx="55">
                  <c:v>6.7315348753303219</c:v>
                </c:pt>
                <c:pt idx="56">
                  <c:v>6.7794954004493073</c:v>
                </c:pt>
                <c:pt idx="57">
                  <c:v>6.8269523171061817</c:v>
                </c:pt>
                <c:pt idx="58">
                  <c:v>6.8739194849129204</c:v>
                </c:pt>
                <c:pt idx="59">
                  <c:v>6.9204101541263778</c:v>
                </c:pt>
                <c:pt idx="60">
                  <c:v>6.9664370021279289</c:v>
                </c:pt>
                <c:pt idx="61">
                  <c:v>7.0120121671581304</c:v>
                </c:pt>
                <c:pt idx="62">
                  <c:v>7.057147279553841</c:v>
                </c:pt>
                <c:pt idx="63">
                  <c:v>7.1018534907093276</c:v>
                </c:pt>
                <c:pt idx="64">
                  <c:v>7.1461414999601116</c:v>
                </c:pt>
                <c:pt idx="65">
                  <c:v>7.1900215795681497</c:v>
                </c:pt>
                <c:pt idx="66">
                  <c:v>7.2335035979691371</c:v>
                </c:pt>
                <c:pt idx="67">
                  <c:v>7.2765970414268999</c:v>
                </c:pt>
                <c:pt idx="68">
                  <c:v>7.3193110342258034</c:v>
                </c:pt>
                <c:pt idx="69">
                  <c:v>7.3616543575196065</c:v>
                </c:pt>
                <c:pt idx="70">
                  <c:v>7.4036354669440323</c:v>
                </c:pt>
                <c:pt idx="71">
                  <c:v>7.4452625090904112</c:v>
                </c:pt>
                <c:pt idx="72">
                  <c:v>7.4865433369287784</c:v>
                </c:pt>
                <c:pt idx="73">
                  <c:v>7.5274855242609071</c:v>
                </c:pt>
                <c:pt idx="74">
                  <c:v>7.5680963792765219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F9-4EEF-9CDD-F42DF24BF382}"/>
            </c:ext>
          </c:extLst>
        </c:ser>
        <c:ser>
          <c:idx val="5"/>
          <c:order val="5"/>
          <c:tx>
            <c:v>KNFR</c:v>
          </c:tx>
          <c:spPr>
            <a:ln w="25400"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Burnrate!$AJ$9:$AJ$83</c:f>
              <c:numCache>
                <c:formatCode>General</c:formatCode>
                <c:ptCount val="75"/>
                <c:pt idx="0">
                  <c:v>4.1972690333403282</c:v>
                </c:pt>
                <c:pt idx="1">
                  <c:v>2.7249881072410118</c:v>
                </c:pt>
                <c:pt idx="2">
                  <c:v>5.8757864446362271</c:v>
                </c:pt>
                <c:pt idx="3">
                  <c:v>6.3566923165906974</c:v>
                </c:pt>
                <c:pt idx="4">
                  <c:v>6.7480729027969204</c:v>
                </c:pt>
                <c:pt idx="5">
                  <c:v>7.013747120498742</c:v>
                </c:pt>
                <c:pt idx="6">
                  <c:v>7.3133913440034917</c:v>
                </c:pt>
                <c:pt idx="7">
                  <c:v>7.5801630853860091</c:v>
                </c:pt>
                <c:pt idx="8">
                  <c:v>7.8214156508743988</c:v>
                </c:pt>
                <c:pt idx="9">
                  <c:v>8.0422074505158729</c:v>
                </c:pt>
                <c:pt idx="10">
                  <c:v>8.1935378614209071</c:v>
                </c:pt>
                <c:pt idx="11">
                  <c:v>8.3869239653624046</c:v>
                </c:pt>
                <c:pt idx="12">
                  <c:v>8.5677885359303758</c:v>
                </c:pt>
                <c:pt idx="13">
                  <c:v>8.7378741404185103</c:v>
                </c:pt>
                <c:pt idx="14">
                  <c:v>8.8985701392664716</c:v>
                </c:pt>
                <c:pt idx="15">
                  <c:v>9.051003655134167</c:v>
                </c:pt>
                <c:pt idx="16">
                  <c:v>9.1961027603038037</c:v>
                </c:pt>
                <c:pt idx="17">
                  <c:v>9.3346415362260817</c:v>
                </c:pt>
                <c:pt idx="18">
                  <c:v>9.4672729442092223</c:v>
                </c:pt>
                <c:pt idx="19">
                  <c:v>9.5945532846241601</c:v>
                </c:pt>
                <c:pt idx="20">
                  <c:v>9.7169607177155495</c:v>
                </c:pt>
                <c:pt idx="21">
                  <c:v>9.8349095068547836</c:v>
                </c:pt>
                <c:pt idx="22">
                  <c:v>9.9487611249664454</c:v>
                </c:pt>
                <c:pt idx="23">
                  <c:v>10.058833023504658</c:v>
                </c:pt>
                <c:pt idx="24">
                  <c:v>10.165405634324063</c:v>
                </c:pt>
                <c:pt idx="25">
                  <c:v>10.326396627737143</c:v>
                </c:pt>
                <c:pt idx="26">
                  <c:v>10.425051640599454</c:v>
                </c:pt>
                <c:pt idx="27">
                  <c:v>10.520982792737936</c:v>
                </c:pt>
                <c:pt idx="28">
                  <c:v>10.614359355674466</c:v>
                </c:pt>
                <c:pt idx="29">
                  <c:v>10.705334635668097</c:v>
                </c:pt>
                <c:pt idx="30">
                  <c:v>10.794047959220769</c:v>
                </c:pt>
                <c:pt idx="31">
                  <c:v>10.880626355817851</c:v>
                </c:pt>
                <c:pt idx="32">
                  <c:v>10.965185992058132</c:v>
                </c:pt>
                <c:pt idx="33">
                  <c:v>11.047833400298872</c:v>
                </c:pt>
                <c:pt idx="34">
                  <c:v>11.128666536416029</c:v>
                </c:pt>
                <c:pt idx="35">
                  <c:v>11.207775694634545</c:v>
                </c:pt>
                <c:pt idx="36">
                  <c:v>11.285244302163202</c:v>
                </c:pt>
                <c:pt idx="37">
                  <c:v>11.361149612237483</c:v>
                </c:pt>
                <c:pt idx="38">
                  <c:v>11.435563310882092</c:v>
                </c:pt>
                <c:pt idx="39">
                  <c:v>11.50855205006471</c:v>
                </c:pt>
                <c:pt idx="40">
                  <c:v>11.580177917782205</c:v>
                </c:pt>
                <c:pt idx="41">
                  <c:v>11.650498853891351</c:v>
                </c:pt>
                <c:pt idx="42">
                  <c:v>11.719569019084915</c:v>
                </c:pt>
                <c:pt idx="43">
                  <c:v>11.78743912325632</c:v>
                </c:pt>
                <c:pt idx="44">
                  <c:v>11.854156718541505</c:v>
                </c:pt>
                <c:pt idx="45">
                  <c:v>11.919766461536112</c:v>
                </c:pt>
                <c:pt idx="46">
                  <c:v>11.984310348528084</c:v>
                </c:pt>
                <c:pt idx="47">
                  <c:v>12.050827617659314</c:v>
                </c:pt>
                <c:pt idx="48">
                  <c:v>12.113309974915285</c:v>
                </c:pt>
                <c:pt idx="49">
                  <c:v>12.174840143736873</c:v>
                </c:pt>
                <c:pt idx="50">
                  <c:v>12.235451309528322</c:v>
                </c:pt>
                <c:pt idx="51">
                  <c:v>12.29517487564703</c:v>
                </c:pt>
                <c:pt idx="52">
                  <c:v>12.354040591402779</c:v>
                </c:pt>
                <c:pt idx="53">
                  <c:v>12.412076668629981</c:v>
                </c:pt>
                <c:pt idx="54">
                  <c:v>12.46930988804499</c:v>
                </c:pt>
                <c:pt idx="55">
                  <c:v>12.525765696452495</c:v>
                </c:pt>
                <c:pt idx="56">
                  <c:v>12.581468295737162</c:v>
                </c:pt>
                <c:pt idx="57">
                  <c:v>12.636440724466194</c:v>
                </c:pt>
                <c:pt idx="58">
                  <c:v>12.690704932832819</c:v>
                </c:pt>
                <c:pt idx="59">
                  <c:v>12.744281851587347</c:v>
                </c:pt>
                <c:pt idx="60">
                  <c:v>12.797191455530086</c:v>
                </c:pt>
                <c:pt idx="61">
                  <c:v>12.849452822076939</c:v>
                </c:pt>
                <c:pt idx="62">
                  <c:v>12.901084185353186</c:v>
                </c:pt>
                <c:pt idx="63">
                  <c:v>12.952102986222215</c:v>
                </c:pt>
                <c:pt idx="64">
                  <c:v>13.002525918613269</c:v>
                </c:pt>
                <c:pt idx="65">
                  <c:v>13.052368972474545</c:v>
                </c:pt>
                <c:pt idx="66">
                  <c:v>13.101647473644753</c:v>
                </c:pt>
                <c:pt idx="67">
                  <c:v>13.150376120906746</c:v>
                </c:pt>
                <c:pt idx="68">
                  <c:v>13.198569020460795</c:v>
                </c:pt>
                <c:pt idx="69">
                  <c:v>13.246239718031903</c:v>
                </c:pt>
                <c:pt idx="70">
                  <c:v>13.293401228804905</c:v>
                </c:pt>
                <c:pt idx="71">
                  <c:v>13.340066065362763</c:v>
                </c:pt>
                <c:pt idx="72">
                  <c:v>13.386246263787081</c:v>
                </c:pt>
                <c:pt idx="73">
                  <c:v>13.431953408065175</c:v>
                </c:pt>
                <c:pt idx="74">
                  <c:v>13.477198652934886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F9-4EEF-9CDD-F42DF24BF382}"/>
            </c:ext>
          </c:extLst>
        </c:ser>
        <c:ser>
          <c:idx val="6"/>
          <c:order val="6"/>
          <c:tx>
            <c:v>KNPSB</c:v>
          </c:tx>
          <c:spPr>
            <a:ln w="25400"/>
          </c:spPr>
          <c:marker>
            <c:symbol val="none"/>
          </c:marker>
          <c:xVal>
            <c:numRef>
              <c:f>Burnrate!$R$9:$R$83</c:f>
              <c:numCache>
                <c:formatCode>General</c:formatCode>
                <c:ptCount val="75"/>
                <c:pt idx="0">
                  <c:v>0.10349999999999999</c:v>
                </c:pt>
                <c:pt idx="1">
                  <c:v>0.2505</c:v>
                </c:pt>
                <c:pt idx="2">
                  <c:v>0.39750000000000002</c:v>
                </c:pt>
                <c:pt idx="3">
                  <c:v>0.54449999999999998</c:v>
                </c:pt>
                <c:pt idx="4">
                  <c:v>0.6915</c:v>
                </c:pt>
                <c:pt idx="5">
                  <c:v>0.80700000000000005</c:v>
                </c:pt>
                <c:pt idx="6">
                  <c:v>0.95400000000000007</c:v>
                </c:pt>
                <c:pt idx="7">
                  <c:v>1.101</c:v>
                </c:pt>
                <c:pt idx="8">
                  <c:v>1.248</c:v>
                </c:pt>
                <c:pt idx="9">
                  <c:v>1.395</c:v>
                </c:pt>
                <c:pt idx="10">
                  <c:v>1.5029999999999999</c:v>
                </c:pt>
                <c:pt idx="11">
                  <c:v>1.65</c:v>
                </c:pt>
                <c:pt idx="12">
                  <c:v>1.7969999999999999</c:v>
                </c:pt>
                <c:pt idx="13">
                  <c:v>1.944</c:v>
                </c:pt>
                <c:pt idx="14">
                  <c:v>2.0910000000000002</c:v>
                </c:pt>
                <c:pt idx="15">
                  <c:v>2.2380000000000004</c:v>
                </c:pt>
                <c:pt idx="16">
                  <c:v>2.3850000000000007</c:v>
                </c:pt>
                <c:pt idx="17">
                  <c:v>2.5320000000000009</c:v>
                </c:pt>
                <c:pt idx="18">
                  <c:v>2.6790000000000012</c:v>
                </c:pt>
                <c:pt idx="19">
                  <c:v>2.8260000000000014</c:v>
                </c:pt>
                <c:pt idx="20">
                  <c:v>2.9730000000000016</c:v>
                </c:pt>
                <c:pt idx="21">
                  <c:v>3.1200000000000019</c:v>
                </c:pt>
                <c:pt idx="22">
                  <c:v>3.2670000000000021</c:v>
                </c:pt>
                <c:pt idx="23">
                  <c:v>3.4140000000000024</c:v>
                </c:pt>
                <c:pt idx="24">
                  <c:v>3.5610000000000026</c:v>
                </c:pt>
                <c:pt idx="25">
                  <c:v>3.7919999999999998</c:v>
                </c:pt>
                <c:pt idx="26">
                  <c:v>3.9390000000000001</c:v>
                </c:pt>
                <c:pt idx="27">
                  <c:v>4.0860000000000003</c:v>
                </c:pt>
                <c:pt idx="28">
                  <c:v>4.2330000000000005</c:v>
                </c:pt>
                <c:pt idx="29">
                  <c:v>4.3800000000000008</c:v>
                </c:pt>
                <c:pt idx="30">
                  <c:v>4.527000000000001</c:v>
                </c:pt>
                <c:pt idx="31">
                  <c:v>4.6740000000000013</c:v>
                </c:pt>
                <c:pt idx="32">
                  <c:v>4.8210000000000015</c:v>
                </c:pt>
                <c:pt idx="33">
                  <c:v>4.9680000000000017</c:v>
                </c:pt>
                <c:pt idx="34">
                  <c:v>5.115000000000002</c:v>
                </c:pt>
                <c:pt idx="35">
                  <c:v>5.2620000000000022</c:v>
                </c:pt>
                <c:pt idx="36">
                  <c:v>5.4090000000000025</c:v>
                </c:pt>
                <c:pt idx="37">
                  <c:v>5.5560000000000027</c:v>
                </c:pt>
                <c:pt idx="38">
                  <c:v>5.703000000000003</c:v>
                </c:pt>
                <c:pt idx="39">
                  <c:v>5.8500000000000032</c:v>
                </c:pt>
                <c:pt idx="40">
                  <c:v>5.9970000000000034</c:v>
                </c:pt>
                <c:pt idx="41">
                  <c:v>6.1440000000000037</c:v>
                </c:pt>
                <c:pt idx="42">
                  <c:v>6.2910000000000039</c:v>
                </c:pt>
                <c:pt idx="43">
                  <c:v>6.4380000000000042</c:v>
                </c:pt>
                <c:pt idx="44">
                  <c:v>6.5850000000000044</c:v>
                </c:pt>
                <c:pt idx="45">
                  <c:v>6.7320000000000046</c:v>
                </c:pt>
                <c:pt idx="46">
                  <c:v>6.8790000000000049</c:v>
                </c:pt>
                <c:pt idx="47">
                  <c:v>7.0330000000000004</c:v>
                </c:pt>
                <c:pt idx="48">
                  <c:v>7.1800000000000006</c:v>
                </c:pt>
                <c:pt idx="49">
                  <c:v>7.3270000000000008</c:v>
                </c:pt>
                <c:pt idx="50">
                  <c:v>7.4740000000000011</c:v>
                </c:pt>
                <c:pt idx="51">
                  <c:v>7.6210000000000013</c:v>
                </c:pt>
                <c:pt idx="52">
                  <c:v>7.7680000000000016</c:v>
                </c:pt>
                <c:pt idx="53">
                  <c:v>7.9150000000000018</c:v>
                </c:pt>
                <c:pt idx="54">
                  <c:v>8.0620000000000012</c:v>
                </c:pt>
                <c:pt idx="55">
                  <c:v>8.2090000000000014</c:v>
                </c:pt>
                <c:pt idx="56">
                  <c:v>8.3560000000000016</c:v>
                </c:pt>
                <c:pt idx="57">
                  <c:v>8.5030000000000019</c:v>
                </c:pt>
                <c:pt idx="58">
                  <c:v>8.6500000000000021</c:v>
                </c:pt>
                <c:pt idx="59">
                  <c:v>8.7970000000000024</c:v>
                </c:pt>
                <c:pt idx="60">
                  <c:v>8.9440000000000026</c:v>
                </c:pt>
                <c:pt idx="61">
                  <c:v>9.0910000000000029</c:v>
                </c:pt>
                <c:pt idx="62">
                  <c:v>9.2380000000000031</c:v>
                </c:pt>
                <c:pt idx="63">
                  <c:v>9.3850000000000033</c:v>
                </c:pt>
                <c:pt idx="64">
                  <c:v>9.5320000000000036</c:v>
                </c:pt>
                <c:pt idx="65">
                  <c:v>9.6790000000000038</c:v>
                </c:pt>
                <c:pt idx="66">
                  <c:v>9.8260000000000041</c:v>
                </c:pt>
                <c:pt idx="67">
                  <c:v>9.9730000000000043</c:v>
                </c:pt>
                <c:pt idx="68">
                  <c:v>10.120000000000005</c:v>
                </c:pt>
                <c:pt idx="69">
                  <c:v>10.267000000000005</c:v>
                </c:pt>
                <c:pt idx="70">
                  <c:v>10.414000000000005</c:v>
                </c:pt>
                <c:pt idx="71">
                  <c:v>10.561000000000005</c:v>
                </c:pt>
                <c:pt idx="72">
                  <c:v>10.708000000000006</c:v>
                </c:pt>
                <c:pt idx="73">
                  <c:v>10.855000000000006</c:v>
                </c:pt>
                <c:pt idx="74">
                  <c:v>11.002000000000006</c:v>
                </c:pt>
              </c:numCache>
            </c:numRef>
          </c:xVal>
          <c:yVal>
            <c:numRef>
              <c:f>Burnrate!$AG$9:$AG$83</c:f>
              <c:numCache>
                <c:formatCode>General</c:formatCode>
                <c:ptCount val="75"/>
                <c:pt idx="0">
                  <c:v>1.5642130193513473</c:v>
                </c:pt>
                <c:pt idx="1">
                  <c:v>2.7249881072410118</c:v>
                </c:pt>
                <c:pt idx="2">
                  <c:v>3.6416405487216759</c:v>
                </c:pt>
                <c:pt idx="3">
                  <c:v>4.4373126292294538</c:v>
                </c:pt>
                <c:pt idx="4">
                  <c:v>5.1558805653125406</c:v>
                </c:pt>
                <c:pt idx="5">
                  <c:v>5.6810673304710848</c:v>
                </c:pt>
                <c:pt idx="6">
                  <c:v>6.3105866731279221</c:v>
                </c:pt>
                <c:pt idx="7">
                  <c:v>6.904874555942639</c:v>
                </c:pt>
                <c:pt idx="8">
                  <c:v>7.4702668576959486</c:v>
                </c:pt>
                <c:pt idx="9">
                  <c:v>8.01135467453026</c:v>
                </c:pt>
                <c:pt idx="10">
                  <c:v>8.3954425955308736</c:v>
                </c:pt>
                <c:pt idx="11">
                  <c:v>8.9021165022776234</c:v>
                </c:pt>
                <c:pt idx="12">
                  <c:v>9.3922479475190634</c:v>
                </c:pt>
                <c:pt idx="13">
                  <c:v>9.8676697988229947</c:v>
                </c:pt>
                <c:pt idx="14">
                  <c:v>10.329889818849496</c:v>
                </c:pt>
                <c:pt idx="15">
                  <c:v>10.780166988144853</c:v>
                </c:pt>
                <c:pt idx="16">
                  <c:v>11.219566096126943</c:v>
                </c:pt>
                <c:pt idx="17">
                  <c:v>11.648997742109536</c:v>
                </c:pt>
                <c:pt idx="18">
                  <c:v>12.069248263561752</c:v>
                </c:pt>
                <c:pt idx="19">
                  <c:v>12.481002539659375</c:v>
                </c:pt>
                <c:pt idx="20">
                  <c:v>12.884861647272995</c:v>
                </c:pt>
                <c:pt idx="21">
                  <c:v>13.281356727501089</c:v>
                </c:pt>
                <c:pt idx="22">
                  <c:v>13.670960015615663</c:v>
                </c:pt>
                <c:pt idx="23">
                  <c:v>14.05409371572029</c:v>
                </c:pt>
                <c:pt idx="24">
                  <c:v>14.431137215583565</c:v>
                </c:pt>
                <c:pt idx="25">
                  <c:v>15.012142113684396</c:v>
                </c:pt>
                <c:pt idx="26">
                  <c:v>15.375022237708167</c:v>
                </c:pt>
                <c:pt idx="27">
                  <c:v>15.732898040730188</c:v>
                </c:pt>
                <c:pt idx="28">
                  <c:v>16.08601499643903</c:v>
                </c:pt>
                <c:pt idx="29">
                  <c:v>16.434598476510683</c:v>
                </c:pt>
                <c:pt idx="30">
                  <c:v>16.778856013022484</c:v>
                </c:pt>
                <c:pt idx="31">
                  <c:v>17.118979241345706</c:v>
                </c:pt>
                <c:pt idx="32">
                  <c:v>17.455145577236557</c:v>
                </c:pt>
                <c:pt idx="33">
                  <c:v>17.787519671456163</c:v>
                </c:pt>
                <c:pt idx="34">
                  <c:v>18.116254677117375</c:v>
                </c:pt>
                <c:pt idx="35">
                  <c:v>18.441493358539184</c:v>
                </c:pt>
                <c:pt idx="36">
                  <c:v>18.76336906528817</c:v>
                </c:pt>
                <c:pt idx="37">
                  <c:v>19.082006591003598</c:v>
                </c:pt>
                <c:pt idx="38">
                  <c:v>19.397522933312143</c:v>
                </c:pt>
                <c:pt idx="39">
                  <c:v>19.710027968471358</c:v>
                </c:pt>
                <c:pt idx="40">
                  <c:v>20.019625052205637</c:v>
                </c:pt>
                <c:pt idx="41">
                  <c:v>20.326411556414772</c:v>
                </c:pt>
                <c:pt idx="42">
                  <c:v>20.630479349965263</c:v>
                </c:pt>
                <c:pt idx="43">
                  <c:v>20.931915230556509</c:v>
                </c:pt>
                <c:pt idx="44">
                  <c:v>21.230801313640502</c:v>
                </c:pt>
                <c:pt idx="45">
                  <c:v>21.527215383526293</c:v>
                </c:pt>
                <c:pt idx="46">
                  <c:v>21.821231211089057</c:v>
                </c:pt>
                <c:pt idx="47">
                  <c:v>22.126751803130642</c:v>
                </c:pt>
                <c:pt idx="48">
                  <c:v>22.41607172837162</c:v>
                </c:pt>
                <c:pt idx="49">
                  <c:v>22.703196336569555</c:v>
                </c:pt>
                <c:pt idx="50">
                  <c:v>22.988185839509619</c:v>
                </c:pt>
                <c:pt idx="51">
                  <c:v>23.271097649655964</c:v>
                </c:pt>
                <c:pt idx="52">
                  <c:v>23.551986561614953</c:v>
                </c:pt>
                <c:pt idx="53">
                  <c:v>23.830904918633717</c:v>
                </c:pt>
                <c:pt idx="54">
                  <c:v>24.107902765622388</c:v>
                </c:pt>
                <c:pt idx="55">
                  <c:v>24.383027990015837</c:v>
                </c:pt>
                <c:pt idx="56">
                  <c:v>24.65632645164137</c:v>
                </c:pt>
                <c:pt idx="57">
                  <c:v>24.927842102628137</c:v>
                </c:pt>
                <c:pt idx="58">
                  <c:v>25.197617098280411</c:v>
                </c:pt>
                <c:pt idx="59">
                  <c:v>25.465691899737347</c:v>
                </c:pt>
                <c:pt idx="60">
                  <c:v>25.732105369154297</c:v>
                </c:pt>
                <c:pt idx="61">
                  <c:v>25.996894858064262</c:v>
                </c:pt>
                <c:pt idx="62">
                  <c:v>26.260096289510134</c:v>
                </c:pt>
                <c:pt idx="63">
                  <c:v>26.521744234478859</c:v>
                </c:pt>
                <c:pt idx="64">
                  <c:v>26.781871983115582</c:v>
                </c:pt>
                <c:pt idx="65">
                  <c:v>27.040511611149185</c:v>
                </c:pt>
                <c:pt idx="66">
                  <c:v>27.297694041918795</c:v>
                </c:pt>
                <c:pt idx="67">
                  <c:v>27.553449104354016</c:v>
                </c:pt>
                <c:pt idx="68">
                  <c:v>27.80780558722828</c:v>
                </c:pt>
                <c:pt idx="69">
                  <c:v>28.060791289975612</c:v>
                </c:pt>
                <c:pt idx="70">
                  <c:v>28.312433070334297</c:v>
                </c:pt>
                <c:pt idx="71">
                  <c:v>28.562756889057564</c:v>
                </c:pt>
                <c:pt idx="72">
                  <c:v>28.811787851910161</c:v>
                </c:pt>
                <c:pt idx="73">
                  <c:v>29.059550249150206</c:v>
                </c:pt>
                <c:pt idx="74">
                  <c:v>29.306067592679206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F9-4EEF-9CDD-F42DF24B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75135"/>
        <c:axId val="1"/>
      </c:scatterChart>
      <c:valAx>
        <c:axId val="460275135"/>
        <c:scaling>
          <c:orientation val="minMax"/>
          <c:max val="12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Pressure  (MPa)</a:t>
                </a:r>
              </a:p>
            </c:rich>
          </c:tx>
          <c:layout>
            <c:manualLayout>
              <c:xMode val="edge"/>
              <c:yMode val="edge"/>
              <c:x val="0.26369253000678289"/>
              <c:y val="0.91094806331026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PT"/>
                  <a:t>Burn rate  (mm/s)</a:t>
                </a:r>
              </a:p>
            </c:rich>
          </c:tx>
          <c:layout>
            <c:manualLayout>
              <c:xMode val="edge"/>
              <c:yMode val="edge"/>
              <c:x val="3.8539325842696627E-2"/>
              <c:y val="0.216666666666666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4602751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6069627532513497"/>
          <c:y val="8.4177735358837727E-2"/>
          <c:w val="0.9865498835117521"/>
          <c:h val="0.61618150003976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13</xdr:row>
      <xdr:rowOff>144780</xdr:rowOff>
    </xdr:from>
    <xdr:to>
      <xdr:col>12</xdr:col>
      <xdr:colOff>144780</xdr:colOff>
      <xdr:row>30</xdr:row>
      <xdr:rowOff>121920</xdr:rowOff>
    </xdr:to>
    <xdr:graphicFrame macro="">
      <xdr:nvGraphicFramePr>
        <xdr:cNvPr id="3120387" name="Chart 2">
          <a:extLst>
            <a:ext uri="{FF2B5EF4-FFF2-40B4-BE49-F238E27FC236}">
              <a16:creationId xmlns:a16="http://schemas.microsoft.com/office/drawing/2014/main" id="{ADFC0D17-60EC-F9C8-0DE9-C8EE9E778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266700</xdr:colOff>
      <xdr:row>31</xdr:row>
      <xdr:rowOff>137160</xdr:rowOff>
    </xdr:from>
    <xdr:to>
      <xdr:col>8</xdr:col>
      <xdr:colOff>152400</xdr:colOff>
      <xdr:row>33</xdr:row>
      <xdr:rowOff>22860</xdr:rowOff>
    </xdr:to>
    <xdr:grpSp>
      <xdr:nvGrpSpPr>
        <xdr:cNvPr id="3120388" name="Group 29">
          <a:extLst>
            <a:ext uri="{FF2B5EF4-FFF2-40B4-BE49-F238E27FC236}">
              <a16:creationId xmlns:a16="http://schemas.microsoft.com/office/drawing/2014/main" id="{6C343BED-F2C7-BB80-0C8D-671DBCD37A7C}"/>
            </a:ext>
          </a:extLst>
        </xdr:cNvPr>
        <xdr:cNvGrpSpPr>
          <a:grpSpLocks/>
        </xdr:cNvGrpSpPr>
      </xdr:nvGrpSpPr>
      <xdr:grpSpPr bwMode="auto">
        <a:xfrm>
          <a:off x="4930140" y="5562600"/>
          <a:ext cx="495300" cy="281940"/>
          <a:chOff x="433" y="641"/>
          <a:chExt cx="95" cy="49"/>
        </a:xfrm>
      </xdr:grpSpPr>
      <xdr:sp macro="" textlink="">
        <xdr:nvSpPr>
          <xdr:cNvPr id="3120389" name="Freeform 26">
            <a:extLst>
              <a:ext uri="{FF2B5EF4-FFF2-40B4-BE49-F238E27FC236}">
                <a16:creationId xmlns:a16="http://schemas.microsoft.com/office/drawing/2014/main" id="{2A3F5CBF-88FD-307D-A684-B728DBE1D86A}"/>
              </a:ext>
            </a:extLst>
          </xdr:cNvPr>
          <xdr:cNvSpPr>
            <a:spLocks/>
          </xdr:cNvSpPr>
        </xdr:nvSpPr>
        <xdr:spPr bwMode="auto">
          <a:xfrm>
            <a:off x="433" y="64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120390" name="Freeform 27">
            <a:extLst>
              <a:ext uri="{FF2B5EF4-FFF2-40B4-BE49-F238E27FC236}">
                <a16:creationId xmlns:a16="http://schemas.microsoft.com/office/drawing/2014/main" id="{A389546E-E0B0-0F2B-C2F3-EA5AF4B42929}"/>
              </a:ext>
            </a:extLst>
          </xdr:cNvPr>
          <xdr:cNvSpPr>
            <a:spLocks/>
          </xdr:cNvSpPr>
        </xdr:nvSpPr>
        <xdr:spPr bwMode="auto">
          <a:xfrm flipV="1">
            <a:off x="433" y="66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259080</xdr:colOff>
          <xdr:row>31</xdr:row>
          <xdr:rowOff>60960</xdr:rowOff>
        </xdr:from>
        <xdr:to>
          <xdr:col>9</xdr:col>
          <xdr:colOff>571500</xdr:colOff>
          <xdr:row>33</xdr:row>
          <xdr:rowOff>106680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8078400-FF94-4EA2-AF99-602B4271C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PT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Click to solve </a:t>
              </a:r>
              <a:r>
                <a:rPr lang="pt-PT" sz="1000" b="0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(1)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0.01039</cdr:x>
      <cdr:y>0.01099</cdr:y>
    </cdr:from>
    <cdr:to>
      <cdr:x>0.38903</cdr:x>
      <cdr:y>0.07696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33656" y="27946"/>
          <a:ext cx="1230144" cy="22165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>
              <a:solidFill>
                <a:srgbClr val="C00000"/>
              </a:solidFill>
              <a:latin typeface="Lucida Console" pitchFamily="49" charset="0"/>
            </a:rPr>
            <a:t>SRM 2023.XLS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0</xdr:row>
      <xdr:rowOff>38100</xdr:rowOff>
    </xdr:from>
    <xdr:to>
      <xdr:col>12</xdr:col>
      <xdr:colOff>327660</xdr:colOff>
      <xdr:row>16</xdr:row>
      <xdr:rowOff>99060</xdr:rowOff>
    </xdr:to>
    <xdr:graphicFrame macro="">
      <xdr:nvGraphicFramePr>
        <xdr:cNvPr id="3122548" name="Chart 3">
          <a:extLst>
            <a:ext uri="{FF2B5EF4-FFF2-40B4-BE49-F238E27FC236}">
              <a16:creationId xmlns:a16="http://schemas.microsoft.com/office/drawing/2014/main" id="{440AAD49-5760-E2F8-EDD8-E3B594DEB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13</xdr:col>
      <xdr:colOff>60960</xdr:colOff>
      <xdr:row>0</xdr:row>
      <xdr:rowOff>38100</xdr:rowOff>
    </xdr:from>
    <xdr:to>
      <xdr:col>18</xdr:col>
      <xdr:colOff>167640</xdr:colOff>
      <xdr:row>16</xdr:row>
      <xdr:rowOff>106680</xdr:rowOff>
    </xdr:to>
    <xdr:graphicFrame macro="">
      <xdr:nvGraphicFramePr>
        <xdr:cNvPr id="3122549" name="Chart 4">
          <a:extLst>
            <a:ext uri="{FF2B5EF4-FFF2-40B4-BE49-F238E27FC236}">
              <a16:creationId xmlns:a16="http://schemas.microsoft.com/office/drawing/2014/main" id="{8F3CBBBA-3DCA-D62F-06DC-4E460A8E5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381000</xdr:colOff>
      <xdr:row>21</xdr:row>
      <xdr:rowOff>99060</xdr:rowOff>
    </xdr:from>
    <xdr:to>
      <xdr:col>4</xdr:col>
      <xdr:colOff>167640</xdr:colOff>
      <xdr:row>23</xdr:row>
      <xdr:rowOff>30480</xdr:rowOff>
    </xdr:to>
    <xdr:grpSp>
      <xdr:nvGrpSpPr>
        <xdr:cNvPr id="3122550" name="Group 1848">
          <a:extLst>
            <a:ext uri="{FF2B5EF4-FFF2-40B4-BE49-F238E27FC236}">
              <a16:creationId xmlns:a16="http://schemas.microsoft.com/office/drawing/2014/main" id="{C3C7B8A0-442E-07E1-F3C8-67AFD63AD842}"/>
            </a:ext>
          </a:extLst>
        </xdr:cNvPr>
        <xdr:cNvGrpSpPr>
          <a:grpSpLocks/>
        </xdr:cNvGrpSpPr>
      </xdr:nvGrpSpPr>
      <xdr:grpSpPr bwMode="auto">
        <a:xfrm>
          <a:off x="1813560" y="3627120"/>
          <a:ext cx="510540" cy="266700"/>
          <a:chOff x="433" y="641"/>
          <a:chExt cx="95" cy="49"/>
        </a:xfrm>
      </xdr:grpSpPr>
      <xdr:sp macro="" textlink="">
        <xdr:nvSpPr>
          <xdr:cNvPr id="3122552" name="Freeform 1849">
            <a:extLst>
              <a:ext uri="{FF2B5EF4-FFF2-40B4-BE49-F238E27FC236}">
                <a16:creationId xmlns:a16="http://schemas.microsoft.com/office/drawing/2014/main" id="{2562D260-6D35-E928-F48D-BCC058883405}"/>
              </a:ext>
            </a:extLst>
          </xdr:cNvPr>
          <xdr:cNvSpPr>
            <a:spLocks/>
          </xdr:cNvSpPr>
        </xdr:nvSpPr>
        <xdr:spPr bwMode="auto">
          <a:xfrm>
            <a:off x="433" y="64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122553" name="Freeform 1850">
            <a:extLst>
              <a:ext uri="{FF2B5EF4-FFF2-40B4-BE49-F238E27FC236}">
                <a16:creationId xmlns:a16="http://schemas.microsoft.com/office/drawing/2014/main" id="{94B87271-B993-6EE8-959F-9377F14FA28E}"/>
              </a:ext>
            </a:extLst>
          </xdr:cNvPr>
          <xdr:cNvSpPr>
            <a:spLocks/>
          </xdr:cNvSpPr>
        </xdr:nvSpPr>
        <xdr:spPr bwMode="auto">
          <a:xfrm flipV="1">
            <a:off x="433" y="66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twoCellAnchor>
    <xdr:from>
      <xdr:col>13</xdr:col>
      <xdr:colOff>93980</xdr:colOff>
      <xdr:row>0</xdr:row>
      <xdr:rowOff>80010</xdr:rowOff>
    </xdr:from>
    <xdr:to>
      <xdr:col>15</xdr:col>
      <xdr:colOff>80017</xdr:colOff>
      <xdr:row>1</xdr:row>
      <xdr:rowOff>125730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BFC5B8-2CAC-0745-E574-CD86EB610130}"/>
            </a:ext>
          </a:extLst>
        </xdr:cNvPr>
        <xdr:cNvSpPr txBox="1"/>
      </xdr:nvSpPr>
      <xdr:spPr>
        <a:xfrm>
          <a:off x="7904480" y="72390"/>
          <a:ext cx="1205237" cy="2044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rgbClr val="C00000"/>
              </a:solidFill>
              <a:latin typeface="Lucida Console" pitchFamily="49" charset="0"/>
            </a:rPr>
            <a:t>SRM 2023.XLS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205740</xdr:colOff>
          <xdr:row>21</xdr:row>
          <xdr:rowOff>22860</xdr:rowOff>
        </xdr:from>
        <xdr:to>
          <xdr:col>5</xdr:col>
          <xdr:colOff>594360</xdr:colOff>
          <xdr:row>23</xdr:row>
          <xdr:rowOff>106680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6D1FCDF5-287A-5727-D6EB-9BC452EB5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PT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Click to solve </a:t>
              </a:r>
              <a:r>
                <a:rPr lang="pt-PT" sz="1000" b="0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(2)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21</xdr:row>
          <xdr:rowOff>38100</xdr:rowOff>
        </xdr:from>
        <xdr:to>
          <xdr:col>8</xdr:col>
          <xdr:colOff>617220</xdr:colOff>
          <xdr:row>23</xdr:row>
          <xdr:rowOff>121920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9939C896-E2CB-50B0-93A7-30A7BCF64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PT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Click to solve </a:t>
              </a:r>
              <a:r>
                <a:rPr lang="pt-PT" sz="1000" b="0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(3)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0.00925</cdr:x>
      <cdr:y>0.0128</cdr:y>
    </cdr:from>
    <cdr:to>
      <cdr:x>0.4333</cdr:x>
      <cdr:y>0.07973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7005" y="30422"/>
          <a:ext cx="1281095" cy="21087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>
              <a:solidFill>
                <a:srgbClr val="C00000"/>
              </a:solidFill>
              <a:latin typeface="Lucida Console" pitchFamily="49" charset="0"/>
            </a:rPr>
            <a:t>SRM 2023.XLS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30480</xdr:rowOff>
    </xdr:from>
    <xdr:to>
      <xdr:col>13</xdr:col>
      <xdr:colOff>91440</xdr:colOff>
      <xdr:row>19</xdr:row>
      <xdr:rowOff>68580</xdr:rowOff>
    </xdr:to>
    <xdr:graphicFrame macro="">
      <xdr:nvGraphicFramePr>
        <xdr:cNvPr id="3125558" name="Chart 2">
          <a:extLst>
            <a:ext uri="{FF2B5EF4-FFF2-40B4-BE49-F238E27FC236}">
              <a16:creationId xmlns:a16="http://schemas.microsoft.com/office/drawing/2014/main" id="{3B8450B6-3A75-922A-522E-9A679C7B7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13</xdr:col>
      <xdr:colOff>175260</xdr:colOff>
      <xdr:row>0</xdr:row>
      <xdr:rowOff>30480</xdr:rowOff>
    </xdr:from>
    <xdr:to>
      <xdr:col>18</xdr:col>
      <xdr:colOff>182880</xdr:colOff>
      <xdr:row>19</xdr:row>
      <xdr:rowOff>83820</xdr:rowOff>
    </xdr:to>
    <xdr:graphicFrame macro="">
      <xdr:nvGraphicFramePr>
        <xdr:cNvPr id="3125559" name="Chart 3">
          <a:extLst>
            <a:ext uri="{FF2B5EF4-FFF2-40B4-BE49-F238E27FC236}">
              <a16:creationId xmlns:a16="http://schemas.microsoft.com/office/drawing/2014/main" id="{2482BECA-934A-8BFF-4088-3E79FF6F7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365760</xdr:colOff>
      <xdr:row>20</xdr:row>
      <xdr:rowOff>99060</xdr:rowOff>
    </xdr:from>
    <xdr:to>
      <xdr:col>4</xdr:col>
      <xdr:colOff>205740</xdr:colOff>
      <xdr:row>22</xdr:row>
      <xdr:rowOff>30480</xdr:rowOff>
    </xdr:to>
    <xdr:grpSp>
      <xdr:nvGrpSpPr>
        <xdr:cNvPr id="3125560" name="Group 21">
          <a:extLst>
            <a:ext uri="{FF2B5EF4-FFF2-40B4-BE49-F238E27FC236}">
              <a16:creationId xmlns:a16="http://schemas.microsoft.com/office/drawing/2014/main" id="{95B08649-0919-FA03-AFB4-65711789408E}"/>
            </a:ext>
          </a:extLst>
        </xdr:cNvPr>
        <xdr:cNvGrpSpPr>
          <a:grpSpLocks/>
        </xdr:cNvGrpSpPr>
      </xdr:nvGrpSpPr>
      <xdr:grpSpPr bwMode="auto">
        <a:xfrm>
          <a:off x="2004060" y="3512820"/>
          <a:ext cx="510540" cy="266700"/>
          <a:chOff x="433" y="641"/>
          <a:chExt cx="95" cy="49"/>
        </a:xfrm>
      </xdr:grpSpPr>
      <xdr:sp macro="" textlink="">
        <xdr:nvSpPr>
          <xdr:cNvPr id="3125561" name="Freeform 22">
            <a:extLst>
              <a:ext uri="{FF2B5EF4-FFF2-40B4-BE49-F238E27FC236}">
                <a16:creationId xmlns:a16="http://schemas.microsoft.com/office/drawing/2014/main" id="{7B46286D-0CA4-6015-34E3-54E8F8B3A1FE}"/>
              </a:ext>
            </a:extLst>
          </xdr:cNvPr>
          <xdr:cNvSpPr>
            <a:spLocks/>
          </xdr:cNvSpPr>
        </xdr:nvSpPr>
        <xdr:spPr bwMode="auto">
          <a:xfrm>
            <a:off x="433" y="64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125562" name="Freeform 23">
            <a:extLst>
              <a:ext uri="{FF2B5EF4-FFF2-40B4-BE49-F238E27FC236}">
                <a16:creationId xmlns:a16="http://schemas.microsoft.com/office/drawing/2014/main" id="{99C0D029-6155-16BB-0607-E2E731706520}"/>
              </a:ext>
            </a:extLst>
          </xdr:cNvPr>
          <xdr:cNvSpPr>
            <a:spLocks/>
          </xdr:cNvSpPr>
        </xdr:nvSpPr>
        <xdr:spPr bwMode="auto">
          <a:xfrm flipV="1">
            <a:off x="433" y="661"/>
            <a:ext cx="95" cy="29"/>
          </a:xfrm>
          <a:custGeom>
            <a:avLst/>
            <a:gdLst>
              <a:gd name="T0" fmla="*/ 0 w 95"/>
              <a:gd name="T1" fmla="*/ 29 h 29"/>
              <a:gd name="T2" fmla="*/ 0 w 95"/>
              <a:gd name="T3" fmla="*/ 11 h 29"/>
              <a:gd name="T4" fmla="*/ 52 w 95"/>
              <a:gd name="T5" fmla="*/ 11 h 29"/>
              <a:gd name="T6" fmla="*/ 52 w 95"/>
              <a:gd name="T7" fmla="*/ 0 h 29"/>
              <a:gd name="T8" fmla="*/ 95 w 95"/>
              <a:gd name="T9" fmla="*/ 25 h 2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5"/>
              <a:gd name="T16" fmla="*/ 0 h 29"/>
              <a:gd name="T17" fmla="*/ 95 w 95"/>
              <a:gd name="T18" fmla="*/ 29 h 2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5" h="29">
                <a:moveTo>
                  <a:pt x="0" y="29"/>
                </a:moveTo>
                <a:lnTo>
                  <a:pt x="0" y="11"/>
                </a:lnTo>
                <a:lnTo>
                  <a:pt x="52" y="11"/>
                </a:lnTo>
                <a:lnTo>
                  <a:pt x="52" y="0"/>
                </a:lnTo>
                <a:lnTo>
                  <a:pt x="95" y="25"/>
                </a:lnTo>
              </a:path>
            </a:pathLst>
          </a:custGeom>
          <a:solidFill>
            <a:srgbClr val="FF0000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289560</xdr:colOff>
          <xdr:row>20</xdr:row>
          <xdr:rowOff>0</xdr:rowOff>
        </xdr:from>
        <xdr:to>
          <xdr:col>5</xdr:col>
          <xdr:colOff>746760</xdr:colOff>
          <xdr:row>22</xdr:row>
          <xdr:rowOff>160020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87ADA47-F75E-D7F2-09B1-730A41FE6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PT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Solve 4</a:t>
              </a:r>
              <a:r>
                <a:rPr lang="pt-PT" sz="1000" b="0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 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0.00894</cdr:y>
    </cdr:from>
    <cdr:to>
      <cdr:x>0.38416</cdr:x>
      <cdr:y>0.07002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0841" y="25750"/>
          <a:ext cx="1224384" cy="21290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>
              <a:solidFill>
                <a:srgbClr val="C00000"/>
              </a:solidFill>
              <a:latin typeface="Lucida Console" pitchFamily="49" charset="0"/>
            </a:rPr>
            <a:t>SRM 2023.XLS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0.00748</cdr:x>
      <cdr:y>0.00536</cdr:y>
    </cdr:from>
    <cdr:to>
      <cdr:x>0.40206</cdr:x>
      <cdr:y>0.06604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2860" y="15240"/>
          <a:ext cx="1211580" cy="21336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>
              <a:solidFill>
                <a:srgbClr val="C00000"/>
              </a:solidFill>
              <a:latin typeface="Lucida Console" pitchFamily="49" charset="0"/>
            </a:rPr>
            <a:t>SRM 2023.XLS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17</xdr:row>
      <xdr:rowOff>22860</xdr:rowOff>
    </xdr:from>
    <xdr:to>
      <xdr:col>5</xdr:col>
      <xdr:colOff>853440</xdr:colOff>
      <xdr:row>34</xdr:row>
      <xdr:rowOff>121920</xdr:rowOff>
    </xdr:to>
    <xdr:graphicFrame macro="">
      <xdr:nvGraphicFramePr>
        <xdr:cNvPr id="2514297" name="Chart 4">
          <a:extLst>
            <a:ext uri="{FF2B5EF4-FFF2-40B4-BE49-F238E27FC236}">
              <a16:creationId xmlns:a16="http://schemas.microsoft.com/office/drawing/2014/main" id="{EA12F907-DA00-BBF2-7632-57C892090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478790</xdr:colOff>
      <xdr:row>33</xdr:row>
      <xdr:rowOff>0</xdr:rowOff>
    </xdr:from>
    <xdr:to>
      <xdr:col>3</xdr:col>
      <xdr:colOff>358140</xdr:colOff>
      <xdr:row>34</xdr:row>
      <xdr:rowOff>147384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44E7AD-52AD-8011-52B9-01A80EDC077E}"/>
            </a:ext>
          </a:extLst>
        </xdr:cNvPr>
        <xdr:cNvSpPr txBox="1"/>
      </xdr:nvSpPr>
      <xdr:spPr>
        <a:xfrm>
          <a:off x="876300" y="5699760"/>
          <a:ext cx="11049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/>
            <a:t>entrance plane</a:t>
          </a:r>
        </a:p>
      </xdr:txBody>
    </xdr:sp>
    <xdr:clientData/>
  </xdr:twoCellAnchor>
  <xdr:twoCellAnchor editAs="oneCell">
    <xdr:from>
      <xdr:col>5</xdr:col>
      <xdr:colOff>906780</xdr:colOff>
      <xdr:row>17</xdr:row>
      <xdr:rowOff>0</xdr:rowOff>
    </xdr:from>
    <xdr:to>
      <xdr:col>12</xdr:col>
      <xdr:colOff>15240</xdr:colOff>
      <xdr:row>34</xdr:row>
      <xdr:rowOff>144780</xdr:rowOff>
    </xdr:to>
    <xdr:pic>
      <xdr:nvPicPr>
        <xdr:cNvPr id="2514299" name="Picture 103">
          <a:extLst>
            <a:ext uri="{FF2B5EF4-FFF2-40B4-BE49-F238E27FC236}">
              <a16:creationId xmlns:a16="http://schemas.microsoft.com/office/drawing/2014/main" id="{F6AB3C30-2CB7-1CED-9652-17B23E54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2849880"/>
          <a:ext cx="4191000" cy="299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18</xdr:row>
      <xdr:rowOff>0</xdr:rowOff>
    </xdr:from>
    <xdr:to>
      <xdr:col>9</xdr:col>
      <xdr:colOff>556260</xdr:colOff>
      <xdr:row>30</xdr:row>
      <xdr:rowOff>121920</xdr:rowOff>
    </xdr:to>
    <xdr:graphicFrame macro="">
      <xdr:nvGraphicFramePr>
        <xdr:cNvPr id="7977" name="Chart 1">
          <a:extLst>
            <a:ext uri="{FF2B5EF4-FFF2-40B4-BE49-F238E27FC236}">
              <a16:creationId xmlns:a16="http://schemas.microsoft.com/office/drawing/2014/main" id="{3D425190-52EE-7ED1-8AFD-9F39ABAA1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251460</xdr:colOff>
      <xdr:row>31</xdr:row>
      <xdr:rowOff>60960</xdr:rowOff>
    </xdr:from>
    <xdr:to>
      <xdr:col>9</xdr:col>
      <xdr:colOff>571500</xdr:colOff>
      <xdr:row>44</xdr:row>
      <xdr:rowOff>22860</xdr:rowOff>
    </xdr:to>
    <xdr:graphicFrame macro="">
      <xdr:nvGraphicFramePr>
        <xdr:cNvPr id="7978" name="Chart 2">
          <a:extLst>
            <a:ext uri="{FF2B5EF4-FFF2-40B4-BE49-F238E27FC236}">
              <a16:creationId xmlns:a16="http://schemas.microsoft.com/office/drawing/2014/main" id="{1DF35564-498F-609E-4692-C82EDB751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33</xdr:row>
      <xdr:rowOff>60960</xdr:rowOff>
    </xdr:from>
    <xdr:to>
      <xdr:col>12</xdr:col>
      <xdr:colOff>137160</xdr:colOff>
      <xdr:row>46</xdr:row>
      <xdr:rowOff>121920</xdr:rowOff>
    </xdr:to>
    <xdr:graphicFrame macro="">
      <xdr:nvGraphicFramePr>
        <xdr:cNvPr id="3371044" name="Chart 1">
          <a:extLst>
            <a:ext uri="{FF2B5EF4-FFF2-40B4-BE49-F238E27FC236}">
              <a16:creationId xmlns:a16="http://schemas.microsoft.com/office/drawing/2014/main" id="{4225759C-6D1A-DEC1-CA47-E64B9D6AF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SOFFICE/EXCEL/BATES3_.xls" TargetMode="External"/><Relationship Id="rId1" Type="http://schemas.openxmlformats.org/officeDocument/2006/relationships/externalLinkPath" Target="/MSOFFICE/EXCEL/BATES3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s"/>
      <sheetName val="class"/>
      <sheetName val="Perf"/>
      <sheetName val="Press"/>
      <sheetName val="Burnrate"/>
    </sheetNames>
    <sheetDataSet>
      <sheetData sheetId="0" refreshError="1">
        <row r="25">
          <cell r="F25">
            <v>7.8909999999999982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rocketry@gmail.com" TargetMode="External"/><Relationship Id="rId2" Type="http://schemas.openxmlformats.org/officeDocument/2006/relationships/hyperlink" Target="http://www.nakka-rocketry.net/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nakka-rocketry.net/knpsb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comments" Target="../comments3.xml"/><Relationship Id="rId5" Type="http://schemas.openxmlformats.org/officeDocument/2006/relationships/ctrlProp" Target="../ctrlProps/ctrlProp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7910-D58C-406A-A87B-C7353CA1B175}">
  <sheetPr codeName="Sheet6">
    <tabColor theme="8" tint="0.39997558519241921"/>
  </sheetPr>
  <dimension ref="B4:I88"/>
  <sheetViews>
    <sheetView showGridLines="0" tabSelected="1" zoomScaleNormal="100" workbookViewId="0">
      <selection activeCell="E6" sqref="E6"/>
    </sheetView>
  </sheetViews>
  <sheetFormatPr defaultRowHeight="13.2"/>
  <cols>
    <col min="2" max="2" width="56.77734375" customWidth="1"/>
    <col min="4" max="4" width="9.5546875" customWidth="1"/>
    <col min="5" max="5" width="17.21875" customWidth="1"/>
    <col min="9" max="9" width="11.109375" customWidth="1"/>
  </cols>
  <sheetData>
    <row r="4" spans="2:9" ht="20.399999999999999">
      <c r="B4" s="412" t="s">
        <v>524</v>
      </c>
      <c r="C4" s="75"/>
      <c r="D4" s="245" t="s">
        <v>190</v>
      </c>
      <c r="E4" s="338" t="s">
        <v>267</v>
      </c>
      <c r="F4" s="287"/>
      <c r="G4" s="287"/>
      <c r="H4" s="287"/>
      <c r="I4" s="288"/>
    </row>
    <row r="5" spans="2:9" ht="18" thickBot="1">
      <c r="B5" s="243" t="s">
        <v>430</v>
      </c>
      <c r="C5" s="75"/>
      <c r="D5" s="246" t="s">
        <v>191</v>
      </c>
      <c r="E5" s="337" t="s">
        <v>534</v>
      </c>
      <c r="F5" s="43"/>
      <c r="G5" s="43"/>
      <c r="H5" s="43"/>
      <c r="I5" s="289"/>
    </row>
    <row r="6" spans="2:9" ht="15.6" thickTop="1">
      <c r="B6" s="76"/>
      <c r="C6" s="43"/>
      <c r="D6" s="247" t="s">
        <v>192</v>
      </c>
      <c r="E6" s="420">
        <v>45008</v>
      </c>
      <c r="F6" s="110"/>
      <c r="G6" s="110"/>
      <c r="H6" s="110"/>
      <c r="I6" s="28"/>
    </row>
    <row r="7" spans="2:9">
      <c r="B7" s="43"/>
      <c r="C7" s="43"/>
      <c r="D7" s="43"/>
      <c r="E7" s="43"/>
      <c r="F7" s="43"/>
    </row>
    <row r="8" spans="2:9">
      <c r="B8" s="106" t="s">
        <v>328</v>
      </c>
      <c r="C8" s="102"/>
      <c r="D8" s="103"/>
      <c r="E8" s="43"/>
      <c r="F8" s="43"/>
    </row>
    <row r="9" spans="2:9">
      <c r="B9" s="286" t="s">
        <v>467</v>
      </c>
      <c r="C9" s="43"/>
      <c r="D9" s="108"/>
      <c r="E9" s="43"/>
      <c r="F9" s="43"/>
    </row>
    <row r="10" spans="2:9">
      <c r="B10" s="216" t="s">
        <v>356</v>
      </c>
      <c r="C10" s="104"/>
      <c r="D10" s="105"/>
      <c r="E10" s="43"/>
      <c r="F10" s="43"/>
    </row>
    <row r="11" spans="2:9">
      <c r="B11" s="107"/>
      <c r="C11" s="43"/>
      <c r="D11" s="43"/>
      <c r="E11" s="43"/>
      <c r="F11" s="43"/>
    </row>
    <row r="12" spans="2:9">
      <c r="B12" s="107"/>
      <c r="C12" s="43"/>
      <c r="D12" s="43"/>
      <c r="E12" s="43"/>
      <c r="F12" s="43"/>
    </row>
    <row r="13" spans="2:9">
      <c r="B13" s="81" t="s">
        <v>193</v>
      </c>
      <c r="C13" s="43"/>
      <c r="D13" s="43"/>
      <c r="E13" s="43"/>
      <c r="F13" s="43"/>
    </row>
    <row r="14" spans="2:9">
      <c r="B14" s="81"/>
      <c r="C14" s="43"/>
      <c r="D14" s="43"/>
      <c r="E14" s="43"/>
      <c r="F14" s="43"/>
    </row>
    <row r="15" spans="2:9">
      <c r="B15" s="380" t="s">
        <v>525</v>
      </c>
      <c r="C15" s="381"/>
      <c r="D15" s="381"/>
      <c r="E15" s="382"/>
      <c r="F15" s="43"/>
    </row>
    <row r="16" spans="2:9">
      <c r="B16" s="383"/>
      <c r="C16" s="43"/>
      <c r="D16" s="43"/>
      <c r="E16" s="384"/>
      <c r="F16" s="43"/>
    </row>
    <row r="17" spans="2:6">
      <c r="B17" s="385" t="s">
        <v>541</v>
      </c>
      <c r="C17" s="290"/>
      <c r="D17" s="290"/>
      <c r="E17" s="386"/>
      <c r="F17" s="43"/>
    </row>
    <row r="18" spans="2:6">
      <c r="B18" s="385" t="s">
        <v>548</v>
      </c>
      <c r="C18" s="290"/>
      <c r="D18" s="290"/>
      <c r="E18" s="386"/>
      <c r="F18" s="43"/>
    </row>
    <row r="19" spans="2:6">
      <c r="B19" s="385" t="s">
        <v>546</v>
      </c>
      <c r="C19" s="290"/>
      <c r="D19" s="290"/>
      <c r="E19" s="386"/>
      <c r="F19" s="43"/>
    </row>
    <row r="20" spans="2:6">
      <c r="B20" s="387" t="s">
        <v>547</v>
      </c>
      <c r="C20" s="388"/>
      <c r="D20" s="388"/>
      <c r="E20" s="389"/>
      <c r="F20" s="43"/>
    </row>
    <row r="21" spans="2:6">
      <c r="B21" s="70"/>
      <c r="C21" s="43"/>
      <c r="D21" s="43"/>
      <c r="E21" s="43"/>
      <c r="F21" s="43"/>
    </row>
    <row r="22" spans="2:6">
      <c r="B22" s="70"/>
      <c r="C22" s="43"/>
      <c r="D22" s="43"/>
      <c r="E22" s="43"/>
      <c r="F22" s="43"/>
    </row>
    <row r="23" spans="2:6">
      <c r="B23" s="43" t="s">
        <v>330</v>
      </c>
      <c r="C23" s="43"/>
      <c r="D23" s="43"/>
      <c r="E23" s="43"/>
      <c r="F23" s="43"/>
    </row>
    <row r="24" spans="2:6">
      <c r="B24" s="162" t="s">
        <v>485</v>
      </c>
      <c r="C24" s="43"/>
      <c r="D24" s="43"/>
      <c r="E24" s="43"/>
      <c r="F24" s="43"/>
    </row>
    <row r="25" spans="2:6">
      <c r="B25" s="43" t="s">
        <v>255</v>
      </c>
      <c r="C25" s="43"/>
      <c r="D25" s="43"/>
      <c r="E25" s="43"/>
      <c r="F25" s="43"/>
    </row>
    <row r="26" spans="2:6">
      <c r="B26" s="43" t="s">
        <v>256</v>
      </c>
      <c r="C26" s="43"/>
      <c r="D26" s="43"/>
    </row>
    <row r="27" spans="2:6">
      <c r="B27" s="43"/>
      <c r="C27" s="43"/>
      <c r="D27" s="43"/>
    </row>
    <row r="28" spans="2:6">
      <c r="B28" s="43" t="s">
        <v>269</v>
      </c>
      <c r="C28" s="43"/>
      <c r="D28" s="43"/>
    </row>
    <row r="29" spans="2:6">
      <c r="B29" s="70" t="s">
        <v>270</v>
      </c>
      <c r="C29" s="43"/>
      <c r="D29" s="43"/>
    </row>
    <row r="30" spans="2:6">
      <c r="B30" s="43" t="s">
        <v>271</v>
      </c>
      <c r="C30" s="43"/>
      <c r="D30" s="43"/>
    </row>
    <row r="31" spans="2:6">
      <c r="B31" s="43" t="s">
        <v>272</v>
      </c>
      <c r="C31" s="43"/>
      <c r="D31" s="43"/>
    </row>
    <row r="32" spans="2:6">
      <c r="B32" s="70" t="s">
        <v>431</v>
      </c>
      <c r="C32" s="43"/>
      <c r="D32" s="43"/>
    </row>
    <row r="33" spans="2:4">
      <c r="B33" s="70" t="s">
        <v>432</v>
      </c>
      <c r="C33" s="43"/>
      <c r="D33" s="43"/>
    </row>
    <row r="34" spans="2:4">
      <c r="B34" s="244" t="s">
        <v>433</v>
      </c>
      <c r="C34" s="43"/>
      <c r="D34" s="43"/>
    </row>
    <row r="35" spans="2:4">
      <c r="B35" s="43"/>
      <c r="C35" s="43"/>
      <c r="D35" s="43"/>
    </row>
    <row r="36" spans="2:4">
      <c r="B36" s="70" t="s">
        <v>434</v>
      </c>
      <c r="C36" s="43"/>
      <c r="D36" s="43"/>
    </row>
    <row r="37" spans="2:4">
      <c r="B37" s="43" t="s">
        <v>276</v>
      </c>
      <c r="C37" s="43"/>
      <c r="D37" s="43"/>
    </row>
    <row r="38" spans="2:4">
      <c r="B38" s="43" t="s">
        <v>277</v>
      </c>
      <c r="C38" s="43"/>
      <c r="D38" s="43"/>
    </row>
    <row r="39" spans="2:4">
      <c r="B39" s="43" t="s">
        <v>278</v>
      </c>
      <c r="C39" s="43"/>
      <c r="D39" s="43"/>
    </row>
    <row r="40" spans="2:4">
      <c r="B40" s="43" t="s">
        <v>279</v>
      </c>
      <c r="C40" s="43"/>
      <c r="D40" s="43"/>
    </row>
    <row r="41" spans="2:4">
      <c r="B41" s="43" t="s">
        <v>280</v>
      </c>
      <c r="C41" s="43"/>
      <c r="D41" s="43"/>
    </row>
    <row r="42" spans="2:4">
      <c r="B42" s="43" t="s">
        <v>281</v>
      </c>
      <c r="C42" s="43"/>
      <c r="D42" s="43"/>
    </row>
    <row r="43" spans="2:4">
      <c r="B43" s="70" t="s">
        <v>486</v>
      </c>
      <c r="C43" s="43"/>
      <c r="D43" s="43"/>
    </row>
    <row r="44" spans="2:4">
      <c r="B44" s="43"/>
      <c r="C44" s="43"/>
      <c r="D44" s="43"/>
    </row>
    <row r="45" spans="2:4">
      <c r="B45" s="43" t="s">
        <v>257</v>
      </c>
      <c r="C45" s="43"/>
      <c r="D45" s="43"/>
    </row>
    <row r="46" spans="2:4">
      <c r="B46" s="43" t="s">
        <v>273</v>
      </c>
      <c r="C46" s="43"/>
      <c r="D46" s="43"/>
    </row>
    <row r="47" spans="2:4">
      <c r="B47" s="342" t="s">
        <v>487</v>
      </c>
      <c r="C47" s="43"/>
      <c r="D47" s="43"/>
    </row>
    <row r="48" spans="2:4">
      <c r="B48" s="342" t="s">
        <v>488</v>
      </c>
      <c r="C48" s="43"/>
      <c r="D48" s="43"/>
    </row>
    <row r="49" spans="2:4">
      <c r="B49" s="43"/>
      <c r="C49" s="43"/>
      <c r="D49" s="43"/>
    </row>
    <row r="50" spans="2:4">
      <c r="B50" s="43" t="s">
        <v>258</v>
      </c>
      <c r="C50" s="43"/>
      <c r="D50" s="43"/>
    </row>
    <row r="51" spans="2:4">
      <c r="B51" s="43" t="s">
        <v>265</v>
      </c>
      <c r="C51" s="43"/>
      <c r="D51" s="43"/>
    </row>
    <row r="52" spans="2:4">
      <c r="B52" s="70" t="s">
        <v>259</v>
      </c>
      <c r="C52" s="43"/>
      <c r="D52" s="43"/>
    </row>
    <row r="53" spans="2:4">
      <c r="B53" s="70" t="s">
        <v>538</v>
      </c>
      <c r="C53" s="43"/>
      <c r="D53" s="43"/>
    </row>
    <row r="54" spans="2:4">
      <c r="B54" s="244" t="s">
        <v>539</v>
      </c>
      <c r="C54" s="43"/>
      <c r="D54" s="43"/>
    </row>
    <row r="55" spans="2:4">
      <c r="B55" s="244" t="s">
        <v>540</v>
      </c>
      <c r="C55" s="43"/>
      <c r="D55" s="43"/>
    </row>
    <row r="56" spans="2:4">
      <c r="B56" s="244" t="s">
        <v>483</v>
      </c>
      <c r="C56" s="43"/>
      <c r="D56" s="43"/>
    </row>
    <row r="57" spans="2:4">
      <c r="B57" s="70" t="s">
        <v>528</v>
      </c>
      <c r="C57" s="43"/>
      <c r="D57" s="43"/>
    </row>
    <row r="58" spans="2:4">
      <c r="B58" s="244" t="s">
        <v>529</v>
      </c>
      <c r="C58" s="43"/>
      <c r="D58" s="43"/>
    </row>
    <row r="59" spans="2:4">
      <c r="B59" s="244"/>
      <c r="C59" s="43"/>
      <c r="D59" s="43"/>
    </row>
    <row r="60" spans="2:4">
      <c r="B60" s="70" t="s">
        <v>489</v>
      </c>
      <c r="C60" s="43"/>
      <c r="D60" s="43"/>
    </row>
    <row r="61" spans="2:4">
      <c r="B61" s="70" t="s">
        <v>435</v>
      </c>
      <c r="C61" s="43"/>
      <c r="D61" s="43"/>
    </row>
    <row r="62" spans="2:4">
      <c r="B62" s="244" t="s">
        <v>436</v>
      </c>
      <c r="C62" s="43"/>
      <c r="D62" s="43"/>
    </row>
    <row r="63" spans="2:4">
      <c r="B63" s="244" t="s">
        <v>437</v>
      </c>
      <c r="C63" s="43"/>
      <c r="D63" s="43"/>
    </row>
    <row r="64" spans="2:4">
      <c r="B64" s="244" t="s">
        <v>438</v>
      </c>
      <c r="C64" s="43"/>
      <c r="D64" s="43"/>
    </row>
    <row r="65" spans="2:4">
      <c r="B65" s="70"/>
      <c r="C65" s="43"/>
      <c r="D65" s="43"/>
    </row>
    <row r="66" spans="2:4">
      <c r="B66" s="43" t="s">
        <v>266</v>
      </c>
      <c r="C66" s="43"/>
      <c r="D66" s="43"/>
    </row>
    <row r="67" spans="2:4">
      <c r="B67" s="43" t="s">
        <v>262</v>
      </c>
      <c r="C67" s="43"/>
      <c r="D67" s="43"/>
    </row>
    <row r="68" spans="2:4">
      <c r="B68" s="43" t="s">
        <v>263</v>
      </c>
      <c r="C68" s="43"/>
      <c r="D68" s="43"/>
    </row>
    <row r="69" spans="2:4">
      <c r="B69" s="43"/>
      <c r="C69" s="43"/>
      <c r="D69" s="43"/>
    </row>
    <row r="70" spans="2:4">
      <c r="B70" s="43" t="s">
        <v>260</v>
      </c>
      <c r="C70" s="43"/>
      <c r="D70" s="43"/>
    </row>
    <row r="71" spans="2:4">
      <c r="B71" s="43" t="s">
        <v>261</v>
      </c>
      <c r="C71" s="43"/>
      <c r="D71" s="43"/>
    </row>
    <row r="72" spans="2:4">
      <c r="B72" s="70" t="s">
        <v>484</v>
      </c>
      <c r="C72" s="43"/>
      <c r="D72" s="43"/>
    </row>
    <row r="73" spans="2:4">
      <c r="B73" s="70"/>
      <c r="C73" s="43"/>
      <c r="D73" s="43"/>
    </row>
    <row r="74" spans="2:4">
      <c r="B74" s="244" t="s">
        <v>530</v>
      </c>
      <c r="C74" s="43"/>
      <c r="D74" s="43"/>
    </row>
    <row r="75" spans="2:4">
      <c r="B75" s="244" t="s">
        <v>532</v>
      </c>
      <c r="C75" s="43"/>
      <c r="D75" s="43"/>
    </row>
    <row r="76" spans="2:4">
      <c r="B76" s="413" t="s">
        <v>531</v>
      </c>
      <c r="C76" s="43"/>
      <c r="D76" s="43"/>
    </row>
    <row r="78" spans="2:4">
      <c r="B78" s="81" t="s">
        <v>490</v>
      </c>
    </row>
    <row r="80" spans="2:4">
      <c r="B80" s="8" t="s">
        <v>493</v>
      </c>
    </row>
    <row r="81" spans="2:4">
      <c r="B81" s="8" t="s">
        <v>491</v>
      </c>
    </row>
    <row r="82" spans="2:4">
      <c r="B82" s="8" t="s">
        <v>492</v>
      </c>
    </row>
    <row r="85" spans="2:4">
      <c r="B85" s="218" t="s">
        <v>264</v>
      </c>
    </row>
    <row r="86" spans="2:4">
      <c r="B86" s="154" t="s">
        <v>469</v>
      </c>
    </row>
    <row r="87" spans="2:4">
      <c r="B87" s="154" t="s">
        <v>468</v>
      </c>
    </row>
    <row r="88" spans="2:4">
      <c r="B88" s="110"/>
      <c r="C88" s="110"/>
      <c r="D88" s="110"/>
    </row>
  </sheetData>
  <sheetProtection password="C7BC" sheet="1"/>
  <customSheetViews>
    <customSheetView guid="{136183A0-5E83-4B15-A2A6-F3C23DCC406A}" showGridLines="0" topLeftCell="A46">
      <selection activeCell="B71" sqref="B71"/>
      <pageMargins left="0.75" right="0.75" top="1" bottom="1" header="0.5" footer="0.5"/>
      <pageSetup orientation="portrait" horizontalDpi="0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hyperlinks>
    <hyperlink ref="B87" r:id="rId2" xr:uid="{A68D236E-6F59-4E61-8C2D-C9FB39D4DF41}"/>
    <hyperlink ref="B86" r:id="rId3" xr:uid="{B9CCAED0-C390-42D4-9722-96B5C45F3D0E}"/>
    <hyperlink ref="B76" r:id="rId4" xr:uid="{C7A90813-03B4-48AB-BB2A-339417368094}"/>
  </hyperlinks>
  <pageMargins left="0.75" right="0.75" top="1" bottom="1" header="0.5" footer="0.5"/>
  <pageSetup orientation="portrait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9134-5EAF-4F8F-982C-3513E031F85B}">
  <sheetPr codeName="Sheet1">
    <tabColor rgb="FFFFFF00"/>
    <pageSetUpPr autoPageBreaks="0"/>
  </sheetPr>
  <dimension ref="A1:AP106"/>
  <sheetViews>
    <sheetView showGridLines="0" zoomScaleNormal="100" workbookViewId="0"/>
  </sheetViews>
  <sheetFormatPr defaultRowHeight="13.2"/>
  <cols>
    <col min="1" max="1" width="5.77734375" customWidth="1"/>
    <col min="2" max="2" width="15.5546875" customWidth="1"/>
    <col min="3" max="3" width="11.77734375" customWidth="1"/>
    <col min="4" max="4" width="8.21875" customWidth="1"/>
    <col min="9" max="9" width="10" customWidth="1"/>
    <col min="11" max="11" width="9.77734375" customWidth="1"/>
    <col min="13" max="13" width="9.21875" customWidth="1"/>
    <col min="24" max="24" width="18.5546875" customWidth="1"/>
    <col min="30" max="30" width="12.21875" customWidth="1"/>
    <col min="33" max="33" width="10.21875" bestFit="1" customWidth="1"/>
    <col min="34" max="34" width="11.5546875" bestFit="1" customWidth="1"/>
    <col min="35" max="35" width="11.21875" bestFit="1" customWidth="1"/>
    <col min="36" max="36" width="11.5546875" bestFit="1" customWidth="1"/>
    <col min="37" max="37" width="10.44140625" bestFit="1" customWidth="1"/>
    <col min="38" max="38" width="11.21875" bestFit="1" customWidth="1"/>
    <col min="39" max="39" width="10.44140625" bestFit="1" customWidth="1"/>
    <col min="41" max="41" width="13.5546875" customWidth="1"/>
  </cols>
  <sheetData>
    <row r="1" spans="1:42">
      <c r="A1" s="73"/>
      <c r="B1" s="74"/>
      <c r="C1" s="74"/>
      <c r="D1" s="74"/>
      <c r="E1" s="74"/>
      <c r="F1" s="74"/>
      <c r="G1" s="74"/>
    </row>
    <row r="2" spans="1:42">
      <c r="B2" s="43"/>
      <c r="C2" s="43"/>
      <c r="D2" s="43"/>
      <c r="E2" s="43"/>
    </row>
    <row r="4" spans="1:42">
      <c r="B4" s="81" t="s">
        <v>198</v>
      </c>
    </row>
    <row r="6" spans="1:42">
      <c r="B6" s="5" t="s">
        <v>202</v>
      </c>
      <c r="C6" s="167" t="s">
        <v>555</v>
      </c>
      <c r="D6" s="168"/>
      <c r="E6" s="168"/>
      <c r="F6" s="168"/>
      <c r="G6" s="168"/>
      <c r="H6" s="168"/>
      <c r="I6" s="168"/>
      <c r="J6" s="169"/>
    </row>
    <row r="7" spans="1:42">
      <c r="C7" s="170" t="s">
        <v>268</v>
      </c>
      <c r="D7" s="171"/>
      <c r="E7" s="171"/>
      <c r="F7" s="171"/>
      <c r="G7" s="171"/>
      <c r="H7" s="171"/>
      <c r="I7" s="171"/>
      <c r="J7" s="172"/>
    </row>
    <row r="8" spans="1:42">
      <c r="B8" s="2"/>
      <c r="C8" s="155" t="s">
        <v>329</v>
      </c>
      <c r="D8" s="153"/>
      <c r="E8" s="153"/>
      <c r="F8" s="153"/>
      <c r="G8" s="153"/>
      <c r="H8" s="153"/>
      <c r="I8" s="153"/>
      <c r="J8" s="153"/>
    </row>
    <row r="9" spans="1:42">
      <c r="B9" s="5" t="s">
        <v>35</v>
      </c>
    </row>
    <row r="10" spans="1:42">
      <c r="B10" s="2" t="s">
        <v>0</v>
      </c>
      <c r="C10" s="66">
        <v>75</v>
      </c>
      <c r="D10" t="s">
        <v>2</v>
      </c>
      <c r="E10" t="s">
        <v>3</v>
      </c>
    </row>
    <row r="11" spans="1:42">
      <c r="B11" s="2" t="s">
        <v>1</v>
      </c>
      <c r="C11" s="67">
        <v>470</v>
      </c>
      <c r="D11" t="s">
        <v>2</v>
      </c>
      <c r="E11" t="s">
        <v>4</v>
      </c>
    </row>
    <row r="12" spans="1:42" ht="15.6">
      <c r="B12" s="2" t="s">
        <v>22</v>
      </c>
      <c r="C12" s="4">
        <f>PI()/4*dc^2*lc</f>
        <v>2076396.394482004</v>
      </c>
      <c r="D12" t="s">
        <v>23</v>
      </c>
      <c r="E12" t="s">
        <v>24</v>
      </c>
    </row>
    <row r="13" spans="1:42">
      <c r="B13" s="5" t="s">
        <v>5</v>
      </c>
    </row>
    <row r="14" spans="1:42">
      <c r="B14" s="217" t="s">
        <v>111</v>
      </c>
      <c r="C14" s="256" t="s">
        <v>366</v>
      </c>
      <c r="D14" s="259" t="s">
        <v>458</v>
      </c>
      <c r="E14" s="219" t="s">
        <v>374</v>
      </c>
      <c r="F14" s="218"/>
      <c r="G14" s="218"/>
    </row>
    <row r="15" spans="1:42">
      <c r="B15" s="2"/>
    </row>
    <row r="16" spans="1:42">
      <c r="A16" s="21" t="str">
        <f>IF(do&gt;dc,"Invalid","")</f>
        <v/>
      </c>
      <c r="B16" s="2" t="s">
        <v>6</v>
      </c>
      <c r="C16" s="93">
        <v>69</v>
      </c>
      <c r="D16" t="s">
        <v>2</v>
      </c>
      <c r="E16" t="s">
        <v>9</v>
      </c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</row>
    <row r="17" spans="1:42" ht="15.6">
      <c r="B17" s="2" t="s">
        <v>7</v>
      </c>
      <c r="C17" s="66">
        <v>20</v>
      </c>
      <c r="D17" t="s">
        <v>2</v>
      </c>
      <c r="E17" t="s">
        <v>17</v>
      </c>
      <c r="X17" s="292" t="s">
        <v>366</v>
      </c>
      <c r="Y17" s="8" t="s">
        <v>368</v>
      </c>
      <c r="AA17" s="226" t="s">
        <v>378</v>
      </c>
      <c r="AB17" s="10">
        <v>9</v>
      </c>
      <c r="AD17" s="271" t="s">
        <v>451</v>
      </c>
      <c r="AE17" s="270"/>
      <c r="AF17" s="270"/>
      <c r="AG17" s="270"/>
      <c r="AH17" s="270" t="s">
        <v>460</v>
      </c>
      <c r="AI17" s="270"/>
      <c r="AJ17" s="270"/>
      <c r="AK17" s="270"/>
      <c r="AL17" s="270"/>
      <c r="AM17" s="270"/>
      <c r="AN17" s="270"/>
      <c r="AO17" s="270"/>
      <c r="AP17" s="270"/>
    </row>
    <row r="18" spans="1:42">
      <c r="B18" s="2" t="s">
        <v>8</v>
      </c>
      <c r="C18" s="93">
        <v>115</v>
      </c>
      <c r="D18" t="s">
        <v>2</v>
      </c>
      <c r="E18" t="s">
        <v>10</v>
      </c>
      <c r="X18" s="293" t="s">
        <v>373</v>
      </c>
      <c r="Y18" s="8" t="s">
        <v>369</v>
      </c>
      <c r="AA18" s="217" t="s">
        <v>408</v>
      </c>
      <c r="AB18" s="10">
        <v>8.5</v>
      </c>
      <c r="AD18" s="270"/>
      <c r="AE18" s="270"/>
      <c r="AF18" s="270"/>
      <c r="AG18" s="270"/>
      <c r="AH18" s="270" t="s">
        <v>450</v>
      </c>
      <c r="AI18" s="270"/>
      <c r="AJ18" s="270"/>
      <c r="AK18" s="270"/>
      <c r="AL18" s="270"/>
      <c r="AM18" s="270"/>
      <c r="AN18" s="270"/>
      <c r="AO18" s="270"/>
      <c r="AP18" s="270"/>
    </row>
    <row r="19" spans="1:42">
      <c r="A19" s="21" t="str">
        <f>IF(lo&gt;lc/n,"Invalid","")</f>
        <v/>
      </c>
      <c r="B19" s="2" t="s">
        <v>11</v>
      </c>
      <c r="C19" s="66">
        <v>4</v>
      </c>
      <c r="E19" t="s">
        <v>12</v>
      </c>
      <c r="N19" s="39"/>
      <c r="O19" s="40"/>
      <c r="X19" s="293" t="s">
        <v>372</v>
      </c>
      <c r="Y19" s="291">
        <f>IF(C20="Inhibited",0,1)</f>
        <v>0</v>
      </c>
      <c r="AA19" s="217" t="s">
        <v>379</v>
      </c>
      <c r="AB19" s="10">
        <v>8</v>
      </c>
      <c r="AD19" s="272"/>
      <c r="AE19" s="273"/>
      <c r="AF19" s="274"/>
      <c r="AG19" s="274" t="s">
        <v>457</v>
      </c>
      <c r="AH19" s="274"/>
      <c r="AI19" s="274"/>
      <c r="AJ19" s="274"/>
      <c r="AK19" s="274"/>
      <c r="AL19" s="274"/>
      <c r="AM19" s="275"/>
      <c r="AN19" s="270"/>
      <c r="AO19" s="270"/>
      <c r="AP19" s="270"/>
    </row>
    <row r="20" spans="1:42">
      <c r="B20" s="217" t="s">
        <v>21</v>
      </c>
      <c r="C20" s="256" t="s">
        <v>369</v>
      </c>
      <c r="D20" s="259" t="s">
        <v>458</v>
      </c>
      <c r="G20" s="6"/>
      <c r="N20" s="40"/>
      <c r="X20" s="293" t="s">
        <v>367</v>
      </c>
      <c r="Y20" s="291">
        <f>IF(C21="Inhibited",0,1)</f>
        <v>1</v>
      </c>
      <c r="AA20" s="217" t="s">
        <v>409</v>
      </c>
      <c r="AB20" s="10">
        <v>7.5</v>
      </c>
      <c r="AD20" s="272"/>
      <c r="AE20" s="276" t="s">
        <v>448</v>
      </c>
      <c r="AF20" s="276" t="s">
        <v>444</v>
      </c>
      <c r="AG20" s="276" t="s">
        <v>80</v>
      </c>
      <c r="AH20" s="276" t="s">
        <v>442</v>
      </c>
      <c r="AI20" s="276" t="s">
        <v>443</v>
      </c>
      <c r="AJ20" s="276" t="s">
        <v>45</v>
      </c>
      <c r="AK20" s="276" t="s">
        <v>445</v>
      </c>
      <c r="AL20" s="276" t="s">
        <v>446</v>
      </c>
      <c r="AM20" s="276" t="s">
        <v>447</v>
      </c>
      <c r="AN20" s="277" t="s">
        <v>459</v>
      </c>
      <c r="AO20" s="277" t="s">
        <v>463</v>
      </c>
      <c r="AP20" s="270"/>
    </row>
    <row r="21" spans="1:42">
      <c r="A21" s="22"/>
      <c r="B21" s="217" t="s">
        <v>370</v>
      </c>
      <c r="C21" s="257" t="s">
        <v>368</v>
      </c>
      <c r="D21" s="259" t="s">
        <v>458</v>
      </c>
      <c r="X21" s="293" t="s">
        <v>470</v>
      </c>
      <c r="Y21" s="291">
        <f>IF(C22="Inhibited",0,1)</f>
        <v>1</v>
      </c>
      <c r="AA21" s="217" t="s">
        <v>380</v>
      </c>
      <c r="AB21" s="10">
        <v>7</v>
      </c>
      <c r="AD21" s="272" t="s">
        <v>366</v>
      </c>
      <c r="AE21" s="415"/>
      <c r="AF21" s="260">
        <v>3</v>
      </c>
      <c r="AG21" s="261">
        <v>43.5</v>
      </c>
      <c r="AH21" s="262">
        <v>0.24168000000000001</v>
      </c>
      <c r="AI21" s="261">
        <v>50.48413</v>
      </c>
      <c r="AJ21" s="263">
        <v>-9.9114799999999992</v>
      </c>
      <c r="AK21" s="263"/>
      <c r="AL21" s="264"/>
      <c r="AM21" s="264"/>
      <c r="AN21" s="278">
        <f t="shared" ref="AN21:AN30" si="0">AG21+AH21*$AE$32+AI21*$AE$32^2+AJ21*$AE$32^3+AK21*$AE$32^4+AL21*$AE$32^5+AM21*$AE$32^6</f>
        <v>-379.42099183711161</v>
      </c>
      <c r="AO21" s="279" t="s">
        <v>454</v>
      </c>
      <c r="AP21" s="270"/>
    </row>
    <row r="22" spans="1:42">
      <c r="A22" s="1" t="str">
        <f>IF(osi&gt;1,"Error","")</f>
        <v/>
      </c>
      <c r="B22" s="217" t="s">
        <v>371</v>
      </c>
      <c r="C22" s="256" t="s">
        <v>368</v>
      </c>
      <c r="D22" s="259" t="s">
        <v>458</v>
      </c>
      <c r="X22" s="293" t="s">
        <v>471</v>
      </c>
      <c r="AA22" s="217" t="s">
        <v>410</v>
      </c>
      <c r="AB22" s="10">
        <v>6.5</v>
      </c>
      <c r="AD22" s="272"/>
      <c r="AE22" s="415"/>
      <c r="AF22" s="260">
        <v>2</v>
      </c>
      <c r="AG22" s="265">
        <v>163.80000000000001</v>
      </c>
      <c r="AH22" s="261">
        <v>22.224139999999998</v>
      </c>
      <c r="AI22" s="263">
        <v>-0.224</v>
      </c>
      <c r="AJ22" s="263"/>
      <c r="AK22" s="262"/>
      <c r="AL22" s="266"/>
      <c r="AM22" s="267"/>
      <c r="AN22" s="278">
        <f t="shared" si="0"/>
        <v>293.08605719399998</v>
      </c>
      <c r="AO22" s="272" t="s">
        <v>456</v>
      </c>
      <c r="AP22" s="270"/>
    </row>
    <row r="23" spans="1:42">
      <c r="A23" s="1" t="str">
        <f>IF(ci&gt;1,"Error","")</f>
        <v/>
      </c>
      <c r="B23" s="2" t="s">
        <v>30</v>
      </c>
      <c r="C23" s="8">
        <f>n*lo</f>
        <v>460</v>
      </c>
      <c r="D23" t="s">
        <v>2</v>
      </c>
      <c r="E23" t="s">
        <v>32</v>
      </c>
      <c r="X23" s="293" t="s">
        <v>520</v>
      </c>
      <c r="AA23" s="217" t="s">
        <v>381</v>
      </c>
      <c r="AB23" s="10">
        <v>6</v>
      </c>
      <c r="AD23" s="272"/>
      <c r="AE23" s="415"/>
      <c r="AF23" s="260">
        <v>4</v>
      </c>
      <c r="AG23" s="268">
        <v>5095</v>
      </c>
      <c r="AH23" s="268">
        <v>-2460.4259999999999</v>
      </c>
      <c r="AI23" s="265">
        <v>453.48050000000001</v>
      </c>
      <c r="AJ23" s="261">
        <v>-35.532389999999999</v>
      </c>
      <c r="AK23" s="263">
        <v>1.01745</v>
      </c>
      <c r="AL23" s="266"/>
      <c r="AM23" s="267"/>
      <c r="AN23" s="278">
        <f t="shared" si="0"/>
        <v>307.39786831723018</v>
      </c>
      <c r="AO23" s="278" t="s">
        <v>455</v>
      </c>
      <c r="AP23" s="270"/>
    </row>
    <row r="24" spans="1:42" ht="15.6">
      <c r="A24" s="1" t="str">
        <f>IF(ei&gt;1,"Error","")</f>
        <v/>
      </c>
      <c r="B24" s="2" t="s">
        <v>31</v>
      </c>
      <c r="C24" s="9">
        <f>PI()/4*(do^2-dio^2)*lgo</f>
        <v>1575555.8396650851</v>
      </c>
      <c r="D24" t="s">
        <v>23</v>
      </c>
      <c r="E24" t="s">
        <v>33</v>
      </c>
      <c r="X24" s="293" t="s">
        <v>536</v>
      </c>
      <c r="Y24" s="40"/>
      <c r="AA24" s="217" t="s">
        <v>411</v>
      </c>
      <c r="AB24" s="10">
        <v>5.5</v>
      </c>
      <c r="AD24" s="272" t="s">
        <v>373</v>
      </c>
      <c r="AE24" s="415"/>
      <c r="AF24" s="260">
        <v>5</v>
      </c>
      <c r="AG24" s="261">
        <v>34.5</v>
      </c>
      <c r="AH24" s="261">
        <v>-10.975</v>
      </c>
      <c r="AI24" s="261">
        <v>69.667000000000002</v>
      </c>
      <c r="AJ24" s="261">
        <v>-19.664000000000001</v>
      </c>
      <c r="AK24" s="263">
        <v>2.1478000000000002</v>
      </c>
      <c r="AL24" s="284">
        <v>-8.1462999999999994E-2</v>
      </c>
      <c r="AM24" s="269"/>
      <c r="AN24" s="278">
        <f t="shared" si="0"/>
        <v>385.49497566460673</v>
      </c>
      <c r="AO24" s="272" t="s">
        <v>462</v>
      </c>
      <c r="AP24" s="270"/>
    </row>
    <row r="25" spans="1:42" ht="14.4">
      <c r="B25" s="2" t="s">
        <v>294</v>
      </c>
      <c r="C25" s="10">
        <f>vg/vc</f>
        <v>0.75879338061465718</v>
      </c>
      <c r="E25" t="s">
        <v>293</v>
      </c>
      <c r="X25" s="293"/>
      <c r="AA25" s="217" t="s">
        <v>382</v>
      </c>
      <c r="AB25" s="10">
        <v>5</v>
      </c>
      <c r="AD25" s="272" t="s">
        <v>372</v>
      </c>
      <c r="AE25" s="415"/>
      <c r="AF25" s="260">
        <v>2</v>
      </c>
      <c r="AG25" s="261">
        <v>38</v>
      </c>
      <c r="AH25" s="261">
        <v>92.391000000000005</v>
      </c>
      <c r="AI25" s="263">
        <v>-2.0438000000000001</v>
      </c>
      <c r="AJ25" s="267"/>
      <c r="AK25" s="267"/>
      <c r="AL25" s="267"/>
      <c r="AM25" s="267"/>
      <c r="AN25" s="278">
        <f t="shared" si="0"/>
        <v>532.62922951504993</v>
      </c>
      <c r="AO25" s="272" t="s">
        <v>462</v>
      </c>
      <c r="AP25" s="270"/>
    </row>
    <row r="26" spans="1:42" ht="15.6">
      <c r="B26" s="7" t="s">
        <v>292</v>
      </c>
      <c r="C26" s="10">
        <f>IF(fueltype=1,rhopdex,IF(fueltype=2,rhopsorb,IF(fueltype=3,rhopsorb,IF(fueltype=4,rhopsu,IF(fueltype=5,rhoper,IF(fueltype=6,rhopmn,IF(fueltype=7,rhopot,rhopfr)))))))</f>
        <v>1.879</v>
      </c>
      <c r="D26" t="s">
        <v>27</v>
      </c>
      <c r="E26" t="s">
        <v>132</v>
      </c>
      <c r="X26" s="294"/>
      <c r="AA26" s="217" t="s">
        <v>412</v>
      </c>
      <c r="AB26" s="10">
        <v>4.5</v>
      </c>
      <c r="AD26" s="272" t="s">
        <v>367</v>
      </c>
      <c r="AE26" s="415"/>
      <c r="AF26" s="260">
        <v>2</v>
      </c>
      <c r="AG26" s="261">
        <v>32.953899999999997</v>
      </c>
      <c r="AH26" s="261">
        <v>44.107900000000001</v>
      </c>
      <c r="AI26" s="263">
        <v>-1.1024799999999999</v>
      </c>
      <c r="AJ26" s="267"/>
      <c r="AK26" s="267"/>
      <c r="AL26" s="267"/>
      <c r="AM26" s="267"/>
      <c r="AN26" s="278">
        <f t="shared" si="0"/>
        <v>264.21091976397997</v>
      </c>
      <c r="AO26" s="272" t="s">
        <v>462</v>
      </c>
      <c r="AP26" s="270"/>
    </row>
    <row r="27" spans="1:42">
      <c r="C27" s="87">
        <v>0.95</v>
      </c>
      <c r="E27" t="s">
        <v>133</v>
      </c>
      <c r="X27" s="294"/>
      <c r="AA27" s="217" t="s">
        <v>383</v>
      </c>
      <c r="AB27" s="10">
        <v>4</v>
      </c>
      <c r="AD27" s="272" t="s">
        <v>470</v>
      </c>
      <c r="AE27" s="415"/>
      <c r="AF27" s="260">
        <v>5</v>
      </c>
      <c r="AG27" s="261">
        <v>50.410353000000001</v>
      </c>
      <c r="AH27" s="261">
        <v>211.194019</v>
      </c>
      <c r="AI27" s="263">
        <v>-47.797595999999999</v>
      </c>
      <c r="AJ27" s="267">
        <v>8.7790180000000007</v>
      </c>
      <c r="AK27" s="267">
        <v>-0.83028199999999996</v>
      </c>
      <c r="AL27" s="267">
        <v>3.0519000000000001E-2</v>
      </c>
      <c r="AM27" s="267"/>
      <c r="AN27" s="278">
        <f t="shared" si="0"/>
        <v>667.85812228564623</v>
      </c>
      <c r="AO27" s="272" t="s">
        <v>462</v>
      </c>
      <c r="AP27" s="270"/>
    </row>
    <row r="28" spans="1:42" ht="15.6">
      <c r="B28" s="7" t="s">
        <v>25</v>
      </c>
      <c r="C28" s="10">
        <f>rhorat*rhopgraini</f>
        <v>1.78505</v>
      </c>
      <c r="D28" t="s">
        <v>27</v>
      </c>
      <c r="E28" t="s">
        <v>134</v>
      </c>
      <c r="X28" s="294"/>
      <c r="AA28" s="217" t="s">
        <v>413</v>
      </c>
      <c r="AB28" s="10">
        <v>3.5</v>
      </c>
      <c r="AD28" s="272" t="s">
        <v>471</v>
      </c>
      <c r="AE28" s="415"/>
      <c r="AF28" s="260">
        <v>2</v>
      </c>
      <c r="AG28" s="261">
        <v>38</v>
      </c>
      <c r="AH28" s="261">
        <v>92.391000000000005</v>
      </c>
      <c r="AI28" s="263">
        <v>-2.0438000000000001</v>
      </c>
      <c r="AJ28" s="272"/>
      <c r="AK28" s="272"/>
      <c r="AL28" s="272"/>
      <c r="AM28" s="272"/>
      <c r="AN28" s="278">
        <f t="shared" si="0"/>
        <v>532.62922951504993</v>
      </c>
      <c r="AO28" s="272" t="s">
        <v>462</v>
      </c>
      <c r="AP28" s="270"/>
    </row>
    <row r="29" spans="1:42">
      <c r="B29" s="2" t="s">
        <v>26</v>
      </c>
      <c r="C29" s="10">
        <f>rhopgrain*vg/1000/1000</f>
        <v>2.8124459515941598</v>
      </c>
      <c r="D29" t="s">
        <v>28</v>
      </c>
      <c r="E29" t="s">
        <v>34</v>
      </c>
      <c r="X29" s="294"/>
      <c r="AA29" s="217" t="s">
        <v>384</v>
      </c>
      <c r="AB29" s="10">
        <v>3</v>
      </c>
      <c r="AD29" s="414" t="s">
        <v>520</v>
      </c>
      <c r="AE29" s="415"/>
      <c r="AF29" s="260">
        <v>3</v>
      </c>
      <c r="AG29" s="261">
        <v>54.53</v>
      </c>
      <c r="AH29" s="263">
        <v>33.652000000000001</v>
      </c>
      <c r="AI29" s="263">
        <v>-3.4184999999999999</v>
      </c>
      <c r="AJ29" s="416">
        <v>0.1545</v>
      </c>
      <c r="AK29" s="272"/>
      <c r="AL29" s="272"/>
      <c r="AM29" s="272"/>
      <c r="AN29" s="278">
        <f t="shared" si="0"/>
        <v>168.63685701550494</v>
      </c>
      <c r="AO29" s="272" t="s">
        <v>462</v>
      </c>
      <c r="AP29" s="270"/>
    </row>
    <row r="30" spans="1:42" ht="15.6">
      <c r="B30" s="2" t="s">
        <v>49</v>
      </c>
      <c r="C30" s="4">
        <f>n*2*ei*PI()/4*(do^2-dio^2)</f>
        <v>27400.971124610176</v>
      </c>
      <c r="D30" t="s">
        <v>15</v>
      </c>
      <c r="E30" t="s">
        <v>38</v>
      </c>
      <c r="X30" s="294"/>
      <c r="AA30" s="217" t="s">
        <v>414</v>
      </c>
      <c r="AB30" s="10">
        <v>2.5</v>
      </c>
      <c r="AD30" s="414" t="s">
        <v>536</v>
      </c>
      <c r="AE30" s="415"/>
      <c r="AF30" s="260">
        <v>2</v>
      </c>
      <c r="AG30" s="261">
        <v>39.747999999999998</v>
      </c>
      <c r="AH30" s="263">
        <v>51.618000000000002</v>
      </c>
      <c r="AI30" s="263">
        <v>-0.9264</v>
      </c>
      <c r="AJ30" s="416"/>
      <c r="AK30" s="272"/>
      <c r="AL30" s="272"/>
      <c r="AM30" s="272"/>
      <c r="AN30" s="278">
        <f t="shared" si="0"/>
        <v>324.3894744964</v>
      </c>
      <c r="AO30" s="272" t="s">
        <v>462</v>
      </c>
      <c r="AP30" s="270"/>
    </row>
    <row r="31" spans="1:42" ht="15.6">
      <c r="B31" s="2" t="s">
        <v>50</v>
      </c>
      <c r="C31" s="4">
        <f>n*ci*PI()*dio*lo</f>
        <v>28902.652413026095</v>
      </c>
      <c r="D31" t="s">
        <v>15</v>
      </c>
      <c r="E31" t="s">
        <v>39</v>
      </c>
      <c r="X31" s="295">
        <f>IF(C14="KNDX",1,IF(C14="KNSB fine",2,IF(C14="KNSB coarse",3,IF(C14="KNSU",4,IF(C14="KNER coarse",5,IF(C14="KNMN coarse",6,IF(C14="KNPSB",7,8)))))))</f>
        <v>1</v>
      </c>
      <c r="AA31" s="217" t="s">
        <v>385</v>
      </c>
      <c r="AB31" s="10">
        <v>2</v>
      </c>
      <c r="AD31" s="280" t="s">
        <v>461</v>
      </c>
      <c r="AE31" s="270"/>
      <c r="AF31" s="270"/>
      <c r="AG31" s="270"/>
      <c r="AH31" s="270"/>
      <c r="AI31" s="270"/>
      <c r="AJ31" s="270"/>
      <c r="AK31" s="270"/>
      <c r="AL31" s="270"/>
      <c r="AM31" s="270"/>
      <c r="AN31" s="267" t="s">
        <v>464</v>
      </c>
      <c r="AO31" s="267" t="s">
        <v>13</v>
      </c>
      <c r="AP31" s="270"/>
    </row>
    <row r="32" spans="1:42" ht="15.6">
      <c r="B32" s="2" t="s">
        <v>51</v>
      </c>
      <c r="C32" s="4">
        <f>n*osi*PI()*do*lo</f>
        <v>0</v>
      </c>
      <c r="D32" t="s">
        <v>15</v>
      </c>
      <c r="E32" t="s">
        <v>40</v>
      </c>
      <c r="K32" s="116"/>
      <c r="AA32" s="217" t="s">
        <v>415</v>
      </c>
      <c r="AB32" s="10">
        <v>1.5</v>
      </c>
      <c r="AD32" s="281" t="str">
        <f>C34</f>
        <v>900 psi</v>
      </c>
      <c r="AE32" s="282">
        <f>VLOOKUP(AD32,AA17:AB57,2,FALSE)</f>
        <v>6.2054999999999998</v>
      </c>
      <c r="AF32" s="283" t="s">
        <v>127</v>
      </c>
      <c r="AG32" s="298"/>
      <c r="AH32" s="283"/>
      <c r="AI32" s="270"/>
      <c r="AJ32" s="270"/>
      <c r="AK32" s="270"/>
      <c r="AL32" s="270"/>
      <c r="AM32" s="270"/>
      <c r="AN32" s="267">
        <v>1</v>
      </c>
      <c r="AO32" s="285">
        <f>IF(pmselect&lt;3,AN21,IF(pmselect&lt;6,AN22,AN23))</f>
        <v>307.39786831723018</v>
      </c>
      <c r="AP32" s="270"/>
    </row>
    <row r="33" spans="2:42" ht="15.6">
      <c r="B33" s="2" t="s">
        <v>14</v>
      </c>
      <c r="C33" s="4">
        <f>SUM(C30:C32)</f>
        <v>56303.623537636275</v>
      </c>
      <c r="D33" t="s">
        <v>15</v>
      </c>
      <c r="E33" t="s">
        <v>41</v>
      </c>
      <c r="K33" s="117">
        <f>C96</f>
        <v>0</v>
      </c>
      <c r="AA33" s="217" t="s">
        <v>416</v>
      </c>
      <c r="AB33" s="10">
        <v>1</v>
      </c>
      <c r="AD33" s="270"/>
      <c r="AE33" s="270"/>
      <c r="AF33" s="283"/>
      <c r="AG33" s="299"/>
      <c r="AH33" s="283"/>
      <c r="AI33" s="270"/>
      <c r="AJ33" s="270"/>
      <c r="AK33" s="270"/>
      <c r="AL33" s="270"/>
      <c r="AM33" s="270"/>
      <c r="AN33" s="267">
        <v>2</v>
      </c>
      <c r="AO33" s="285">
        <f t="shared" ref="AO33:AO39" si="1">AN24</f>
        <v>385.49497566460673</v>
      </c>
      <c r="AP33" s="270"/>
    </row>
    <row r="34" spans="2:42">
      <c r="B34" s="5" t="s">
        <v>452</v>
      </c>
      <c r="C34" s="255" t="s">
        <v>389</v>
      </c>
      <c r="D34" s="259" t="s">
        <v>458</v>
      </c>
      <c r="E34" s="8" t="s">
        <v>398</v>
      </c>
      <c r="AA34" s="217" t="s">
        <v>417</v>
      </c>
      <c r="AB34" s="10">
        <f>1300*6895/1000000</f>
        <v>8.9634999999999998</v>
      </c>
      <c r="AD34" s="270"/>
      <c r="AE34" s="270"/>
      <c r="AF34" s="283"/>
      <c r="AG34" s="300"/>
      <c r="AH34" s="283"/>
      <c r="AI34" s="270"/>
      <c r="AJ34" s="270"/>
      <c r="AK34" s="270"/>
      <c r="AL34" s="270"/>
      <c r="AM34" s="270"/>
      <c r="AN34" s="267">
        <v>3</v>
      </c>
      <c r="AO34" s="285">
        <f t="shared" si="1"/>
        <v>532.62922951504993</v>
      </c>
      <c r="AP34" s="270"/>
    </row>
    <row r="35" spans="2:42">
      <c r="B35" s="5" t="s">
        <v>453</v>
      </c>
      <c r="C35" s="258">
        <f>VLOOKUP(fueltype,knselecttab,2,FALSE)</f>
        <v>307.39786831723018</v>
      </c>
      <c r="D35" s="43"/>
      <c r="E35" s="8" t="s">
        <v>449</v>
      </c>
      <c r="I35" s="156" t="s">
        <v>56</v>
      </c>
      <c r="J35" s="157">
        <f>MAX(knrange)</f>
        <v>307.39786831723018</v>
      </c>
      <c r="AA35" s="217" t="s">
        <v>429</v>
      </c>
      <c r="AB35" s="10">
        <f>1250*6895/1000000</f>
        <v>8.6187500000000004</v>
      </c>
      <c r="AD35" s="270"/>
      <c r="AE35" s="270"/>
      <c r="AF35" s="283"/>
      <c r="AG35" s="298"/>
      <c r="AH35" s="283"/>
      <c r="AI35" s="270"/>
      <c r="AJ35" s="270"/>
      <c r="AK35" s="270"/>
      <c r="AL35" s="270"/>
      <c r="AM35" s="270"/>
      <c r="AN35" s="267">
        <v>4</v>
      </c>
      <c r="AO35" s="285">
        <f t="shared" si="1"/>
        <v>264.21091976397997</v>
      </c>
      <c r="AP35" s="270"/>
    </row>
    <row r="36" spans="2:42" ht="15.6">
      <c r="B36" s="11" t="s">
        <v>397</v>
      </c>
      <c r="C36" s="4">
        <f>abmax/kn</f>
        <v>221.47275588995251</v>
      </c>
      <c r="D36" t="s">
        <v>15</v>
      </c>
      <c r="E36" t="s">
        <v>37</v>
      </c>
      <c r="I36" s="158" t="s">
        <v>57</v>
      </c>
      <c r="J36" s="159">
        <f>MIN(knrange)</f>
        <v>254.22370038874197</v>
      </c>
      <c r="AA36" s="217" t="s">
        <v>386</v>
      </c>
      <c r="AB36" s="10">
        <f>1200*6895/1000000</f>
        <v>8.2739999999999991</v>
      </c>
      <c r="AD36" s="270"/>
      <c r="AE36" s="270"/>
      <c r="AF36" s="270"/>
      <c r="AG36" s="298"/>
      <c r="AH36" s="270"/>
      <c r="AI36" s="270"/>
      <c r="AJ36" s="270"/>
      <c r="AK36" s="270"/>
      <c r="AL36" s="270"/>
      <c r="AM36" s="270"/>
      <c r="AN36" s="267">
        <v>5</v>
      </c>
      <c r="AO36" s="285">
        <f t="shared" si="1"/>
        <v>667.85812228564623</v>
      </c>
    </row>
    <row r="37" spans="2:42">
      <c r="B37" s="343" t="s">
        <v>494</v>
      </c>
      <c r="C37" s="344">
        <f>SQRT(4*at/PI())</f>
        <v>16.7924944805876</v>
      </c>
      <c r="D37" s="8" t="s">
        <v>36</v>
      </c>
      <c r="E37" s="345" t="s">
        <v>495</v>
      </c>
      <c r="F37" s="345"/>
      <c r="I37" s="160" t="s">
        <v>58</v>
      </c>
      <c r="J37" s="161">
        <f>AVERAGE(knrange)</f>
        <v>289.68593487696023</v>
      </c>
      <c r="AA37" s="217" t="s">
        <v>418</v>
      </c>
      <c r="AB37" s="10">
        <f>1150*6895/1000000</f>
        <v>7.9292499999999997</v>
      </c>
      <c r="AG37" s="251"/>
      <c r="AH37" s="251"/>
      <c r="AI37" s="251"/>
      <c r="AJ37" s="251"/>
      <c r="AK37" s="252"/>
      <c r="AL37" s="252"/>
      <c r="AM37" s="251"/>
      <c r="AN37" s="267">
        <v>6</v>
      </c>
      <c r="AO37" s="285">
        <f t="shared" si="1"/>
        <v>532.62922951504993</v>
      </c>
    </row>
    <row r="38" spans="2:42">
      <c r="AA38" s="217" t="s">
        <v>387</v>
      </c>
      <c r="AB38" s="10">
        <f>1100*6895/1000000</f>
        <v>7.5845000000000002</v>
      </c>
      <c r="AN38" s="267">
        <v>7</v>
      </c>
      <c r="AO38" s="285">
        <f t="shared" si="1"/>
        <v>168.63685701550494</v>
      </c>
    </row>
    <row r="39" spans="2:42">
      <c r="B39" s="2" t="s">
        <v>16</v>
      </c>
      <c r="C39" s="67">
        <v>0</v>
      </c>
      <c r="D39" t="s">
        <v>2</v>
      </c>
      <c r="E39" t="s">
        <v>275</v>
      </c>
      <c r="AA39" s="217" t="s">
        <v>419</v>
      </c>
      <c r="AB39" s="10">
        <f>1050*6895/1000000</f>
        <v>7.2397499999999999</v>
      </c>
      <c r="AN39" s="267">
        <v>8</v>
      </c>
      <c r="AO39" s="285">
        <f t="shared" si="1"/>
        <v>324.3894744964</v>
      </c>
    </row>
    <row r="40" spans="2:42">
      <c r="B40" s="2" t="s">
        <v>43</v>
      </c>
      <c r="C40" s="40">
        <f>SQRT(4*at/PI())+erate</f>
        <v>16.7924944805876</v>
      </c>
      <c r="D40" t="s">
        <v>36</v>
      </c>
      <c r="E40" t="s">
        <v>42</v>
      </c>
      <c r="AA40" s="217" t="s">
        <v>388</v>
      </c>
      <c r="AB40" s="10">
        <f>1000*6895/1000000</f>
        <v>6.8949999999999996</v>
      </c>
    </row>
    <row r="41" spans="2:42">
      <c r="AA41" s="217" t="s">
        <v>420</v>
      </c>
      <c r="AB41" s="10">
        <f>950*6895/1000000</f>
        <v>6.5502500000000001</v>
      </c>
    </row>
    <row r="42" spans="2:42">
      <c r="B42" s="57" t="s">
        <v>145</v>
      </c>
      <c r="C42" s="55">
        <v>0.49</v>
      </c>
      <c r="D42" s="56" t="s">
        <v>2</v>
      </c>
      <c r="E42" s="94" t="s">
        <v>253</v>
      </c>
      <c r="G42" s="23" t="str">
        <f>IF(twebfinal&gt;0.1,"Error code 01--convergence failure","")</f>
        <v/>
      </c>
      <c r="AA42" s="217" t="s">
        <v>389</v>
      </c>
      <c r="AB42" s="10">
        <f>900*6895/1000000</f>
        <v>6.2054999999999998</v>
      </c>
    </row>
    <row r="43" spans="2:42">
      <c r="B43" s="14" t="s">
        <v>44</v>
      </c>
      <c r="C43" s="13" t="s">
        <v>47</v>
      </c>
      <c r="D43" s="13" t="s">
        <v>45</v>
      </c>
      <c r="E43" s="13" t="s">
        <v>53</v>
      </c>
      <c r="F43" s="13" t="s">
        <v>46</v>
      </c>
      <c r="G43" s="13" t="s">
        <v>48</v>
      </c>
      <c r="H43" s="13" t="s">
        <v>18</v>
      </c>
      <c r="I43" s="13" t="s">
        <v>19</v>
      </c>
      <c r="J43" s="13" t="s">
        <v>20</v>
      </c>
      <c r="K43" s="13" t="s">
        <v>52</v>
      </c>
      <c r="L43" s="13" t="s">
        <v>54</v>
      </c>
      <c r="M43" s="14" t="s">
        <v>13</v>
      </c>
      <c r="N43" s="41"/>
      <c r="O43" s="222"/>
      <c r="AA43" s="217" t="s">
        <v>421</v>
      </c>
      <c r="AB43" s="10">
        <f>850*6895/1000000</f>
        <v>5.8607500000000003</v>
      </c>
    </row>
    <row r="44" spans="2:42" ht="16.2" thickBot="1">
      <c r="B44" s="15"/>
      <c r="C44" s="16" t="s">
        <v>2</v>
      </c>
      <c r="D44" s="16" t="s">
        <v>2</v>
      </c>
      <c r="E44" s="16" t="s">
        <v>2</v>
      </c>
      <c r="F44" s="16" t="s">
        <v>2</v>
      </c>
      <c r="G44" s="16" t="s">
        <v>2</v>
      </c>
      <c r="H44" s="16" t="s">
        <v>15</v>
      </c>
      <c r="I44" s="16" t="s">
        <v>15</v>
      </c>
      <c r="J44" s="16" t="s">
        <v>15</v>
      </c>
      <c r="K44" s="16" t="s">
        <v>15</v>
      </c>
      <c r="L44" s="16" t="s">
        <v>15</v>
      </c>
      <c r="M44" s="15"/>
      <c r="N44" s="41"/>
      <c r="O44" s="222"/>
      <c r="AA44" s="217" t="s">
        <v>390</v>
      </c>
      <c r="AB44" s="10">
        <f>800*6895/1000000</f>
        <v>5.516</v>
      </c>
    </row>
    <row r="45" spans="2:42">
      <c r="B45" s="12">
        <v>0</v>
      </c>
      <c r="C45" s="83">
        <v>0</v>
      </c>
      <c r="D45" s="83">
        <f>dio+ci*(2*C45)</f>
        <v>20</v>
      </c>
      <c r="E45" s="83">
        <f t="shared" ref="E45:E50" si="2">do-osi*(2*C45)</f>
        <v>69</v>
      </c>
      <c r="F45" s="17">
        <f t="shared" ref="F45:F50" si="3">lgo-ei*(2*n*C45)</f>
        <v>460</v>
      </c>
      <c r="G45" s="83">
        <f t="shared" ref="G45:G50" si="4">(E45-D45)/2</f>
        <v>24.5</v>
      </c>
      <c r="H45" s="18">
        <f t="shared" ref="H45:H50" si="5">ei*2*n*PI()/4*(E45^2-D45^2)</f>
        <v>27400.971124610176</v>
      </c>
      <c r="I45" s="18">
        <f t="shared" ref="I45:I50" si="6">ci*PI()*D45*F45</f>
        <v>28902.652413026095</v>
      </c>
      <c r="J45" s="18">
        <f t="shared" ref="J45:J50" si="7">osi*PI()*E45*F45</f>
        <v>0</v>
      </c>
      <c r="K45" s="18">
        <f t="shared" ref="K45:K50" si="8">SUM(H45:J45)</f>
        <v>56303.623537636275</v>
      </c>
      <c r="L45" s="17">
        <f>PI()/4*(dto+erate*(two-G45)/two)^2</f>
        <v>221.47275588995251</v>
      </c>
      <c r="M45" s="17">
        <f t="shared" ref="M45:M50" si="9">K45/L45</f>
        <v>254.22370038874197</v>
      </c>
      <c r="N45" s="42"/>
      <c r="O45" s="223"/>
      <c r="AA45" s="217" t="s">
        <v>422</v>
      </c>
      <c r="AB45" s="10">
        <f>750*6895/1000000</f>
        <v>5.1712499999999997</v>
      </c>
    </row>
    <row r="46" spans="2:42">
      <c r="B46" s="13">
        <f>1+B45</f>
        <v>1</v>
      </c>
      <c r="C46" s="19">
        <f>xinc+C45</f>
        <v>0.49</v>
      </c>
      <c r="D46" s="83">
        <f>dio+ci*(2*C46)</f>
        <v>20.98</v>
      </c>
      <c r="E46" s="83">
        <f t="shared" si="2"/>
        <v>69</v>
      </c>
      <c r="F46" s="17">
        <f t="shared" si="3"/>
        <v>456.08</v>
      </c>
      <c r="G46" s="83">
        <f t="shared" si="4"/>
        <v>24.009999999999998</v>
      </c>
      <c r="H46" s="18">
        <f t="shared" si="5"/>
        <v>27148.63588939972</v>
      </c>
      <c r="I46" s="18">
        <f t="shared" si="6"/>
        <v>30060.512774884905</v>
      </c>
      <c r="J46" s="18">
        <f t="shared" si="7"/>
        <v>0</v>
      </c>
      <c r="K46" s="18">
        <f t="shared" si="8"/>
        <v>57209.148664284628</v>
      </c>
      <c r="L46" s="17">
        <f t="shared" ref="L46:L95" si="10">PI()/4*(dto+erate*(two-G46)/two)^2</f>
        <v>221.47275588995251</v>
      </c>
      <c r="M46" s="17">
        <f t="shared" si="9"/>
        <v>258.31235284177012</v>
      </c>
      <c r="N46" s="42"/>
      <c r="O46" s="223"/>
      <c r="AA46" s="217" t="s">
        <v>391</v>
      </c>
      <c r="AB46" s="10">
        <f>700*6895/1000000</f>
        <v>4.8265000000000002</v>
      </c>
    </row>
    <row r="47" spans="2:42">
      <c r="B47" s="13">
        <f>1+B46</f>
        <v>2</v>
      </c>
      <c r="C47" s="19">
        <f>xinc+C46</f>
        <v>0.98</v>
      </c>
      <c r="D47" s="83">
        <f t="shared" ref="D47:D95" si="11">dio+ci*(2*C47)</f>
        <v>21.96</v>
      </c>
      <c r="E47" s="83">
        <f t="shared" si="2"/>
        <v>69</v>
      </c>
      <c r="F47" s="17">
        <f t="shared" si="3"/>
        <v>452.16</v>
      </c>
      <c r="G47" s="83">
        <f t="shared" si="4"/>
        <v>23.52</v>
      </c>
      <c r="H47" s="18">
        <f t="shared" si="5"/>
        <v>26884.231911851231</v>
      </c>
      <c r="I47" s="18">
        <f t="shared" si="6"/>
        <v>31194.235652067655</v>
      </c>
      <c r="J47" s="18">
        <f t="shared" si="7"/>
        <v>0</v>
      </c>
      <c r="K47" s="18">
        <f t="shared" si="8"/>
        <v>58078.467563918886</v>
      </c>
      <c r="L47" s="17">
        <f t="shared" si="10"/>
        <v>221.47275588995251</v>
      </c>
      <c r="M47" s="17">
        <f t="shared" si="9"/>
        <v>262.23752592295131</v>
      </c>
      <c r="N47" s="42"/>
      <c r="O47" s="223"/>
      <c r="AA47" s="217" t="s">
        <v>423</v>
      </c>
      <c r="AB47" s="10">
        <f>650*6895/1000000</f>
        <v>4.4817499999999999</v>
      </c>
    </row>
    <row r="48" spans="2:42">
      <c r="B48" s="13">
        <f>1+B47</f>
        <v>3</v>
      </c>
      <c r="C48" s="19">
        <f>xinc+C47</f>
        <v>1.47</v>
      </c>
      <c r="D48" s="83">
        <f t="shared" si="11"/>
        <v>22.94</v>
      </c>
      <c r="E48" s="83">
        <f t="shared" si="2"/>
        <v>69</v>
      </c>
      <c r="F48" s="17">
        <f t="shared" si="3"/>
        <v>448.24</v>
      </c>
      <c r="G48" s="83">
        <f t="shared" si="4"/>
        <v>23.03</v>
      </c>
      <c r="H48" s="18">
        <f t="shared" si="5"/>
        <v>26607.75919196472</v>
      </c>
      <c r="I48" s="18">
        <f t="shared" si="6"/>
        <v>32303.821044574339</v>
      </c>
      <c r="J48" s="18">
        <f t="shared" si="7"/>
        <v>0</v>
      </c>
      <c r="K48" s="18">
        <f t="shared" si="8"/>
        <v>58911.580236539055</v>
      </c>
      <c r="L48" s="17">
        <f t="shared" si="10"/>
        <v>221.47275588995251</v>
      </c>
      <c r="M48" s="17">
        <f t="shared" si="9"/>
        <v>265.99921963228564</v>
      </c>
      <c r="N48" s="42"/>
      <c r="O48" s="223"/>
      <c r="AA48" s="217" t="s">
        <v>392</v>
      </c>
      <c r="AB48" s="10">
        <f>600*6895/1000000</f>
        <v>4.1369999999999996</v>
      </c>
    </row>
    <row r="49" spans="2:28">
      <c r="B49" s="13">
        <f>1+B48</f>
        <v>4</v>
      </c>
      <c r="C49" s="19">
        <f>xinc+C48</f>
        <v>1.96</v>
      </c>
      <c r="D49" s="83">
        <f t="shared" si="11"/>
        <v>23.92</v>
      </c>
      <c r="E49" s="83">
        <f t="shared" si="2"/>
        <v>69</v>
      </c>
      <c r="F49" s="17">
        <f t="shared" si="3"/>
        <v>444.32</v>
      </c>
      <c r="G49" s="83">
        <f t="shared" si="4"/>
        <v>22.54</v>
      </c>
      <c r="H49" s="18">
        <f t="shared" si="5"/>
        <v>26319.217729740172</v>
      </c>
      <c r="I49" s="18">
        <f t="shared" si="6"/>
        <v>33389.268952404964</v>
      </c>
      <c r="J49" s="18">
        <f t="shared" si="7"/>
        <v>0</v>
      </c>
      <c r="K49" s="18">
        <f t="shared" si="8"/>
        <v>59708.486682145136</v>
      </c>
      <c r="L49" s="17">
        <f t="shared" si="10"/>
        <v>221.47275588995251</v>
      </c>
      <c r="M49" s="17">
        <f t="shared" si="9"/>
        <v>269.59743396977302</v>
      </c>
      <c r="N49" s="42"/>
      <c r="O49" s="223"/>
      <c r="AA49" s="217" t="s">
        <v>424</v>
      </c>
      <c r="AB49" s="10">
        <f>550*6895/1000000</f>
        <v>3.7922500000000001</v>
      </c>
    </row>
    <row r="50" spans="2:28">
      <c r="B50" s="13">
        <f>1+B49</f>
        <v>5</v>
      </c>
      <c r="C50" s="19">
        <f>xinc+C49</f>
        <v>2.4500000000000002</v>
      </c>
      <c r="D50" s="83">
        <f t="shared" si="11"/>
        <v>24.9</v>
      </c>
      <c r="E50" s="83">
        <f t="shared" si="2"/>
        <v>69</v>
      </c>
      <c r="F50" s="17">
        <f t="shared" si="3"/>
        <v>440.4</v>
      </c>
      <c r="G50" s="83">
        <f t="shared" si="4"/>
        <v>22.05</v>
      </c>
      <c r="H50" s="18">
        <f t="shared" si="5"/>
        <v>26018.607525177595</v>
      </c>
      <c r="I50" s="18">
        <f t="shared" si="6"/>
        <v>34450.57937555953</v>
      </c>
      <c r="J50" s="18">
        <f t="shared" si="7"/>
        <v>0</v>
      </c>
      <c r="K50" s="18">
        <f t="shared" si="8"/>
        <v>60469.186900737128</v>
      </c>
      <c r="L50" s="17">
        <f t="shared" si="10"/>
        <v>221.47275588995251</v>
      </c>
      <c r="M50" s="17">
        <f t="shared" si="9"/>
        <v>273.03216893541361</v>
      </c>
      <c r="N50" s="42"/>
      <c r="O50" s="225"/>
      <c r="AA50" s="217" t="s">
        <v>393</v>
      </c>
      <c r="AB50" s="10">
        <f>500*6895/1000000</f>
        <v>3.4474999999999998</v>
      </c>
    </row>
    <row r="51" spans="2:28">
      <c r="B51" s="13">
        <f t="shared" ref="B51:B95" si="12">1+B50</f>
        <v>6</v>
      </c>
      <c r="C51" s="19">
        <f t="shared" ref="C51:C95" si="13">xinc+C50</f>
        <v>2.9400000000000004</v>
      </c>
      <c r="D51" s="83">
        <f t="shared" si="11"/>
        <v>25.880000000000003</v>
      </c>
      <c r="E51" s="83">
        <f t="shared" ref="E51:E95" si="14">do-osi*(2*C51)</f>
        <v>69</v>
      </c>
      <c r="F51" s="17">
        <f t="shared" ref="F51:F95" si="15">lgo-ei*(2*n*C51)</f>
        <v>436.48</v>
      </c>
      <c r="G51" s="83">
        <f t="shared" ref="G51:G95" si="16">(E51-D51)/2</f>
        <v>21.56</v>
      </c>
      <c r="H51" s="18">
        <f t="shared" ref="H51:H95" si="17">ei*2*n*PI()/4*(E51^2-D51^2)</f>
        <v>25705.928578276984</v>
      </c>
      <c r="I51" s="18">
        <f t="shared" ref="I51:I95" si="18">ci*PI()*D51*F51</f>
        <v>35487.752314038036</v>
      </c>
      <c r="J51" s="18">
        <f t="shared" ref="J51:J95" si="19">osi*PI()*E51*F51</f>
        <v>0</v>
      </c>
      <c r="K51" s="18">
        <f t="shared" ref="K51:K95" si="20">SUM(H51:J51)</f>
        <v>61193.680892315024</v>
      </c>
      <c r="L51" s="17">
        <f t="shared" si="10"/>
        <v>221.47275588995251</v>
      </c>
      <c r="M51" s="17">
        <f t="shared" ref="M51:M95" si="21">K51/L51</f>
        <v>276.30342452920723</v>
      </c>
      <c r="N51" s="42"/>
      <c r="O51" s="225"/>
      <c r="AA51" s="217" t="s">
        <v>425</v>
      </c>
      <c r="AB51" s="10">
        <f>450*6895/1000000</f>
        <v>3.1027499999999999</v>
      </c>
    </row>
    <row r="52" spans="2:28">
      <c r="B52" s="13">
        <f t="shared" si="12"/>
        <v>7</v>
      </c>
      <c r="C52" s="19">
        <f t="shared" si="13"/>
        <v>3.4300000000000006</v>
      </c>
      <c r="D52" s="83">
        <f t="shared" si="11"/>
        <v>26.86</v>
      </c>
      <c r="E52" s="83">
        <f t="shared" si="14"/>
        <v>69</v>
      </c>
      <c r="F52" s="17">
        <f t="shared" si="15"/>
        <v>432.56</v>
      </c>
      <c r="G52" s="83">
        <f t="shared" si="16"/>
        <v>21.07</v>
      </c>
      <c r="H52" s="18">
        <f t="shared" si="17"/>
        <v>25381.180889038347</v>
      </c>
      <c r="I52" s="18">
        <f t="shared" si="18"/>
        <v>36500.787767840477</v>
      </c>
      <c r="J52" s="18">
        <f t="shared" si="19"/>
        <v>0</v>
      </c>
      <c r="K52" s="18">
        <f t="shared" si="20"/>
        <v>61881.968656878824</v>
      </c>
      <c r="L52" s="17">
        <f t="shared" si="10"/>
        <v>221.47275588995251</v>
      </c>
      <c r="M52" s="17">
        <f t="shared" si="21"/>
        <v>279.4112007511539</v>
      </c>
      <c r="N52" s="42"/>
      <c r="O52" s="223"/>
      <c r="AA52" s="217" t="s">
        <v>394</v>
      </c>
      <c r="AB52" s="10">
        <f>400*6895/1000000</f>
        <v>2.758</v>
      </c>
    </row>
    <row r="53" spans="2:28">
      <c r="B53" s="13">
        <f t="shared" si="12"/>
        <v>8</v>
      </c>
      <c r="C53" s="19">
        <f t="shared" si="13"/>
        <v>3.9200000000000008</v>
      </c>
      <c r="D53" s="83">
        <f t="shared" si="11"/>
        <v>27.840000000000003</v>
      </c>
      <c r="E53" s="83">
        <f t="shared" si="14"/>
        <v>69</v>
      </c>
      <c r="F53" s="17">
        <f t="shared" si="15"/>
        <v>428.64</v>
      </c>
      <c r="G53" s="83">
        <f t="shared" si="16"/>
        <v>20.58</v>
      </c>
      <c r="H53" s="18">
        <f t="shared" si="17"/>
        <v>25044.364457461677</v>
      </c>
      <c r="I53" s="18">
        <f t="shared" si="18"/>
        <v>37489.685736966858</v>
      </c>
      <c r="J53" s="18">
        <f t="shared" si="19"/>
        <v>0</v>
      </c>
      <c r="K53" s="18">
        <f t="shared" si="20"/>
        <v>62534.050194428535</v>
      </c>
      <c r="L53" s="17">
        <f t="shared" si="10"/>
        <v>221.47275588995251</v>
      </c>
      <c r="M53" s="17">
        <f t="shared" si="21"/>
        <v>282.35549760125372</v>
      </c>
      <c r="N53" s="42"/>
      <c r="O53" s="223"/>
      <c r="AA53" s="217" t="s">
        <v>426</v>
      </c>
      <c r="AB53" s="10">
        <f>350*6895/1000000</f>
        <v>2.4132500000000001</v>
      </c>
    </row>
    <row r="54" spans="2:28">
      <c r="B54" s="13">
        <f t="shared" si="12"/>
        <v>9</v>
      </c>
      <c r="C54" s="19">
        <f t="shared" si="13"/>
        <v>4.410000000000001</v>
      </c>
      <c r="D54" s="83">
        <f t="shared" si="11"/>
        <v>28.82</v>
      </c>
      <c r="E54" s="83">
        <f t="shared" si="14"/>
        <v>69</v>
      </c>
      <c r="F54" s="17">
        <f t="shared" si="15"/>
        <v>424.71999999999997</v>
      </c>
      <c r="G54" s="83">
        <f t="shared" si="16"/>
        <v>20.09</v>
      </c>
      <c r="H54" s="18">
        <f t="shared" si="17"/>
        <v>24695.479283546982</v>
      </c>
      <c r="I54" s="18">
        <f t="shared" si="18"/>
        <v>38454.446221417173</v>
      </c>
      <c r="J54" s="18">
        <f t="shared" si="19"/>
        <v>0</v>
      </c>
      <c r="K54" s="18">
        <f t="shared" si="20"/>
        <v>63149.925504964151</v>
      </c>
      <c r="L54" s="17">
        <f t="shared" si="10"/>
        <v>221.47275588995251</v>
      </c>
      <c r="M54" s="17">
        <f t="shared" si="21"/>
        <v>285.13631507950663</v>
      </c>
      <c r="N54" s="42"/>
      <c r="O54" s="223"/>
      <c r="AA54" s="217" t="s">
        <v>395</v>
      </c>
      <c r="AB54" s="10">
        <f>300*6895/1000000</f>
        <v>2.0684999999999998</v>
      </c>
    </row>
    <row r="55" spans="2:28">
      <c r="B55" s="13">
        <f t="shared" si="12"/>
        <v>10</v>
      </c>
      <c r="C55" s="19">
        <f t="shared" si="13"/>
        <v>4.9000000000000012</v>
      </c>
      <c r="D55" s="83">
        <f t="shared" si="11"/>
        <v>29.800000000000004</v>
      </c>
      <c r="E55" s="83">
        <f t="shared" si="14"/>
        <v>69</v>
      </c>
      <c r="F55" s="17">
        <f t="shared" si="15"/>
        <v>420.8</v>
      </c>
      <c r="G55" s="83">
        <f t="shared" si="16"/>
        <v>19.599999999999998</v>
      </c>
      <c r="H55" s="18">
        <f t="shared" si="17"/>
        <v>24334.525367294249</v>
      </c>
      <c r="I55" s="18">
        <f t="shared" si="18"/>
        <v>39395.069221191443</v>
      </c>
      <c r="J55" s="18">
        <f t="shared" si="19"/>
        <v>0</v>
      </c>
      <c r="K55" s="18">
        <f t="shared" si="20"/>
        <v>63729.594588485692</v>
      </c>
      <c r="L55" s="17">
        <f t="shared" si="10"/>
        <v>221.47275588995251</v>
      </c>
      <c r="M55" s="17">
        <f t="shared" si="21"/>
        <v>287.7536531859127</v>
      </c>
      <c r="N55" s="42"/>
      <c r="O55" s="224"/>
      <c r="AA55" s="217" t="s">
        <v>427</v>
      </c>
      <c r="AB55" s="10">
        <f>250*6895/1000000</f>
        <v>1.7237499999999999</v>
      </c>
    </row>
    <row r="56" spans="2:28">
      <c r="B56" s="13">
        <f t="shared" si="12"/>
        <v>11</v>
      </c>
      <c r="C56" s="19">
        <f t="shared" si="13"/>
        <v>5.3900000000000015</v>
      </c>
      <c r="D56" s="83">
        <f t="shared" si="11"/>
        <v>30.78</v>
      </c>
      <c r="E56" s="83">
        <f t="shared" si="14"/>
        <v>69</v>
      </c>
      <c r="F56" s="17">
        <f t="shared" si="15"/>
        <v>416.88</v>
      </c>
      <c r="G56" s="83">
        <f t="shared" si="16"/>
        <v>19.11</v>
      </c>
      <c r="H56" s="18">
        <f t="shared" si="17"/>
        <v>23961.502708703487</v>
      </c>
      <c r="I56" s="18">
        <f t="shared" si="18"/>
        <v>40311.554736289632</v>
      </c>
      <c r="J56" s="18">
        <f t="shared" si="19"/>
        <v>0</v>
      </c>
      <c r="K56" s="18">
        <f t="shared" si="20"/>
        <v>64273.057444993115</v>
      </c>
      <c r="L56" s="17">
        <f t="shared" si="10"/>
        <v>221.47275588995251</v>
      </c>
      <c r="M56" s="17">
        <f t="shared" si="21"/>
        <v>290.20751192047175</v>
      </c>
      <c r="N56" s="42"/>
      <c r="O56" s="224"/>
      <c r="AA56" s="217" t="s">
        <v>396</v>
      </c>
      <c r="AB56" s="10">
        <f>200*6895/1000000</f>
        <v>1.379</v>
      </c>
    </row>
    <row r="57" spans="2:28">
      <c r="B57" s="13">
        <f t="shared" si="12"/>
        <v>12</v>
      </c>
      <c r="C57" s="19">
        <f t="shared" si="13"/>
        <v>5.8800000000000017</v>
      </c>
      <c r="D57" s="83">
        <f t="shared" si="11"/>
        <v>31.760000000000005</v>
      </c>
      <c r="E57" s="83">
        <f t="shared" si="14"/>
        <v>69</v>
      </c>
      <c r="F57" s="17">
        <f t="shared" si="15"/>
        <v>412.96</v>
      </c>
      <c r="G57" s="83">
        <f t="shared" si="16"/>
        <v>18.619999999999997</v>
      </c>
      <c r="H57" s="18">
        <f t="shared" si="17"/>
        <v>23576.411307774695</v>
      </c>
      <c r="I57" s="18">
        <f t="shared" si="18"/>
        <v>41203.90276671177</v>
      </c>
      <c r="J57" s="18">
        <f t="shared" si="19"/>
        <v>0</v>
      </c>
      <c r="K57" s="18">
        <f t="shared" si="20"/>
        <v>64780.314074486465</v>
      </c>
      <c r="L57" s="17">
        <f t="shared" si="10"/>
        <v>221.47275588995251</v>
      </c>
      <c r="M57" s="17">
        <f t="shared" si="21"/>
        <v>292.49789128318395</v>
      </c>
      <c r="N57" s="42"/>
      <c r="O57" s="224"/>
      <c r="AA57" s="217" t="s">
        <v>428</v>
      </c>
      <c r="AB57" s="10">
        <f>150*6895/1000000</f>
        <v>1.0342499999999999</v>
      </c>
    </row>
    <row r="58" spans="2:28">
      <c r="B58" s="13">
        <f t="shared" si="12"/>
        <v>13</v>
      </c>
      <c r="C58" s="19">
        <f t="shared" si="13"/>
        <v>6.3700000000000019</v>
      </c>
      <c r="D58" s="83">
        <f t="shared" si="11"/>
        <v>32.74</v>
      </c>
      <c r="E58" s="83">
        <f t="shared" si="14"/>
        <v>69</v>
      </c>
      <c r="F58" s="17">
        <f t="shared" si="15"/>
        <v>409.03999999999996</v>
      </c>
      <c r="G58" s="83">
        <f t="shared" si="16"/>
        <v>18.13</v>
      </c>
      <c r="H58" s="18">
        <f t="shared" si="17"/>
        <v>23179.251164507874</v>
      </c>
      <c r="I58" s="18">
        <f t="shared" si="18"/>
        <v>42072.113312457841</v>
      </c>
      <c r="J58" s="18">
        <f t="shared" si="19"/>
        <v>0</v>
      </c>
      <c r="K58" s="18">
        <f t="shared" si="20"/>
        <v>65251.364476965711</v>
      </c>
      <c r="L58" s="17">
        <f t="shared" si="10"/>
        <v>221.47275588995251</v>
      </c>
      <c r="M58" s="17">
        <f t="shared" si="21"/>
        <v>294.62479127404919</v>
      </c>
      <c r="N58" s="42"/>
      <c r="O58" s="42"/>
    </row>
    <row r="59" spans="2:28">
      <c r="B59" s="13">
        <f t="shared" si="12"/>
        <v>14</v>
      </c>
      <c r="C59" s="19">
        <f t="shared" si="13"/>
        <v>6.8600000000000021</v>
      </c>
      <c r="D59" s="83">
        <f t="shared" si="11"/>
        <v>33.720000000000006</v>
      </c>
      <c r="E59" s="83">
        <f t="shared" si="14"/>
        <v>69</v>
      </c>
      <c r="F59" s="17">
        <f t="shared" si="15"/>
        <v>405.12</v>
      </c>
      <c r="G59" s="83">
        <f t="shared" si="16"/>
        <v>17.639999999999997</v>
      </c>
      <c r="H59" s="18">
        <f t="shared" si="17"/>
        <v>22770.022278903023</v>
      </c>
      <c r="I59" s="18">
        <f t="shared" si="18"/>
        <v>42916.18637352786</v>
      </c>
      <c r="J59" s="18">
        <f t="shared" si="19"/>
        <v>0</v>
      </c>
      <c r="K59" s="18">
        <f t="shared" si="20"/>
        <v>65686.208652430883</v>
      </c>
      <c r="L59" s="17">
        <f t="shared" si="10"/>
        <v>221.47275588995251</v>
      </c>
      <c r="M59" s="17">
        <f t="shared" si="21"/>
        <v>296.58821189306764</v>
      </c>
      <c r="N59" s="42"/>
      <c r="O59" s="42"/>
    </row>
    <row r="60" spans="2:28">
      <c r="B60" s="13">
        <f t="shared" si="12"/>
        <v>15</v>
      </c>
      <c r="C60" s="19">
        <f t="shared" si="13"/>
        <v>7.3500000000000023</v>
      </c>
      <c r="D60" s="83">
        <f t="shared" si="11"/>
        <v>34.700000000000003</v>
      </c>
      <c r="E60" s="83">
        <f t="shared" si="14"/>
        <v>69</v>
      </c>
      <c r="F60" s="17">
        <f t="shared" si="15"/>
        <v>401.2</v>
      </c>
      <c r="G60" s="83">
        <f t="shared" si="16"/>
        <v>17.149999999999999</v>
      </c>
      <c r="H60" s="18">
        <f t="shared" si="17"/>
        <v>22348.724650960143</v>
      </c>
      <c r="I60" s="18">
        <f t="shared" si="18"/>
        <v>43736.121949921806</v>
      </c>
      <c r="J60" s="18">
        <f t="shared" si="19"/>
        <v>0</v>
      </c>
      <c r="K60" s="18">
        <f t="shared" si="20"/>
        <v>66084.846600881952</v>
      </c>
      <c r="L60" s="17">
        <f t="shared" si="10"/>
        <v>221.47275588995251</v>
      </c>
      <c r="M60" s="17">
        <f t="shared" si="21"/>
        <v>298.38815314023913</v>
      </c>
      <c r="N60" s="42"/>
      <c r="O60" s="42"/>
    </row>
    <row r="61" spans="2:28">
      <c r="B61" s="13">
        <f t="shared" si="12"/>
        <v>16</v>
      </c>
      <c r="C61" s="19">
        <f t="shared" si="13"/>
        <v>7.8400000000000025</v>
      </c>
      <c r="D61" s="83">
        <f t="shared" si="11"/>
        <v>35.680000000000007</v>
      </c>
      <c r="E61" s="83">
        <f t="shared" si="14"/>
        <v>69</v>
      </c>
      <c r="F61" s="17">
        <f t="shared" si="15"/>
        <v>397.28</v>
      </c>
      <c r="G61" s="83">
        <f t="shared" si="16"/>
        <v>16.659999999999997</v>
      </c>
      <c r="H61" s="18">
        <f t="shared" si="17"/>
        <v>21915.358280679226</v>
      </c>
      <c r="I61" s="18">
        <f t="shared" si="18"/>
        <v>44531.920041639707</v>
      </c>
      <c r="J61" s="18">
        <f t="shared" si="19"/>
        <v>0</v>
      </c>
      <c r="K61" s="18">
        <f t="shared" si="20"/>
        <v>66447.278322318933</v>
      </c>
      <c r="L61" s="17">
        <f t="shared" si="10"/>
        <v>221.47275588995251</v>
      </c>
      <c r="M61" s="17">
        <f t="shared" si="21"/>
        <v>300.02461501556377</v>
      </c>
      <c r="N61" s="42"/>
      <c r="O61" s="42"/>
    </row>
    <row r="62" spans="2:28">
      <c r="B62" s="13">
        <f t="shared" si="12"/>
        <v>17</v>
      </c>
      <c r="C62" s="19">
        <f t="shared" si="13"/>
        <v>8.3300000000000018</v>
      </c>
      <c r="D62" s="83">
        <f t="shared" si="11"/>
        <v>36.660000000000004</v>
      </c>
      <c r="E62" s="83">
        <f t="shared" si="14"/>
        <v>69</v>
      </c>
      <c r="F62" s="17">
        <f t="shared" si="15"/>
        <v>393.36</v>
      </c>
      <c r="G62" s="83">
        <f t="shared" si="16"/>
        <v>16.169999999999998</v>
      </c>
      <c r="H62" s="18">
        <f t="shared" si="17"/>
        <v>21469.923168060282</v>
      </c>
      <c r="I62" s="18">
        <f t="shared" si="18"/>
        <v>45303.580648681535</v>
      </c>
      <c r="J62" s="18">
        <f t="shared" si="19"/>
        <v>0</v>
      </c>
      <c r="K62" s="18">
        <f t="shared" si="20"/>
        <v>66773.50381674181</v>
      </c>
      <c r="L62" s="17">
        <f t="shared" si="10"/>
        <v>221.47275588995251</v>
      </c>
      <c r="M62" s="17">
        <f t="shared" si="21"/>
        <v>301.49759751904139</v>
      </c>
      <c r="N62" s="42"/>
      <c r="O62" s="42"/>
    </row>
    <row r="63" spans="2:28">
      <c r="B63" s="13">
        <f t="shared" si="12"/>
        <v>18</v>
      </c>
      <c r="C63" s="19">
        <f t="shared" si="13"/>
        <v>8.8200000000000021</v>
      </c>
      <c r="D63" s="83">
        <f t="shared" si="11"/>
        <v>37.64</v>
      </c>
      <c r="E63" s="83">
        <f t="shared" si="14"/>
        <v>69</v>
      </c>
      <c r="F63" s="17">
        <f t="shared" si="15"/>
        <v>389.44</v>
      </c>
      <c r="G63" s="83">
        <f t="shared" si="16"/>
        <v>15.68</v>
      </c>
      <c r="H63" s="18">
        <f t="shared" si="17"/>
        <v>21012.41931310331</v>
      </c>
      <c r="I63" s="18">
        <f t="shared" si="18"/>
        <v>46051.103771047303</v>
      </c>
      <c r="J63" s="18">
        <f t="shared" si="19"/>
        <v>0</v>
      </c>
      <c r="K63" s="18">
        <f t="shared" si="20"/>
        <v>67063.523084150613</v>
      </c>
      <c r="L63" s="17">
        <f t="shared" si="10"/>
        <v>221.47275588995251</v>
      </c>
      <c r="M63" s="17">
        <f t="shared" si="21"/>
        <v>302.80710065067223</v>
      </c>
      <c r="N63" s="42"/>
      <c r="O63" s="42"/>
    </row>
    <row r="64" spans="2:28">
      <c r="B64" s="13">
        <f t="shared" si="12"/>
        <v>19</v>
      </c>
      <c r="C64" s="19">
        <f t="shared" si="13"/>
        <v>9.3100000000000023</v>
      </c>
      <c r="D64" s="83">
        <f t="shared" si="11"/>
        <v>38.620000000000005</v>
      </c>
      <c r="E64" s="83">
        <f t="shared" si="14"/>
        <v>69</v>
      </c>
      <c r="F64" s="17">
        <f t="shared" si="15"/>
        <v>385.52</v>
      </c>
      <c r="G64" s="83">
        <f t="shared" si="16"/>
        <v>15.189999999999998</v>
      </c>
      <c r="H64" s="18">
        <f t="shared" si="17"/>
        <v>20542.846715808304</v>
      </c>
      <c r="I64" s="18">
        <f t="shared" si="18"/>
        <v>46774.489408737012</v>
      </c>
      <c r="J64" s="18">
        <f t="shared" si="19"/>
        <v>0</v>
      </c>
      <c r="K64" s="18">
        <f t="shared" si="20"/>
        <v>67317.336124545312</v>
      </c>
      <c r="L64" s="17">
        <f t="shared" si="10"/>
        <v>221.47275588995251</v>
      </c>
      <c r="M64" s="17">
        <f t="shared" si="21"/>
        <v>303.9531244104561</v>
      </c>
      <c r="N64" s="42"/>
      <c r="O64" s="42"/>
    </row>
    <row r="65" spans="2:15">
      <c r="B65" s="13">
        <f t="shared" si="12"/>
        <v>20</v>
      </c>
      <c r="C65" s="19">
        <f t="shared" si="13"/>
        <v>9.8000000000000025</v>
      </c>
      <c r="D65" s="83">
        <f t="shared" si="11"/>
        <v>39.600000000000009</v>
      </c>
      <c r="E65" s="83">
        <f t="shared" si="14"/>
        <v>69</v>
      </c>
      <c r="F65" s="17">
        <f t="shared" si="15"/>
        <v>381.59999999999997</v>
      </c>
      <c r="G65" s="83">
        <f t="shared" si="16"/>
        <v>14.699999999999996</v>
      </c>
      <c r="H65" s="18">
        <f t="shared" si="17"/>
        <v>20061.205376175265</v>
      </c>
      <c r="I65" s="18">
        <f t="shared" si="18"/>
        <v>47473.737561750662</v>
      </c>
      <c r="J65" s="18">
        <f t="shared" si="19"/>
        <v>0</v>
      </c>
      <c r="K65" s="18">
        <f t="shared" si="20"/>
        <v>67534.942937925924</v>
      </c>
      <c r="L65" s="17">
        <f t="shared" si="10"/>
        <v>221.47275588995251</v>
      </c>
      <c r="M65" s="17">
        <f t="shared" si="21"/>
        <v>304.93566879839312</v>
      </c>
      <c r="N65" s="42"/>
      <c r="O65" s="42"/>
    </row>
    <row r="66" spans="2:15">
      <c r="B66" s="13">
        <f t="shared" si="12"/>
        <v>21</v>
      </c>
      <c r="C66" s="19">
        <f t="shared" si="13"/>
        <v>10.290000000000003</v>
      </c>
      <c r="D66" s="83">
        <f t="shared" si="11"/>
        <v>40.580000000000005</v>
      </c>
      <c r="E66" s="83">
        <f t="shared" si="14"/>
        <v>69</v>
      </c>
      <c r="F66" s="17">
        <f t="shared" si="15"/>
        <v>377.67999999999995</v>
      </c>
      <c r="G66" s="83">
        <f t="shared" si="16"/>
        <v>14.209999999999997</v>
      </c>
      <c r="H66" s="18">
        <f t="shared" si="17"/>
        <v>19567.4952942042</v>
      </c>
      <c r="I66" s="18">
        <f t="shared" si="18"/>
        <v>48148.848230088246</v>
      </c>
      <c r="J66" s="18">
        <f t="shared" si="19"/>
        <v>0</v>
      </c>
      <c r="K66" s="18">
        <f t="shared" si="20"/>
        <v>67716.343524292446</v>
      </c>
      <c r="L66" s="17">
        <f t="shared" si="10"/>
        <v>221.47275588995251</v>
      </c>
      <c r="M66" s="17">
        <f t="shared" si="21"/>
        <v>305.75473381448319</v>
      </c>
      <c r="N66" s="42"/>
      <c r="O66" s="42"/>
    </row>
    <row r="67" spans="2:15">
      <c r="B67" s="13">
        <f t="shared" si="12"/>
        <v>22</v>
      </c>
      <c r="C67" s="19">
        <f t="shared" si="13"/>
        <v>10.780000000000003</v>
      </c>
      <c r="D67" s="83">
        <f t="shared" si="11"/>
        <v>41.56</v>
      </c>
      <c r="E67" s="83">
        <f t="shared" si="14"/>
        <v>69</v>
      </c>
      <c r="F67" s="17">
        <f t="shared" si="15"/>
        <v>373.76</v>
      </c>
      <c r="G67" s="83">
        <f t="shared" si="16"/>
        <v>13.719999999999999</v>
      </c>
      <c r="H67" s="18">
        <f t="shared" si="17"/>
        <v>19061.716469895106</v>
      </c>
      <c r="I67" s="18">
        <f t="shared" si="18"/>
        <v>48799.821413749763</v>
      </c>
      <c r="J67" s="18">
        <f t="shared" si="19"/>
        <v>0</v>
      </c>
      <c r="K67" s="18">
        <f t="shared" si="20"/>
        <v>67861.537883644865</v>
      </c>
      <c r="L67" s="17">
        <f t="shared" si="10"/>
        <v>221.47275588995251</v>
      </c>
      <c r="M67" s="17">
        <f t="shared" si="21"/>
        <v>306.41031945872635</v>
      </c>
      <c r="N67" s="42"/>
      <c r="O67" s="42"/>
    </row>
    <row r="68" spans="2:15">
      <c r="B68" s="13">
        <f t="shared" si="12"/>
        <v>23</v>
      </c>
      <c r="C68" s="19">
        <f t="shared" si="13"/>
        <v>11.270000000000003</v>
      </c>
      <c r="D68" s="83">
        <f t="shared" si="11"/>
        <v>42.540000000000006</v>
      </c>
      <c r="E68" s="83">
        <f t="shared" si="14"/>
        <v>69</v>
      </c>
      <c r="F68" s="17">
        <f t="shared" si="15"/>
        <v>369.84</v>
      </c>
      <c r="G68" s="83">
        <f t="shared" si="16"/>
        <v>13.229999999999997</v>
      </c>
      <c r="H68" s="18">
        <f t="shared" si="17"/>
        <v>18543.868903247978</v>
      </c>
      <c r="I68" s="18">
        <f t="shared" si="18"/>
        <v>49426.657112735229</v>
      </c>
      <c r="J68" s="18">
        <f t="shared" si="19"/>
        <v>0</v>
      </c>
      <c r="K68" s="18">
        <f t="shared" si="20"/>
        <v>67970.526015983211</v>
      </c>
      <c r="L68" s="17">
        <f t="shared" si="10"/>
        <v>221.47275588995251</v>
      </c>
      <c r="M68" s="17">
        <f t="shared" si="21"/>
        <v>306.90242573112266</v>
      </c>
      <c r="N68" s="42"/>
      <c r="O68" s="42"/>
    </row>
    <row r="69" spans="2:15">
      <c r="B69" s="13">
        <f t="shared" si="12"/>
        <v>24</v>
      </c>
      <c r="C69" s="19">
        <f t="shared" si="13"/>
        <v>11.760000000000003</v>
      </c>
      <c r="D69" s="83">
        <f t="shared" si="11"/>
        <v>43.52000000000001</v>
      </c>
      <c r="E69" s="83">
        <f t="shared" si="14"/>
        <v>69</v>
      </c>
      <c r="F69" s="17">
        <f t="shared" si="15"/>
        <v>365.91999999999996</v>
      </c>
      <c r="G69" s="83">
        <f t="shared" si="16"/>
        <v>12.739999999999995</v>
      </c>
      <c r="H69" s="18">
        <f t="shared" si="17"/>
        <v>18013.952594262821</v>
      </c>
      <c r="I69" s="18">
        <f t="shared" si="18"/>
        <v>50029.355327044635</v>
      </c>
      <c r="J69" s="18">
        <f t="shared" si="19"/>
        <v>0</v>
      </c>
      <c r="K69" s="18">
        <f t="shared" si="20"/>
        <v>68043.307921307452</v>
      </c>
      <c r="L69" s="17">
        <f t="shared" si="10"/>
        <v>221.47275588995251</v>
      </c>
      <c r="M69" s="17">
        <f t="shared" si="21"/>
        <v>307.23105263167201</v>
      </c>
      <c r="N69" s="42"/>
      <c r="O69" s="42"/>
    </row>
    <row r="70" spans="2:15">
      <c r="B70" s="13">
        <f t="shared" si="12"/>
        <v>25</v>
      </c>
      <c r="C70" s="19">
        <f t="shared" si="13"/>
        <v>12.250000000000004</v>
      </c>
      <c r="D70" s="83">
        <f t="shared" si="11"/>
        <v>44.500000000000007</v>
      </c>
      <c r="E70" s="83">
        <f t="shared" si="14"/>
        <v>69</v>
      </c>
      <c r="F70" s="17">
        <f t="shared" si="15"/>
        <v>362</v>
      </c>
      <c r="G70" s="83">
        <f t="shared" si="16"/>
        <v>12.249999999999996</v>
      </c>
      <c r="H70" s="18">
        <f t="shared" si="17"/>
        <v>17471.96754293963</v>
      </c>
      <c r="I70" s="18">
        <f t="shared" si="18"/>
        <v>50607.916056677983</v>
      </c>
      <c r="J70" s="18">
        <f t="shared" si="19"/>
        <v>0</v>
      </c>
      <c r="K70" s="18">
        <f t="shared" si="20"/>
        <v>68079.883599617606</v>
      </c>
      <c r="L70" s="17">
        <f t="shared" si="10"/>
        <v>221.47275588995251</v>
      </c>
      <c r="M70" s="17">
        <f t="shared" si="21"/>
        <v>307.39620016037452</v>
      </c>
      <c r="N70" s="42"/>
      <c r="O70" s="42"/>
    </row>
    <row r="71" spans="2:15">
      <c r="B71" s="13">
        <f t="shared" si="12"/>
        <v>26</v>
      </c>
      <c r="C71" s="19">
        <f t="shared" si="13"/>
        <v>12.740000000000004</v>
      </c>
      <c r="D71" s="83">
        <f t="shared" si="11"/>
        <v>45.480000000000004</v>
      </c>
      <c r="E71" s="83">
        <f t="shared" si="14"/>
        <v>69</v>
      </c>
      <c r="F71" s="17">
        <f t="shared" si="15"/>
        <v>358.08</v>
      </c>
      <c r="G71" s="83">
        <f t="shared" si="16"/>
        <v>11.759999999999998</v>
      </c>
      <c r="H71" s="18">
        <f t="shared" si="17"/>
        <v>16917.913749278414</v>
      </c>
      <c r="I71" s="18">
        <f t="shared" si="18"/>
        <v>51162.339301635264</v>
      </c>
      <c r="J71" s="18">
        <f t="shared" si="19"/>
        <v>0</v>
      </c>
      <c r="K71" s="18">
        <f t="shared" si="20"/>
        <v>68080.253050913685</v>
      </c>
      <c r="L71" s="17">
        <f t="shared" si="10"/>
        <v>221.47275588995251</v>
      </c>
      <c r="M71" s="17">
        <f t="shared" si="21"/>
        <v>307.39786831723018</v>
      </c>
      <c r="N71" s="42"/>
      <c r="O71" s="42"/>
    </row>
    <row r="72" spans="2:15">
      <c r="B72" s="13">
        <f t="shared" si="12"/>
        <v>27</v>
      </c>
      <c r="C72" s="19">
        <f t="shared" si="13"/>
        <v>13.230000000000004</v>
      </c>
      <c r="D72" s="83">
        <f t="shared" si="11"/>
        <v>46.460000000000008</v>
      </c>
      <c r="E72" s="83">
        <f t="shared" si="14"/>
        <v>69</v>
      </c>
      <c r="F72" s="17">
        <f t="shared" si="15"/>
        <v>354.15999999999997</v>
      </c>
      <c r="G72" s="83">
        <f t="shared" si="16"/>
        <v>11.269999999999996</v>
      </c>
      <c r="H72" s="18">
        <f t="shared" si="17"/>
        <v>16351.791213279163</v>
      </c>
      <c r="I72" s="18">
        <f t="shared" si="18"/>
        <v>51692.625061916486</v>
      </c>
      <c r="J72" s="18">
        <f t="shared" si="19"/>
        <v>0</v>
      </c>
      <c r="K72" s="18">
        <f t="shared" si="20"/>
        <v>68044.416275195646</v>
      </c>
      <c r="L72" s="17">
        <f t="shared" si="10"/>
        <v>221.47275588995251</v>
      </c>
      <c r="M72" s="17">
        <f t="shared" si="21"/>
        <v>307.23605710223882</v>
      </c>
      <c r="N72" s="42"/>
      <c r="O72" s="42"/>
    </row>
    <row r="73" spans="2:15">
      <c r="B73" s="13">
        <f t="shared" si="12"/>
        <v>28</v>
      </c>
      <c r="C73" s="19">
        <f t="shared" si="13"/>
        <v>13.720000000000004</v>
      </c>
      <c r="D73" s="83">
        <f t="shared" si="11"/>
        <v>47.440000000000012</v>
      </c>
      <c r="E73" s="83">
        <f t="shared" si="14"/>
        <v>69</v>
      </c>
      <c r="F73" s="17">
        <f t="shared" si="15"/>
        <v>350.23999999999995</v>
      </c>
      <c r="G73" s="83">
        <f t="shared" si="16"/>
        <v>10.779999999999994</v>
      </c>
      <c r="H73" s="18">
        <f t="shared" si="17"/>
        <v>15773.59993494188</v>
      </c>
      <c r="I73" s="18">
        <f t="shared" si="18"/>
        <v>52198.773337521641</v>
      </c>
      <c r="J73" s="18">
        <f t="shared" si="19"/>
        <v>0</v>
      </c>
      <c r="K73" s="18">
        <f t="shared" si="20"/>
        <v>67972.373272463519</v>
      </c>
      <c r="L73" s="17">
        <f t="shared" si="10"/>
        <v>221.47275588995251</v>
      </c>
      <c r="M73" s="17">
        <f t="shared" si="21"/>
        <v>306.91076651540055</v>
      </c>
      <c r="N73" s="42"/>
      <c r="O73" s="42"/>
    </row>
    <row r="74" spans="2:15">
      <c r="B74" s="13">
        <f t="shared" si="12"/>
        <v>29</v>
      </c>
      <c r="C74" s="19">
        <f t="shared" si="13"/>
        <v>14.210000000000004</v>
      </c>
      <c r="D74" s="83">
        <f t="shared" si="11"/>
        <v>48.420000000000009</v>
      </c>
      <c r="E74" s="83">
        <f t="shared" si="14"/>
        <v>69</v>
      </c>
      <c r="F74" s="17">
        <f t="shared" si="15"/>
        <v>346.31999999999994</v>
      </c>
      <c r="G74" s="83">
        <f t="shared" si="16"/>
        <v>10.289999999999996</v>
      </c>
      <c r="H74" s="18">
        <f t="shared" si="17"/>
        <v>15183.339914266569</v>
      </c>
      <c r="I74" s="18">
        <f t="shared" si="18"/>
        <v>52680.784128450738</v>
      </c>
      <c r="J74" s="18">
        <f t="shared" si="19"/>
        <v>0</v>
      </c>
      <c r="K74" s="18">
        <f t="shared" si="20"/>
        <v>67864.124042717303</v>
      </c>
      <c r="L74" s="17">
        <f t="shared" si="10"/>
        <v>221.47275588995251</v>
      </c>
      <c r="M74" s="17">
        <f t="shared" si="21"/>
        <v>306.42199655671544</v>
      </c>
      <c r="N74" s="42"/>
      <c r="O74" s="42"/>
    </row>
    <row r="75" spans="2:15">
      <c r="B75" s="13">
        <f t="shared" si="12"/>
        <v>30</v>
      </c>
      <c r="C75" s="19">
        <f t="shared" si="13"/>
        <v>14.700000000000005</v>
      </c>
      <c r="D75" s="83">
        <f t="shared" si="11"/>
        <v>49.400000000000006</v>
      </c>
      <c r="E75" s="83">
        <f t="shared" si="14"/>
        <v>69</v>
      </c>
      <c r="F75" s="17">
        <f t="shared" si="15"/>
        <v>342.4</v>
      </c>
      <c r="G75" s="83">
        <f t="shared" si="16"/>
        <v>9.7999999999999972</v>
      </c>
      <c r="H75" s="18">
        <f t="shared" si="17"/>
        <v>14581.011151253231</v>
      </c>
      <c r="I75" s="18">
        <f t="shared" si="18"/>
        <v>53138.657434703775</v>
      </c>
      <c r="J75" s="18">
        <f t="shared" si="19"/>
        <v>0</v>
      </c>
      <c r="K75" s="18">
        <f t="shared" si="20"/>
        <v>67719.668585956999</v>
      </c>
      <c r="L75" s="17">
        <f t="shared" si="10"/>
        <v>221.47275588995251</v>
      </c>
      <c r="M75" s="17">
        <f t="shared" si="21"/>
        <v>305.76974722618337</v>
      </c>
      <c r="N75" s="42"/>
      <c r="O75" s="42"/>
    </row>
    <row r="76" spans="2:15">
      <c r="B76" s="13">
        <f t="shared" si="12"/>
        <v>31</v>
      </c>
      <c r="C76" s="19">
        <f t="shared" si="13"/>
        <v>15.190000000000005</v>
      </c>
      <c r="D76" s="83">
        <f t="shared" si="11"/>
        <v>50.38000000000001</v>
      </c>
      <c r="E76" s="83">
        <f t="shared" si="14"/>
        <v>69</v>
      </c>
      <c r="F76" s="17">
        <f t="shared" si="15"/>
        <v>338.47999999999996</v>
      </c>
      <c r="G76" s="83">
        <f t="shared" si="16"/>
        <v>9.3099999999999952</v>
      </c>
      <c r="H76" s="18">
        <f t="shared" si="17"/>
        <v>13966.613645901856</v>
      </c>
      <c r="I76" s="18">
        <f t="shared" si="18"/>
        <v>53572.393256280753</v>
      </c>
      <c r="J76" s="18">
        <f t="shared" si="19"/>
        <v>0</v>
      </c>
      <c r="K76" s="18">
        <f t="shared" si="20"/>
        <v>67539.006902182606</v>
      </c>
      <c r="L76" s="17">
        <f t="shared" si="10"/>
        <v>221.47275588995251</v>
      </c>
      <c r="M76" s="17">
        <f t="shared" si="21"/>
        <v>304.95401852380451</v>
      </c>
      <c r="N76" s="42"/>
      <c r="O76" s="42"/>
    </row>
    <row r="77" spans="2:15">
      <c r="B77" s="13">
        <f t="shared" si="12"/>
        <v>32</v>
      </c>
      <c r="C77" s="19">
        <f t="shared" si="13"/>
        <v>15.680000000000005</v>
      </c>
      <c r="D77" s="83">
        <f t="shared" si="11"/>
        <v>51.360000000000014</v>
      </c>
      <c r="E77" s="83">
        <f t="shared" si="14"/>
        <v>69</v>
      </c>
      <c r="F77" s="17">
        <f t="shared" si="15"/>
        <v>334.55999999999995</v>
      </c>
      <c r="G77" s="83">
        <f t="shared" si="16"/>
        <v>8.8199999999999932</v>
      </c>
      <c r="H77" s="18">
        <f t="shared" si="17"/>
        <v>13340.147398212453</v>
      </c>
      <c r="I77" s="18">
        <f t="shared" si="18"/>
        <v>53981.991593181672</v>
      </c>
      <c r="J77" s="18">
        <f t="shared" si="19"/>
        <v>0</v>
      </c>
      <c r="K77" s="18">
        <f t="shared" si="20"/>
        <v>67322.138991394124</v>
      </c>
      <c r="L77" s="17">
        <f t="shared" si="10"/>
        <v>221.47275588995251</v>
      </c>
      <c r="M77" s="17">
        <f t="shared" si="21"/>
        <v>303.97481044957868</v>
      </c>
      <c r="N77" s="42"/>
      <c r="O77" s="42"/>
    </row>
    <row r="78" spans="2:15">
      <c r="B78" s="13">
        <f t="shared" si="12"/>
        <v>33</v>
      </c>
      <c r="C78" s="19">
        <f t="shared" si="13"/>
        <v>16.170000000000005</v>
      </c>
      <c r="D78" s="83">
        <f t="shared" si="11"/>
        <v>52.340000000000011</v>
      </c>
      <c r="E78" s="83">
        <f t="shared" si="14"/>
        <v>69</v>
      </c>
      <c r="F78" s="17">
        <f t="shared" si="15"/>
        <v>330.64</v>
      </c>
      <c r="G78" s="83">
        <f t="shared" si="16"/>
        <v>8.3299999999999947</v>
      </c>
      <c r="H78" s="18">
        <f t="shared" si="17"/>
        <v>12701.612408185021</v>
      </c>
      <c r="I78" s="18">
        <f t="shared" si="18"/>
        <v>54367.452445406525</v>
      </c>
      <c r="J78" s="18">
        <f t="shared" si="19"/>
        <v>0</v>
      </c>
      <c r="K78" s="18">
        <f t="shared" si="20"/>
        <v>67069.064853591553</v>
      </c>
      <c r="L78" s="17">
        <f t="shared" si="10"/>
        <v>221.47275588995251</v>
      </c>
      <c r="M78" s="17">
        <f t="shared" si="21"/>
        <v>302.83212300350601</v>
      </c>
      <c r="N78" s="42"/>
      <c r="O78" s="42"/>
    </row>
    <row r="79" spans="2:15">
      <c r="B79" s="13">
        <f t="shared" si="12"/>
        <v>34</v>
      </c>
      <c r="C79" s="19">
        <f t="shared" si="13"/>
        <v>16.660000000000004</v>
      </c>
      <c r="D79" s="83">
        <f t="shared" si="11"/>
        <v>53.320000000000007</v>
      </c>
      <c r="E79" s="83">
        <f t="shared" si="14"/>
        <v>69</v>
      </c>
      <c r="F79" s="17">
        <f t="shared" si="15"/>
        <v>326.71999999999997</v>
      </c>
      <c r="G79" s="83">
        <f t="shared" si="16"/>
        <v>7.8399999999999963</v>
      </c>
      <c r="H79" s="18">
        <f t="shared" si="17"/>
        <v>12051.008675819561</v>
      </c>
      <c r="I79" s="18">
        <f t="shared" si="18"/>
        <v>54728.775812955311</v>
      </c>
      <c r="J79" s="18">
        <f t="shared" si="19"/>
        <v>0</v>
      </c>
      <c r="K79" s="18">
        <f t="shared" si="20"/>
        <v>66779.784488774865</v>
      </c>
      <c r="L79" s="17">
        <f t="shared" si="10"/>
        <v>221.47275588995251</v>
      </c>
      <c r="M79" s="17">
        <f t="shared" si="21"/>
        <v>301.52595618558627</v>
      </c>
      <c r="N79" s="42"/>
      <c r="O79" s="42"/>
    </row>
    <row r="80" spans="2:15">
      <c r="B80" s="13">
        <f t="shared" si="12"/>
        <v>35</v>
      </c>
      <c r="C80" s="19">
        <f t="shared" si="13"/>
        <v>17.150000000000002</v>
      </c>
      <c r="D80" s="83">
        <f t="shared" si="11"/>
        <v>54.300000000000004</v>
      </c>
      <c r="E80" s="83">
        <f t="shared" si="14"/>
        <v>69</v>
      </c>
      <c r="F80" s="17">
        <f t="shared" si="15"/>
        <v>322.79999999999995</v>
      </c>
      <c r="G80" s="83">
        <f t="shared" si="16"/>
        <v>7.3499999999999979</v>
      </c>
      <c r="H80" s="18">
        <f t="shared" si="17"/>
        <v>11388.33620111607</v>
      </c>
      <c r="I80" s="18">
        <f t="shared" si="18"/>
        <v>55065.961695828031</v>
      </c>
      <c r="J80" s="18">
        <f t="shared" si="19"/>
        <v>0</v>
      </c>
      <c r="K80" s="18">
        <f t="shared" si="20"/>
        <v>66454.297896944103</v>
      </c>
      <c r="L80" s="17">
        <f t="shared" si="10"/>
        <v>221.47275588995251</v>
      </c>
      <c r="M80" s="17">
        <f t="shared" si="21"/>
        <v>300.05630999581973</v>
      </c>
      <c r="N80" s="42"/>
      <c r="O80" s="42"/>
    </row>
    <row r="81" spans="2:15">
      <c r="B81" s="13">
        <f t="shared" si="12"/>
        <v>36</v>
      </c>
      <c r="C81" s="19">
        <f t="shared" si="13"/>
        <v>17.64</v>
      </c>
      <c r="D81" s="83">
        <f t="shared" si="11"/>
        <v>55.28</v>
      </c>
      <c r="E81" s="83">
        <f t="shared" si="14"/>
        <v>69</v>
      </c>
      <c r="F81" s="17">
        <f t="shared" si="15"/>
        <v>318.88</v>
      </c>
      <c r="G81" s="83">
        <f t="shared" si="16"/>
        <v>6.8599999999999994</v>
      </c>
      <c r="H81" s="18">
        <f t="shared" si="17"/>
        <v>10713.594984074547</v>
      </c>
      <c r="I81" s="18">
        <f t="shared" si="18"/>
        <v>55379.010094024707</v>
      </c>
      <c r="J81" s="18">
        <f t="shared" si="19"/>
        <v>0</v>
      </c>
      <c r="K81" s="18">
        <f t="shared" si="20"/>
        <v>66092.605078099252</v>
      </c>
      <c r="L81" s="17">
        <f t="shared" si="10"/>
        <v>221.47275588995251</v>
      </c>
      <c r="M81" s="17">
        <f t="shared" si="21"/>
        <v>298.42318443420635</v>
      </c>
      <c r="N81" s="42"/>
      <c r="O81" s="42"/>
    </row>
    <row r="82" spans="2:15">
      <c r="B82" s="13">
        <f t="shared" si="12"/>
        <v>37</v>
      </c>
      <c r="C82" s="19">
        <f t="shared" si="13"/>
        <v>18.13</v>
      </c>
      <c r="D82" s="83">
        <f t="shared" si="11"/>
        <v>56.26</v>
      </c>
      <c r="E82" s="83">
        <f t="shared" si="14"/>
        <v>69</v>
      </c>
      <c r="F82" s="17">
        <f t="shared" si="15"/>
        <v>314.96000000000004</v>
      </c>
      <c r="G82" s="83">
        <f t="shared" si="16"/>
        <v>6.370000000000001</v>
      </c>
      <c r="H82" s="18">
        <f t="shared" si="17"/>
        <v>10026.785024694995</v>
      </c>
      <c r="I82" s="18">
        <f t="shared" si="18"/>
        <v>55667.921007545316</v>
      </c>
      <c r="J82" s="18">
        <f t="shared" si="19"/>
        <v>0</v>
      </c>
      <c r="K82" s="18">
        <f t="shared" si="20"/>
        <v>65694.706032240312</v>
      </c>
      <c r="L82" s="17">
        <f t="shared" si="10"/>
        <v>221.47275588995251</v>
      </c>
      <c r="M82" s="17">
        <f t="shared" si="21"/>
        <v>296.626579500746</v>
      </c>
      <c r="N82" s="42"/>
      <c r="O82" s="42"/>
    </row>
    <row r="83" spans="2:15">
      <c r="B83" s="13">
        <f t="shared" si="12"/>
        <v>38</v>
      </c>
      <c r="C83" s="19">
        <f t="shared" si="13"/>
        <v>18.619999999999997</v>
      </c>
      <c r="D83" s="83">
        <f t="shared" si="11"/>
        <v>57.239999999999995</v>
      </c>
      <c r="E83" s="83">
        <f t="shared" si="14"/>
        <v>69</v>
      </c>
      <c r="F83" s="17">
        <f t="shared" si="15"/>
        <v>311.04000000000002</v>
      </c>
      <c r="G83" s="83">
        <f t="shared" si="16"/>
        <v>5.8800000000000026</v>
      </c>
      <c r="H83" s="18">
        <f t="shared" si="17"/>
        <v>9327.906322977411</v>
      </c>
      <c r="I83" s="18">
        <f t="shared" si="18"/>
        <v>55932.694436389858</v>
      </c>
      <c r="J83" s="18">
        <f t="shared" si="19"/>
        <v>0</v>
      </c>
      <c r="K83" s="18">
        <f t="shared" si="20"/>
        <v>65260.600759367269</v>
      </c>
      <c r="L83" s="17">
        <f t="shared" si="10"/>
        <v>221.47275588995251</v>
      </c>
      <c r="M83" s="17">
        <f t="shared" si="21"/>
        <v>294.66649519543876</v>
      </c>
      <c r="N83" s="42"/>
      <c r="O83" s="42"/>
    </row>
    <row r="84" spans="2:15">
      <c r="B84" s="13">
        <f t="shared" si="12"/>
        <v>39</v>
      </c>
      <c r="C84" s="19">
        <f t="shared" si="13"/>
        <v>19.109999999999996</v>
      </c>
      <c r="D84" s="83">
        <f t="shared" si="11"/>
        <v>58.219999999999992</v>
      </c>
      <c r="E84" s="83">
        <f t="shared" si="14"/>
        <v>69</v>
      </c>
      <c r="F84" s="17">
        <f t="shared" si="15"/>
        <v>307.12</v>
      </c>
      <c r="G84" s="83">
        <f t="shared" si="16"/>
        <v>5.3900000000000041</v>
      </c>
      <c r="H84" s="18">
        <f t="shared" si="17"/>
        <v>8616.958878921796</v>
      </c>
      <c r="I84" s="18">
        <f t="shared" si="18"/>
        <v>56173.330380558349</v>
      </c>
      <c r="J84" s="18">
        <f t="shared" si="19"/>
        <v>0</v>
      </c>
      <c r="K84" s="18">
        <f t="shared" si="20"/>
        <v>64790.289259480145</v>
      </c>
      <c r="L84" s="17">
        <f t="shared" si="10"/>
        <v>221.47275588995251</v>
      </c>
      <c r="M84" s="17">
        <f t="shared" si="21"/>
        <v>292.5429315182846</v>
      </c>
      <c r="N84" s="42"/>
      <c r="O84" s="42"/>
    </row>
    <row r="85" spans="2:15">
      <c r="B85" s="13">
        <f t="shared" si="12"/>
        <v>40</v>
      </c>
      <c r="C85" s="19">
        <f t="shared" si="13"/>
        <v>19.599999999999994</v>
      </c>
      <c r="D85" s="83">
        <f t="shared" si="11"/>
        <v>59.199999999999989</v>
      </c>
      <c r="E85" s="83">
        <f t="shared" si="14"/>
        <v>69</v>
      </c>
      <c r="F85" s="17">
        <f t="shared" si="15"/>
        <v>303.20000000000005</v>
      </c>
      <c r="G85" s="83">
        <f t="shared" si="16"/>
        <v>4.9000000000000057</v>
      </c>
      <c r="H85" s="18">
        <f t="shared" si="17"/>
        <v>7893.9426925281541</v>
      </c>
      <c r="I85" s="18">
        <f t="shared" si="18"/>
        <v>56389.828840050774</v>
      </c>
      <c r="J85" s="18">
        <f t="shared" si="19"/>
        <v>0</v>
      </c>
      <c r="K85" s="18">
        <f t="shared" si="20"/>
        <v>64283.771532578925</v>
      </c>
      <c r="L85" s="17">
        <f t="shared" si="10"/>
        <v>221.47275588995251</v>
      </c>
      <c r="M85" s="17">
        <f t="shared" si="21"/>
        <v>290.2558884692836</v>
      </c>
      <c r="N85" s="42"/>
      <c r="O85" s="42"/>
    </row>
    <row r="86" spans="2:15">
      <c r="B86" s="13">
        <f t="shared" si="12"/>
        <v>41</v>
      </c>
      <c r="C86" s="19">
        <f t="shared" si="13"/>
        <v>20.089999999999993</v>
      </c>
      <c r="D86" s="83">
        <f t="shared" si="11"/>
        <v>60.179999999999986</v>
      </c>
      <c r="E86" s="83">
        <f t="shared" si="14"/>
        <v>69</v>
      </c>
      <c r="F86" s="17">
        <f t="shared" si="15"/>
        <v>299.28000000000009</v>
      </c>
      <c r="G86" s="83">
        <f t="shared" si="16"/>
        <v>4.4100000000000072</v>
      </c>
      <c r="H86" s="18">
        <f t="shared" si="17"/>
        <v>7158.85776379648</v>
      </c>
      <c r="I86" s="18">
        <f t="shared" si="18"/>
        <v>56582.189814867146</v>
      </c>
      <c r="J86" s="18">
        <f t="shared" si="19"/>
        <v>0</v>
      </c>
      <c r="K86" s="18">
        <f t="shared" si="20"/>
        <v>63741.047578663623</v>
      </c>
      <c r="L86" s="17">
        <f t="shared" si="10"/>
        <v>221.47275588995251</v>
      </c>
      <c r="M86" s="17">
        <f t="shared" si="21"/>
        <v>287.8053660484357</v>
      </c>
      <c r="N86" s="42"/>
      <c r="O86" s="42"/>
    </row>
    <row r="87" spans="2:15">
      <c r="B87" s="13">
        <f t="shared" si="12"/>
        <v>42</v>
      </c>
      <c r="C87" s="19">
        <f t="shared" si="13"/>
        <v>20.579999999999991</v>
      </c>
      <c r="D87" s="83">
        <f t="shared" si="11"/>
        <v>61.159999999999982</v>
      </c>
      <c r="E87" s="83">
        <f t="shared" si="14"/>
        <v>69</v>
      </c>
      <c r="F87" s="17">
        <f t="shared" si="15"/>
        <v>295.36000000000007</v>
      </c>
      <c r="G87" s="83">
        <f t="shared" si="16"/>
        <v>3.9200000000000088</v>
      </c>
      <c r="H87" s="18">
        <f t="shared" si="17"/>
        <v>6411.7040927267753</v>
      </c>
      <c r="I87" s="18">
        <f t="shared" si="18"/>
        <v>56750.413305007438</v>
      </c>
      <c r="J87" s="18">
        <f t="shared" si="19"/>
        <v>0</v>
      </c>
      <c r="K87" s="18">
        <f t="shared" si="20"/>
        <v>63162.117397734211</v>
      </c>
      <c r="L87" s="17">
        <f t="shared" si="10"/>
        <v>221.47275588995251</v>
      </c>
      <c r="M87" s="17">
        <f t="shared" si="21"/>
        <v>285.19136425574078</v>
      </c>
      <c r="N87" s="42"/>
      <c r="O87" s="42"/>
    </row>
    <row r="88" spans="2:15">
      <c r="B88" s="13">
        <f t="shared" si="12"/>
        <v>43</v>
      </c>
      <c r="C88" s="19">
        <f t="shared" si="13"/>
        <v>21.06999999999999</v>
      </c>
      <c r="D88" s="83">
        <f t="shared" si="11"/>
        <v>62.139999999999979</v>
      </c>
      <c r="E88" s="83">
        <f t="shared" si="14"/>
        <v>69</v>
      </c>
      <c r="F88" s="17">
        <f t="shared" si="15"/>
        <v>291.44000000000005</v>
      </c>
      <c r="G88" s="83">
        <f t="shared" si="16"/>
        <v>3.4300000000000104</v>
      </c>
      <c r="H88" s="18">
        <f t="shared" si="17"/>
        <v>5652.4816793190384</v>
      </c>
      <c r="I88" s="18">
        <f t="shared" si="18"/>
        <v>56894.499310471678</v>
      </c>
      <c r="J88" s="18">
        <f t="shared" si="19"/>
        <v>0</v>
      </c>
      <c r="K88" s="18">
        <f t="shared" si="20"/>
        <v>62546.980989790718</v>
      </c>
      <c r="L88" s="17">
        <f t="shared" si="10"/>
        <v>221.47275588995251</v>
      </c>
      <c r="M88" s="17">
        <f t="shared" si="21"/>
        <v>282.41388309119907</v>
      </c>
      <c r="N88" s="42"/>
      <c r="O88" s="42"/>
    </row>
    <row r="89" spans="2:15">
      <c r="B89" s="13">
        <f t="shared" si="12"/>
        <v>44</v>
      </c>
      <c r="C89" s="19">
        <f t="shared" si="13"/>
        <v>21.559999999999988</v>
      </c>
      <c r="D89" s="83">
        <f t="shared" si="11"/>
        <v>63.119999999999976</v>
      </c>
      <c r="E89" s="83">
        <f t="shared" si="14"/>
        <v>69</v>
      </c>
      <c r="F89" s="17">
        <f t="shared" si="15"/>
        <v>287.5200000000001</v>
      </c>
      <c r="G89" s="83">
        <f t="shared" si="16"/>
        <v>2.9400000000000119</v>
      </c>
      <c r="H89" s="18">
        <f t="shared" si="17"/>
        <v>4881.1905235732711</v>
      </c>
      <c r="I89" s="18">
        <f t="shared" si="18"/>
        <v>57014.447831259866</v>
      </c>
      <c r="J89" s="18">
        <f t="shared" si="19"/>
        <v>0</v>
      </c>
      <c r="K89" s="18">
        <f t="shared" si="20"/>
        <v>61895.638354833136</v>
      </c>
      <c r="L89" s="17">
        <f t="shared" si="10"/>
        <v>221.47275588995251</v>
      </c>
      <c r="M89" s="17">
        <f t="shared" si="21"/>
        <v>279.47292255481045</v>
      </c>
      <c r="N89" s="42"/>
      <c r="O89" s="42"/>
    </row>
    <row r="90" spans="2:15">
      <c r="B90" s="13">
        <f t="shared" si="12"/>
        <v>45</v>
      </c>
      <c r="C90" s="19">
        <f t="shared" si="13"/>
        <v>22.049999999999986</v>
      </c>
      <c r="D90" s="83">
        <f t="shared" si="11"/>
        <v>64.099999999999966</v>
      </c>
      <c r="E90" s="83">
        <f t="shared" si="14"/>
        <v>69</v>
      </c>
      <c r="F90" s="17">
        <f t="shared" si="15"/>
        <v>283.60000000000014</v>
      </c>
      <c r="G90" s="83">
        <f t="shared" si="16"/>
        <v>2.4500000000000171</v>
      </c>
      <c r="H90" s="18">
        <f t="shared" si="17"/>
        <v>4097.8306254894806</v>
      </c>
      <c r="I90" s="18">
        <f t="shared" si="18"/>
        <v>57110.258867371987</v>
      </c>
      <c r="J90" s="18">
        <f t="shared" si="19"/>
        <v>0</v>
      </c>
      <c r="K90" s="18">
        <f t="shared" si="20"/>
        <v>61208.089492861465</v>
      </c>
      <c r="L90" s="17">
        <f t="shared" si="10"/>
        <v>221.47275588995251</v>
      </c>
      <c r="M90" s="17">
        <f t="shared" si="21"/>
        <v>276.36848264657493</v>
      </c>
      <c r="N90" s="42"/>
      <c r="O90" s="42"/>
    </row>
    <row r="91" spans="2:15">
      <c r="B91" s="13">
        <f t="shared" si="12"/>
        <v>46</v>
      </c>
      <c r="C91" s="19">
        <f t="shared" si="13"/>
        <v>22.539999999999985</v>
      </c>
      <c r="D91" s="83">
        <f t="shared" si="11"/>
        <v>65.07999999999997</v>
      </c>
      <c r="E91" s="83">
        <f t="shared" si="14"/>
        <v>69</v>
      </c>
      <c r="F91" s="17">
        <f t="shared" si="15"/>
        <v>279.68000000000012</v>
      </c>
      <c r="G91" s="83">
        <f t="shared" si="16"/>
        <v>1.9600000000000151</v>
      </c>
      <c r="H91" s="18">
        <f t="shared" si="17"/>
        <v>3302.4019850676482</v>
      </c>
      <c r="I91" s="18">
        <f t="shared" si="18"/>
        <v>57181.93241880805</v>
      </c>
      <c r="J91" s="18">
        <f t="shared" si="19"/>
        <v>0</v>
      </c>
      <c r="K91" s="18">
        <f t="shared" si="20"/>
        <v>60484.334403875699</v>
      </c>
      <c r="L91" s="17">
        <f t="shared" si="10"/>
        <v>221.47275588995251</v>
      </c>
      <c r="M91" s="17">
        <f t="shared" si="21"/>
        <v>273.10056336649251</v>
      </c>
      <c r="N91" s="42"/>
      <c r="O91" s="42"/>
    </row>
    <row r="92" spans="2:15">
      <c r="B92" s="13">
        <f t="shared" si="12"/>
        <v>47</v>
      </c>
      <c r="C92" s="19">
        <f t="shared" si="13"/>
        <v>23.029999999999983</v>
      </c>
      <c r="D92" s="83">
        <f t="shared" si="11"/>
        <v>66.059999999999974</v>
      </c>
      <c r="E92" s="83">
        <f t="shared" si="14"/>
        <v>69</v>
      </c>
      <c r="F92" s="17">
        <f t="shared" si="15"/>
        <v>275.7600000000001</v>
      </c>
      <c r="G92" s="83">
        <f t="shared" si="16"/>
        <v>1.4700000000000131</v>
      </c>
      <c r="H92" s="18">
        <f t="shared" si="17"/>
        <v>2494.9046023077867</v>
      </c>
      <c r="I92" s="18">
        <f t="shared" si="18"/>
        <v>57229.468485568046</v>
      </c>
      <c r="J92" s="18">
        <f t="shared" si="19"/>
        <v>0</v>
      </c>
      <c r="K92" s="18">
        <f t="shared" si="20"/>
        <v>59724.373087875836</v>
      </c>
      <c r="L92" s="17">
        <f t="shared" si="10"/>
        <v>221.47275588995251</v>
      </c>
      <c r="M92" s="17">
        <f t="shared" si="21"/>
        <v>269.66916471456312</v>
      </c>
      <c r="N92" s="42"/>
      <c r="O92" s="42"/>
    </row>
    <row r="93" spans="2:15">
      <c r="B93" s="13">
        <f t="shared" si="12"/>
        <v>48</v>
      </c>
      <c r="C93" s="19">
        <f t="shared" si="13"/>
        <v>23.519999999999982</v>
      </c>
      <c r="D93" s="83">
        <f t="shared" si="11"/>
        <v>67.039999999999964</v>
      </c>
      <c r="E93" s="83">
        <f t="shared" si="14"/>
        <v>69</v>
      </c>
      <c r="F93" s="17">
        <f t="shared" si="15"/>
        <v>271.84000000000015</v>
      </c>
      <c r="G93" s="83">
        <f t="shared" si="16"/>
        <v>0.98000000000001819</v>
      </c>
      <c r="H93" s="18">
        <f t="shared" si="17"/>
        <v>1675.3384772099066</v>
      </c>
      <c r="I93" s="18">
        <f t="shared" si="18"/>
        <v>57252.867067651983</v>
      </c>
      <c r="J93" s="18">
        <f t="shared" si="19"/>
        <v>0</v>
      </c>
      <c r="K93" s="18">
        <f t="shared" si="20"/>
        <v>58928.205544861892</v>
      </c>
      <c r="L93" s="17">
        <f t="shared" si="10"/>
        <v>221.47275588995251</v>
      </c>
      <c r="M93" s="17">
        <f t="shared" si="21"/>
        <v>266.07428669078695</v>
      </c>
      <c r="N93" s="42"/>
      <c r="O93" s="42"/>
    </row>
    <row r="94" spans="2:15">
      <c r="B94" s="13">
        <f t="shared" si="12"/>
        <v>49</v>
      </c>
      <c r="C94" s="19">
        <f t="shared" si="13"/>
        <v>24.00999999999998</v>
      </c>
      <c r="D94" s="83">
        <f t="shared" si="11"/>
        <v>68.019999999999953</v>
      </c>
      <c r="E94" s="83">
        <f t="shared" si="14"/>
        <v>69</v>
      </c>
      <c r="F94" s="17">
        <f t="shared" si="15"/>
        <v>267.92000000000019</v>
      </c>
      <c r="G94" s="83">
        <f t="shared" si="16"/>
        <v>0.49000000000002331</v>
      </c>
      <c r="H94" s="18">
        <f t="shared" si="17"/>
        <v>843.70360977399105</v>
      </c>
      <c r="I94" s="18">
        <f t="shared" si="18"/>
        <v>57252.128165059854</v>
      </c>
      <c r="J94" s="18">
        <f t="shared" si="19"/>
        <v>0</v>
      </c>
      <c r="K94" s="18">
        <f t="shared" si="20"/>
        <v>58095.831774833845</v>
      </c>
      <c r="L94" s="17">
        <f t="shared" si="10"/>
        <v>221.47275588995251</v>
      </c>
      <c r="M94" s="17">
        <f t="shared" si="21"/>
        <v>262.31592929516376</v>
      </c>
      <c r="N94" s="42"/>
      <c r="O94" s="42"/>
    </row>
    <row r="95" spans="2:15" ht="13.8" thickBot="1">
      <c r="B95" s="13">
        <f t="shared" si="12"/>
        <v>50</v>
      </c>
      <c r="C95" s="19">
        <f t="shared" si="13"/>
        <v>24.499999999999979</v>
      </c>
      <c r="D95" s="83">
        <f t="shared" si="11"/>
        <v>68.999999999999957</v>
      </c>
      <c r="E95" s="83">
        <f t="shared" si="14"/>
        <v>69</v>
      </c>
      <c r="F95" s="17">
        <f t="shared" si="15"/>
        <v>264.00000000000017</v>
      </c>
      <c r="G95" s="83">
        <f t="shared" si="16"/>
        <v>2.1316282072803006E-14</v>
      </c>
      <c r="H95" s="18">
        <f t="shared" si="17"/>
        <v>3.4287142482824054E-11</v>
      </c>
      <c r="I95" s="18">
        <f t="shared" si="18"/>
        <v>57227.251777791673</v>
      </c>
      <c r="J95" s="18">
        <f t="shared" si="19"/>
        <v>0</v>
      </c>
      <c r="K95" s="220">
        <f t="shared" si="20"/>
        <v>57227.251777791709</v>
      </c>
      <c r="L95" s="17">
        <f t="shared" si="10"/>
        <v>221.47275588995251</v>
      </c>
      <c r="M95" s="253">
        <f t="shared" si="21"/>
        <v>258.39409252769372</v>
      </c>
      <c r="N95" s="42"/>
      <c r="O95" s="42"/>
    </row>
    <row r="96" spans="2:15" ht="13.8" thickBot="1">
      <c r="C96" s="19">
        <f>two-xfinal*(ci+osi)</f>
        <v>0</v>
      </c>
      <c r="J96" s="217" t="s">
        <v>377</v>
      </c>
      <c r="K96" s="221">
        <f>MAX(K45:K95)</f>
        <v>68080.253050913685</v>
      </c>
      <c r="L96" s="217" t="s">
        <v>377</v>
      </c>
      <c r="M96" s="254">
        <f>MAX(knrange)</f>
        <v>307.39786831723018</v>
      </c>
      <c r="N96" s="43"/>
      <c r="O96" s="43"/>
    </row>
    <row r="97" spans="2:15">
      <c r="N97" s="43"/>
      <c r="O97" s="43"/>
    </row>
    <row r="98" spans="2:15">
      <c r="B98" s="8" t="s">
        <v>375</v>
      </c>
      <c r="C98" s="8" t="s">
        <v>376</v>
      </c>
      <c r="N98" s="43"/>
      <c r="O98" s="43"/>
    </row>
    <row r="99" spans="2:15">
      <c r="C99" s="8" t="s">
        <v>482</v>
      </c>
      <c r="N99" s="43"/>
      <c r="O99" s="43"/>
    </row>
    <row r="100" spans="2:15">
      <c r="C100" s="8" t="s">
        <v>479</v>
      </c>
      <c r="N100" s="43"/>
      <c r="O100" s="43"/>
    </row>
    <row r="101" spans="2:15">
      <c r="C101" s="8" t="s">
        <v>480</v>
      </c>
      <c r="N101" s="43"/>
      <c r="O101" s="43"/>
    </row>
    <row r="102" spans="2:15">
      <c r="C102" s="8" t="s">
        <v>478</v>
      </c>
      <c r="N102" s="43"/>
      <c r="O102" s="43"/>
    </row>
    <row r="103" spans="2:15">
      <c r="C103" s="8" t="s">
        <v>481</v>
      </c>
      <c r="N103" s="43"/>
      <c r="O103" s="43"/>
    </row>
    <row r="104" spans="2:15">
      <c r="C104" s="8" t="s">
        <v>544</v>
      </c>
      <c r="N104" s="43"/>
      <c r="O104" s="43"/>
    </row>
    <row r="105" spans="2:15">
      <c r="C105" s="8" t="s">
        <v>533</v>
      </c>
      <c r="N105" s="43"/>
      <c r="O105" s="43"/>
    </row>
    <row r="106" spans="2:15">
      <c r="N106" s="43"/>
      <c r="O106" s="43"/>
    </row>
  </sheetData>
  <sheetProtection password="C7BC" sheet="1"/>
  <customSheetViews>
    <customSheetView guid="{136183A0-5E83-4B15-A2A6-F3C23DCC406A}" showGridLines="0" printArea="1" topLeftCell="A7">
      <selection activeCell="G53" sqref="G53"/>
      <pageMargins left="0.75" right="0.95" top="0.85" bottom="1" header="0.5" footer="0.5"/>
      <pageSetup orientation="landscape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dataValidations count="3">
    <dataValidation type="list" allowBlank="1" showInputMessage="1" showErrorMessage="1" prompt="Exposed to burning or inhibited?" sqref="C20:C22" xr:uid="{08C644A0-0A34-4CA3-A7B2-EF6C196EA4B7}">
      <formula1>surfacecondition</formula1>
    </dataValidation>
    <dataValidation type="list" allowBlank="1" showInputMessage="1" showErrorMessage="1" sqref="C14" xr:uid="{B0AC4100-A2F8-4057-9966-DF75ADFC7CA7}">
      <formula1>propellants</formula1>
    </dataValidation>
    <dataValidation type="list" allowBlank="1" showInputMessage="1" showErrorMessage="1" prompt="Selecct max design pressure" sqref="C34" xr:uid="{8BFD5B21-DD46-4FE3-A1E3-15F14E94FF31}">
      <formula1>pressures</formula1>
    </dataValidation>
  </dataValidations>
  <hyperlinks>
    <hyperlink ref="E14" location="note1" display="See Note [1] below" xr:uid="{5828C2A2-AC2A-41A4-8CCB-1388BCB14646}"/>
  </hyperlinks>
  <pageMargins left="0.75" right="0.95" top="0.85" bottom="1" header="0.5" footer="0.5"/>
  <pageSetup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Macro1">
                <anchor moveWithCells="1" sizeWithCells="1">
                  <from>
                    <xdr:col>8</xdr:col>
                    <xdr:colOff>259080</xdr:colOff>
                    <xdr:row>31</xdr:row>
                    <xdr:rowOff>60960</xdr:rowOff>
                  </from>
                  <to>
                    <xdr:col>9</xdr:col>
                    <xdr:colOff>571500</xdr:colOff>
                    <xdr:row>33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4B26-4D67-4050-BDF5-0C8E0CB639CF}">
  <sheetPr codeName="Sheet5">
    <tabColor rgb="FFFFFF00"/>
    <pageSetUpPr autoPageBreaks="0"/>
  </sheetPr>
  <dimension ref="B3:AI910"/>
  <sheetViews>
    <sheetView showGridLines="0" workbookViewId="0">
      <selection activeCell="B1" sqref="B1"/>
    </sheetView>
  </sheetViews>
  <sheetFormatPr defaultRowHeight="13.2"/>
  <cols>
    <col min="1" max="1" width="3.21875" customWidth="1"/>
    <col min="3" max="3" width="8.77734375" customWidth="1"/>
    <col min="4" max="4" width="10.5546875" customWidth="1"/>
    <col min="8" max="8" width="10" bestFit="1" customWidth="1"/>
    <col min="9" max="9" width="9.44140625" customWidth="1"/>
    <col min="30" max="30" width="8.77734375" customWidth="1"/>
  </cols>
  <sheetData>
    <row r="3" spans="2:27" ht="13.8">
      <c r="G3" s="242"/>
    </row>
    <row r="5" spans="2:27">
      <c r="B5" s="82" t="s">
        <v>146</v>
      </c>
    </row>
    <row r="8" spans="2:27">
      <c r="D8" s="58"/>
    </row>
    <row r="9" spans="2:27">
      <c r="B9" s="2" t="s">
        <v>113</v>
      </c>
      <c r="C9">
        <v>8314</v>
      </c>
      <c r="D9" s="58" t="s">
        <v>114</v>
      </c>
      <c r="E9" t="s">
        <v>122</v>
      </c>
    </row>
    <row r="10" spans="2:27">
      <c r="B10" s="2" t="s">
        <v>74</v>
      </c>
      <c r="C10">
        <f>IF(fueltype=1,m_dx,IF(fueltype=2,m_so,IF(fueltype=3,m_so,IF(fueltype=4,m_su,IF(fueltype=5,m_er,IF(fueltype=6,m_mn,IF(fueltype=7,m_ot,m_fr)))))))</f>
        <v>42.42</v>
      </c>
      <c r="D10" s="58" t="s">
        <v>115</v>
      </c>
      <c r="E10" t="s">
        <v>197</v>
      </c>
    </row>
    <row r="11" spans="2:27">
      <c r="B11" s="2" t="s">
        <v>112</v>
      </c>
      <c r="C11" s="3">
        <f>runiv/m</f>
        <v>195.99245638849598</v>
      </c>
      <c r="D11" s="58" t="s">
        <v>116</v>
      </c>
      <c r="E11" t="s">
        <v>129</v>
      </c>
    </row>
    <row r="12" spans="2:27">
      <c r="B12" s="2" t="s">
        <v>110</v>
      </c>
      <c r="C12">
        <f>IF(fueltype=1,ks_dx,IF(fueltype=2,ks_so,IF(fueltype=3,ks_so,IF(fueltype=4,ks_su,IF(fueltype=5,ks_er,IF(fueltype=6,ks_mn,IF(fueltype=7,ks_ot,ks_fr)))))))</f>
        <v>1.1308</v>
      </c>
      <c r="D12" s="58"/>
      <c r="E12" t="s">
        <v>314</v>
      </c>
    </row>
    <row r="13" spans="2:27">
      <c r="B13" s="7" t="s">
        <v>118</v>
      </c>
      <c r="C13" s="88">
        <v>0.95</v>
      </c>
      <c r="D13" s="58"/>
      <c r="E13" t="s">
        <v>119</v>
      </c>
    </row>
    <row r="14" spans="2:27">
      <c r="B14" s="2" t="s">
        <v>117</v>
      </c>
      <c r="C14" s="70">
        <f>IF(fueltype=1,to_dx,IF(fueltype=2,to_so,IF(fueltype=3,to_so,IF(fueltype=4,to_su,IF(fueltype=5,to_er,IF(fueltype=6,to_mn,IF(fueltype=7,to_ot,to_fr)))))))</f>
        <v>1710</v>
      </c>
      <c r="D14" s="58" t="s">
        <v>73</v>
      </c>
      <c r="E14" t="s">
        <v>124</v>
      </c>
    </row>
    <row r="15" spans="2:27">
      <c r="B15" s="2" t="s">
        <v>123</v>
      </c>
      <c r="C15" s="4">
        <f>etac*tothe</f>
        <v>1624.5</v>
      </c>
      <c r="D15" s="58" t="s">
        <v>73</v>
      </c>
      <c r="E15" t="s">
        <v>125</v>
      </c>
    </row>
    <row r="16" spans="2:27">
      <c r="B16" s="2" t="s">
        <v>126</v>
      </c>
      <c r="C16" s="88">
        <v>0.10100000000000001</v>
      </c>
      <c r="D16" s="58" t="s">
        <v>127</v>
      </c>
      <c r="E16" t="s">
        <v>128</v>
      </c>
    </row>
    <row r="17" spans="2:35">
      <c r="B17" s="2" t="s">
        <v>148</v>
      </c>
      <c r="C17" s="4">
        <f>SQRT(rat*to/k*((k+1)/2)^((k+1)/(k-1)))</f>
        <v>888.96501046747881</v>
      </c>
      <c r="D17" t="s">
        <v>150</v>
      </c>
      <c r="E17" t="s">
        <v>149</v>
      </c>
    </row>
    <row r="18" spans="2:35">
      <c r="B18" s="2" t="s">
        <v>94</v>
      </c>
      <c r="C18" s="88">
        <v>6</v>
      </c>
      <c r="E18" t="s">
        <v>144</v>
      </c>
      <c r="J18" s="142" t="s">
        <v>156</v>
      </c>
      <c r="K18" s="151">
        <f>pmax</f>
        <v>6.3037269067368191</v>
      </c>
      <c r="L18" s="144" t="s">
        <v>127</v>
      </c>
      <c r="O18" s="142" t="s">
        <v>156</v>
      </c>
      <c r="P18" s="143">
        <f>pmax/0.006895</f>
        <v>914.24610685088021</v>
      </c>
      <c r="Q18" s="144" t="s">
        <v>189</v>
      </c>
    </row>
    <row r="19" spans="2:35">
      <c r="B19" s="2" t="s">
        <v>93</v>
      </c>
      <c r="C19" s="88">
        <v>0</v>
      </c>
      <c r="E19" t="s">
        <v>143</v>
      </c>
      <c r="J19" s="145" t="s">
        <v>157</v>
      </c>
      <c r="K19" s="152">
        <f>tbout</f>
        <v>1.9422241569225847</v>
      </c>
      <c r="L19" s="147" t="s">
        <v>91</v>
      </c>
      <c r="O19" s="145" t="s">
        <v>157</v>
      </c>
      <c r="P19" s="152">
        <f>tbout</f>
        <v>1.9422241569225847</v>
      </c>
      <c r="Q19" s="147" t="s">
        <v>91</v>
      </c>
    </row>
    <row r="20" spans="2:35">
      <c r="B20" s="2"/>
      <c r="C20" s="52"/>
      <c r="J20" s="148" t="s">
        <v>158</v>
      </c>
      <c r="K20" s="149">
        <f>tthr</f>
        <v>2.0252513904182514</v>
      </c>
      <c r="L20" s="150" t="s">
        <v>91</v>
      </c>
      <c r="O20" s="148" t="s">
        <v>158</v>
      </c>
      <c r="P20" s="149">
        <f>tthr</f>
        <v>2.0252513904182514</v>
      </c>
      <c r="Q20" s="150" t="s">
        <v>91</v>
      </c>
    </row>
    <row r="21" spans="2:35">
      <c r="B21" s="2"/>
      <c r="C21" s="52"/>
    </row>
    <row r="22" spans="2:35">
      <c r="W22" s="417" t="s">
        <v>205</v>
      </c>
      <c r="X22" s="417">
        <v>0</v>
      </c>
      <c r="Y22" s="417" t="s">
        <v>206</v>
      </c>
      <c r="Z22" s="417"/>
      <c r="AA22" s="418" t="s">
        <v>153</v>
      </c>
      <c r="AB22" s="419">
        <f>MAX(AC28:AC910)</f>
        <v>6.3037269067368191</v>
      </c>
      <c r="AC22" s="417" t="s">
        <v>127</v>
      </c>
    </row>
    <row r="23" spans="2:35">
      <c r="E23" s="53"/>
      <c r="G23" s="117">
        <f>D862</f>
        <v>1.8189894035458565E-12</v>
      </c>
      <c r="J23" s="118">
        <v>1.7665368828865783E-3</v>
      </c>
      <c r="K23" s="101" t="s">
        <v>254</v>
      </c>
      <c r="R23" s="43"/>
      <c r="S23" s="43"/>
    </row>
    <row r="24" spans="2:35">
      <c r="B24" s="54" t="s">
        <v>145</v>
      </c>
      <c r="C24" s="90">
        <v>2.9376498800957818E-2</v>
      </c>
      <c r="D24" s="53" t="s">
        <v>2</v>
      </c>
      <c r="R24" s="43"/>
      <c r="S24" s="43"/>
      <c r="V24" s="39"/>
      <c r="W24" s="39"/>
      <c r="X24" s="39"/>
      <c r="Y24" s="39"/>
      <c r="Z24" s="39"/>
      <c r="AA24" s="39"/>
      <c r="AB24" s="39"/>
    </row>
    <row r="25" spans="2:35" ht="15.6">
      <c r="B25" s="14" t="s">
        <v>44</v>
      </c>
      <c r="C25" s="13" t="s">
        <v>78</v>
      </c>
      <c r="D25" s="13" t="s">
        <v>79</v>
      </c>
      <c r="E25" s="13" t="s">
        <v>45</v>
      </c>
      <c r="F25" s="13" t="s">
        <v>53</v>
      </c>
      <c r="G25" s="13" t="s">
        <v>46</v>
      </c>
      <c r="H25" s="13" t="s">
        <v>98</v>
      </c>
      <c r="I25" s="13" t="s">
        <v>96</v>
      </c>
      <c r="J25" s="13" t="s">
        <v>92</v>
      </c>
      <c r="K25" s="13" t="s">
        <v>99</v>
      </c>
      <c r="L25" s="13" t="s">
        <v>69</v>
      </c>
      <c r="M25" s="13" t="s">
        <v>201</v>
      </c>
      <c r="N25" s="13" t="s">
        <v>80</v>
      </c>
      <c r="O25" s="13" t="s">
        <v>81</v>
      </c>
      <c r="P25" s="13" t="s">
        <v>88</v>
      </c>
      <c r="Q25" s="13" t="s">
        <v>90</v>
      </c>
      <c r="R25" s="13" t="s">
        <v>100</v>
      </c>
      <c r="S25" s="13" t="s">
        <v>100</v>
      </c>
      <c r="T25" s="13" t="s">
        <v>101</v>
      </c>
      <c r="U25" s="13" t="s">
        <v>95</v>
      </c>
      <c r="V25" s="13" t="s">
        <v>105</v>
      </c>
      <c r="W25" s="13" t="s">
        <v>106</v>
      </c>
      <c r="X25" s="13" t="s">
        <v>107</v>
      </c>
      <c r="Y25" s="13" t="s">
        <v>108</v>
      </c>
      <c r="Z25" s="71" t="s">
        <v>130</v>
      </c>
      <c r="AA25" s="13" t="s">
        <v>201</v>
      </c>
      <c r="AB25" s="13" t="s">
        <v>201</v>
      </c>
      <c r="AC25" s="13" t="s">
        <v>201</v>
      </c>
      <c r="AD25" s="13" t="s">
        <v>201</v>
      </c>
    </row>
    <row r="26" spans="2:35" ht="16.2" thickBot="1">
      <c r="B26" s="15"/>
      <c r="C26" s="15" t="s">
        <v>2</v>
      </c>
      <c r="D26" s="15" t="s">
        <v>2</v>
      </c>
      <c r="E26" s="15" t="s">
        <v>2</v>
      </c>
      <c r="F26" s="15" t="s">
        <v>2</v>
      </c>
      <c r="G26" s="15" t="s">
        <v>2</v>
      </c>
      <c r="H26" s="15" t="s">
        <v>15</v>
      </c>
      <c r="I26" s="15" t="s">
        <v>97</v>
      </c>
      <c r="J26" s="15" t="s">
        <v>15</v>
      </c>
      <c r="K26" s="15"/>
      <c r="L26" s="15"/>
      <c r="M26" s="15" t="s">
        <v>160</v>
      </c>
      <c r="N26" s="15" t="s">
        <v>89</v>
      </c>
      <c r="O26" s="15"/>
      <c r="P26" s="15" t="s">
        <v>89</v>
      </c>
      <c r="Q26" s="15" t="s">
        <v>169</v>
      </c>
      <c r="R26" s="15" t="s">
        <v>23</v>
      </c>
      <c r="S26" s="15" t="s">
        <v>102</v>
      </c>
      <c r="T26" s="15" t="s">
        <v>102</v>
      </c>
      <c r="U26" s="15" t="s">
        <v>28</v>
      </c>
      <c r="V26" s="15" t="s">
        <v>103</v>
      </c>
      <c r="W26" s="15" t="s">
        <v>103</v>
      </c>
      <c r="X26" s="15" t="s">
        <v>103</v>
      </c>
      <c r="Y26" s="15" t="s">
        <v>104</v>
      </c>
      <c r="Z26" s="15" t="s">
        <v>131</v>
      </c>
      <c r="AA26" s="15" t="s">
        <v>159</v>
      </c>
      <c r="AB26" s="15" t="s">
        <v>109</v>
      </c>
      <c r="AC26" s="15" t="s">
        <v>161</v>
      </c>
      <c r="AD26" s="15" t="s">
        <v>162</v>
      </c>
    </row>
    <row r="27" spans="2:35">
      <c r="V27" s="39"/>
      <c r="W27" s="39"/>
      <c r="X27" s="39"/>
      <c r="Y27" s="39"/>
      <c r="Z27" s="39"/>
      <c r="AA27" s="39"/>
      <c r="AB27" s="39"/>
    </row>
    <row r="28" spans="2:35">
      <c r="B28" s="39">
        <v>0</v>
      </c>
      <c r="C28">
        <v>0</v>
      </c>
      <c r="D28" s="10">
        <f>two</f>
        <v>24.5</v>
      </c>
      <c r="E28" s="40">
        <f>dio</f>
        <v>20</v>
      </c>
      <c r="F28" s="40">
        <f>do</f>
        <v>69</v>
      </c>
      <c r="G28" s="3">
        <f>lgo</f>
        <v>460</v>
      </c>
      <c r="H28" s="3">
        <f t="shared" ref="H28:H39" si="0">PI()/4*(dto+erate*(two-D28)/two)^2</f>
        <v>221.47275588995251</v>
      </c>
      <c r="I28">
        <f t="shared" ref="I28:I91" si="1">H28/1000^2</f>
        <v>2.214727558899525E-4</v>
      </c>
      <c r="J28" s="4">
        <f t="shared" ref="J28:J39" si="2">PI()/4*dc^2-PI()/4*(F28^2-E28^2)</f>
        <v>992.74327853437489</v>
      </c>
      <c r="K28" s="40">
        <f t="shared" ref="K28:K39" si="3">J28/H28</f>
        <v>4.4824622990091774</v>
      </c>
      <c r="L28" s="40">
        <f t="shared" ref="L28:L91" si="4">IF((gstar-K28)&lt;0,0,gstar-K28)</f>
        <v>1.5175377009908226</v>
      </c>
      <c r="M28" s="10">
        <v>0.10100000000000001</v>
      </c>
      <c r="N28" s="10">
        <f t="shared" ref="N28:N91" si="5">IF(fueltype=1,VLOOKUP($M28,kndxbn_,4),IF(fueltype=2,VLOOKUP($M28,knsobn_,4),IF(fueltype=3,VLOOKUP($M28,knsbcobn_,4),IF(fueltype=4,VLOOKUP($M28,knsubn_,4),IF(fueltype=5,am_1,IF(fueltype=6,am_0,IF(fueltype=7,am_3,am_4)))))))</f>
        <v>8.8754449677853557</v>
      </c>
      <c r="O28" s="10">
        <f t="shared" ref="O28:O91" si="6">IF(fueltype=1,VLOOKUP($M28,kndxbn_,5),IF(fueltype=2,VLOOKUP($M28,knsobn_,5),IF(fueltype=3,VLOOKUP($M28,knsbcobn_,5),IF(fueltype=4,VLOOKUP($M28,knsubn_,5),IF(fueltype=5,nm_1,IF(fueltype=6,an_0,IF(fueltype=7,nm_3,nm_4)))))))</f>
        <v>0.61929999999999996</v>
      </c>
      <c r="P28" s="10">
        <f t="shared" ref="P28:P39" si="7">(1+kv*L28)*N28*M28^O28</f>
        <v>2.1456869620307777</v>
      </c>
      <c r="Q28">
        <v>0</v>
      </c>
      <c r="R28" s="4">
        <f t="shared" ref="R28:R39" si="8">PI()/4*(F28^2-E28^2)*G28</f>
        <v>1575555.8396650851</v>
      </c>
      <c r="S28">
        <f t="shared" ref="S28:S91" si="9">R28/1000^3</f>
        <v>1.575555839665085E-3</v>
      </c>
      <c r="T28" s="44">
        <f t="shared" ref="T28:T91" si="10">(vc/1000^3-S28)</f>
        <v>5.0084055481691876E-4</v>
      </c>
      <c r="U28" s="45">
        <f t="shared" ref="U28:U39" si="11">rhopgrain*R28/1000^2</f>
        <v>2.8124459515941598</v>
      </c>
      <c r="V28">
        <v>0</v>
      </c>
      <c r="W28">
        <v>0</v>
      </c>
      <c r="X28">
        <f t="shared" ref="X28:X39" si="12">V28-W28</f>
        <v>0</v>
      </c>
      <c r="Y28">
        <v>0</v>
      </c>
      <c r="Z28">
        <f t="shared" ref="Z28:Z39" si="13">Y28/T28</f>
        <v>0</v>
      </c>
      <c r="AA28">
        <f t="shared" ref="AA28:AA91" si="14">Z28*rat*to+patm*1000000</f>
        <v>101000</v>
      </c>
      <c r="AB28" s="10">
        <f t="shared" ref="AB28:AB91" si="15">AA28/1000000</f>
        <v>0.10100000000000001</v>
      </c>
      <c r="AC28" s="10">
        <f t="shared" ref="AC28:AC91" si="16">AB28-patm</f>
        <v>0</v>
      </c>
      <c r="AD28" s="3">
        <f t="shared" ref="AD28:AD91" si="17">AC28*1000000/6895</f>
        <v>0</v>
      </c>
    </row>
    <row r="29" spans="2:35">
      <c r="B29" s="39">
        <f t="shared" ref="B29:B39" si="18">1+B28</f>
        <v>1</v>
      </c>
      <c r="C29" s="45">
        <f t="shared" ref="C29:C39" si="19">xincp+C28</f>
        <v>2.9376498800957818E-2</v>
      </c>
      <c r="D29" s="10">
        <f t="shared" ref="D29:D39" si="20">(F29-E29)/2</f>
        <v>24.470623501199043</v>
      </c>
      <c r="E29" s="40">
        <f t="shared" ref="E29:E39" si="21">E28+ci*2*xincp</f>
        <v>20.058752997601914</v>
      </c>
      <c r="F29" s="40">
        <f t="shared" ref="F29:F39" si="22">F28-osi*2*xincp</f>
        <v>69</v>
      </c>
      <c r="G29" s="3">
        <f t="shared" ref="G29:G39" si="23">G28-ei*n*2*xincp</f>
        <v>459.76498800959234</v>
      </c>
      <c r="H29" s="3">
        <f t="shared" si="0"/>
        <v>221.47275588995251</v>
      </c>
      <c r="I29">
        <f t="shared" si="1"/>
        <v>2.214727558899525E-4</v>
      </c>
      <c r="J29" s="4">
        <f t="shared" si="2"/>
        <v>994.59176951828749</v>
      </c>
      <c r="K29" s="40">
        <f t="shared" si="3"/>
        <v>4.4908086573523729</v>
      </c>
      <c r="L29" s="40">
        <f t="shared" si="4"/>
        <v>1.5091913426476271</v>
      </c>
      <c r="M29" s="10">
        <f t="shared" ref="M29:M39" si="24">AB28</f>
        <v>0.10100000000000001</v>
      </c>
      <c r="N29" s="10">
        <f t="shared" si="5"/>
        <v>8.8754449677853557</v>
      </c>
      <c r="O29" s="10">
        <f t="shared" si="6"/>
        <v>0.61929999999999996</v>
      </c>
      <c r="P29" s="10">
        <f t="shared" si="7"/>
        <v>2.1456869620307777</v>
      </c>
      <c r="Q29" s="45">
        <f t="shared" ref="Q29:Q39" si="25">xincp/P29+Q28</f>
        <v>1.3690952744175942E-2</v>
      </c>
      <c r="R29" s="4">
        <f t="shared" si="8"/>
        <v>1573901.0236346435</v>
      </c>
      <c r="S29">
        <f t="shared" si="9"/>
        <v>1.5739010236346435E-3</v>
      </c>
      <c r="T29" s="44">
        <f t="shared" si="10"/>
        <v>5.0249537084736035E-4</v>
      </c>
      <c r="U29" s="45">
        <f t="shared" si="11"/>
        <v>2.8094920222390205</v>
      </c>
      <c r="V29" s="45">
        <f t="shared" ref="V29:V39" si="26">(U28-U29)/(Q29-Q28)</f>
        <v>0.21575776429407797</v>
      </c>
      <c r="W29" s="45">
        <f t="shared" ref="W29:W39" si="27">IF(V29&lt;AI29,IF(AB28&gt;pbd,AI29,0),AI29)</f>
        <v>0</v>
      </c>
      <c r="X29" s="45">
        <f t="shared" si="12"/>
        <v>0.21575776429407797</v>
      </c>
      <c r="Y29" s="45">
        <f>IF((X29*(Q29-Q28)+Y28)&lt;0,0,X29*(Q29-Q28)+Y28)</f>
        <v>2.9539293551392731E-3</v>
      </c>
      <c r="Z29" s="10">
        <f t="shared" si="13"/>
        <v>5.878520532752467</v>
      </c>
      <c r="AA29">
        <f t="shared" si="14"/>
        <v>1972660.6557700227</v>
      </c>
      <c r="AB29" s="10">
        <f t="shared" si="15"/>
        <v>1.9726606557700226</v>
      </c>
      <c r="AC29" s="10">
        <f t="shared" si="16"/>
        <v>1.8716606557700226</v>
      </c>
      <c r="AD29" s="3">
        <f t="shared" si="17"/>
        <v>271.45187175779881</v>
      </c>
      <c r="AI29" s="100">
        <f t="shared" ref="AI29:AI92" si="28">($M29-patm)*1000000*$I29/SQRT(rat*to)*SQRT(k)*(2/(k+1))^((k+1)/2/(k-1))</f>
        <v>0</v>
      </c>
    </row>
    <row r="30" spans="2:35">
      <c r="B30" s="39">
        <f t="shared" si="18"/>
        <v>2</v>
      </c>
      <c r="C30" s="45">
        <f t="shared" si="19"/>
        <v>5.8752997601915637E-2</v>
      </c>
      <c r="D30" s="10">
        <f t="shared" si="20"/>
        <v>24.441247002398086</v>
      </c>
      <c r="E30" s="40">
        <f t="shared" si="21"/>
        <v>20.117505995203828</v>
      </c>
      <c r="F30" s="40">
        <f t="shared" si="22"/>
        <v>69</v>
      </c>
      <c r="G30" s="3">
        <f t="shared" si="23"/>
        <v>459.52997601918469</v>
      </c>
      <c r="H30" s="3">
        <f t="shared" si="0"/>
        <v>221.47275588995251</v>
      </c>
      <c r="I30">
        <f t="shared" si="1"/>
        <v>2.214727558899525E-4</v>
      </c>
      <c r="J30" s="4">
        <f t="shared" si="2"/>
        <v>996.44568275717393</v>
      </c>
      <c r="K30" s="40">
        <f t="shared" si="3"/>
        <v>4.4991794984133282</v>
      </c>
      <c r="L30" s="40">
        <f t="shared" si="4"/>
        <v>1.5008205015866718</v>
      </c>
      <c r="M30" s="10">
        <f t="shared" si="24"/>
        <v>1.9726606557700226</v>
      </c>
      <c r="N30" s="10">
        <f t="shared" si="5"/>
        <v>7.5527844238794399</v>
      </c>
      <c r="O30" s="10">
        <f t="shared" si="6"/>
        <v>-8.6999999999999994E-3</v>
      </c>
      <c r="P30" s="10">
        <f t="shared" si="7"/>
        <v>7.5082743504394021</v>
      </c>
      <c r="Q30" s="45">
        <f t="shared" si="25"/>
        <v>1.7603502742996727E-2</v>
      </c>
      <c r="R30" s="4">
        <f t="shared" si="8"/>
        <v>1572244.5847505946</v>
      </c>
      <c r="S30">
        <f t="shared" si="9"/>
        <v>1.5722445847505945E-3</v>
      </c>
      <c r="T30" s="44">
        <f t="shared" si="10"/>
        <v>5.041518097314093E-4</v>
      </c>
      <c r="U30" s="45">
        <f t="shared" si="11"/>
        <v>2.8065351960090488</v>
      </c>
      <c r="V30" s="45">
        <f t="shared" si="26"/>
        <v>0.75572867589242287</v>
      </c>
      <c r="W30" s="45">
        <f t="shared" si="27"/>
        <v>0.46629714178086534</v>
      </c>
      <c r="X30" s="45">
        <f t="shared" si="12"/>
        <v>0.28943153411155753</v>
      </c>
      <c r="Y30" s="45">
        <f t="shared" ref="Y30:Y93" si="29">IF((X30*(Q30-Q29)+Y29)&lt;0,0,X30*(Q30-Q29)+Y29)</f>
        <v>4.0863447035861455E-3</v>
      </c>
      <c r="Z30" s="10">
        <f t="shared" si="13"/>
        <v>8.1053853714482873</v>
      </c>
      <c r="AA30">
        <f t="shared" si="14"/>
        <v>2681671.5848095263</v>
      </c>
      <c r="AB30" s="10">
        <f t="shared" si="15"/>
        <v>2.6816715848095263</v>
      </c>
      <c r="AC30" s="10">
        <f t="shared" si="16"/>
        <v>2.5806715848095263</v>
      </c>
      <c r="AD30" s="3">
        <f t="shared" si="17"/>
        <v>374.28159315584139</v>
      </c>
      <c r="AI30" s="100">
        <f t="shared" si="28"/>
        <v>0.46629714178086534</v>
      </c>
    </row>
    <row r="31" spans="2:35">
      <c r="B31" s="39">
        <f t="shared" si="18"/>
        <v>3</v>
      </c>
      <c r="C31" s="45">
        <f t="shared" si="19"/>
        <v>8.8129496402873458E-2</v>
      </c>
      <c r="D31" s="10">
        <f t="shared" si="20"/>
        <v>24.411870503597129</v>
      </c>
      <c r="E31" s="40">
        <f t="shared" si="21"/>
        <v>20.176258992805742</v>
      </c>
      <c r="F31" s="40">
        <f t="shared" si="22"/>
        <v>69</v>
      </c>
      <c r="G31" s="3">
        <f t="shared" si="23"/>
        <v>459.29496402877703</v>
      </c>
      <c r="H31" s="3">
        <f t="shared" si="0"/>
        <v>221.47275588995251</v>
      </c>
      <c r="I31">
        <f t="shared" si="1"/>
        <v>2.214727558899525E-4</v>
      </c>
      <c r="J31" s="4">
        <f t="shared" si="2"/>
        <v>998.3050182510342</v>
      </c>
      <c r="K31" s="40">
        <f t="shared" si="3"/>
        <v>4.5075748221920415</v>
      </c>
      <c r="L31" s="40">
        <f t="shared" si="4"/>
        <v>1.4924251778079585</v>
      </c>
      <c r="M31" s="10">
        <f t="shared" si="24"/>
        <v>2.6816715848095263</v>
      </c>
      <c r="N31" s="10">
        <f t="shared" si="5"/>
        <v>3.8408799049960156</v>
      </c>
      <c r="O31" s="10">
        <f t="shared" si="6"/>
        <v>0.68820000000000003</v>
      </c>
      <c r="P31" s="10">
        <f t="shared" si="7"/>
        <v>7.5728517549351659</v>
      </c>
      <c r="Q31" s="45">
        <f t="shared" si="25"/>
        <v>2.1482688517604476E-2</v>
      </c>
      <c r="R31" s="4">
        <f t="shared" si="8"/>
        <v>1570586.5268358232</v>
      </c>
      <c r="S31">
        <f t="shared" si="9"/>
        <v>1.5705865268358231E-3</v>
      </c>
      <c r="T31" s="44">
        <f t="shared" si="10"/>
        <v>5.0580986764618067E-4</v>
      </c>
      <c r="U31" s="45">
        <f t="shared" si="11"/>
        <v>2.8035754797282864</v>
      </c>
      <c r="V31" s="45">
        <f t="shared" si="26"/>
        <v>0.76297358588393227</v>
      </c>
      <c r="W31" s="45">
        <f t="shared" si="27"/>
        <v>0.64293694487941366</v>
      </c>
      <c r="X31" s="45">
        <f t="shared" si="12"/>
        <v>0.12003664100451861</v>
      </c>
      <c r="Y31" s="45">
        <f t="shared" si="29"/>
        <v>4.5519891338025717E-3</v>
      </c>
      <c r="Z31" s="10">
        <f t="shared" si="13"/>
        <v>8.9994075342688564</v>
      </c>
      <c r="AA31">
        <f t="shared" si="14"/>
        <v>2966319.0736147068</v>
      </c>
      <c r="AB31" s="10">
        <f t="shared" si="15"/>
        <v>2.9663190736147067</v>
      </c>
      <c r="AC31" s="10">
        <f t="shared" si="16"/>
        <v>2.8653190736147067</v>
      </c>
      <c r="AD31" s="3">
        <f t="shared" si="17"/>
        <v>415.56476774687553</v>
      </c>
      <c r="AI31" s="100">
        <f t="shared" si="28"/>
        <v>0.64293694487941366</v>
      </c>
    </row>
    <row r="32" spans="2:35">
      <c r="B32" s="39">
        <f t="shared" si="18"/>
        <v>4</v>
      </c>
      <c r="C32" s="45">
        <f t="shared" si="19"/>
        <v>0.11750599520383127</v>
      </c>
      <c r="D32" s="10">
        <f t="shared" si="20"/>
        <v>24.382494004796172</v>
      </c>
      <c r="E32" s="40">
        <f t="shared" si="21"/>
        <v>20.235011990407656</v>
      </c>
      <c r="F32" s="40">
        <f t="shared" si="22"/>
        <v>69</v>
      </c>
      <c r="G32" s="3">
        <f t="shared" si="23"/>
        <v>459.05995203836937</v>
      </c>
      <c r="H32" s="3">
        <f t="shared" si="0"/>
        <v>221.47275588995251</v>
      </c>
      <c r="I32">
        <f t="shared" si="1"/>
        <v>2.214727558899525E-4</v>
      </c>
      <c r="J32" s="4">
        <f t="shared" si="2"/>
        <v>1000.1697759998688</v>
      </c>
      <c r="K32" s="40">
        <f t="shared" si="3"/>
        <v>4.5159946286885173</v>
      </c>
      <c r="L32" s="40">
        <f t="shared" si="4"/>
        <v>1.4840053713114827</v>
      </c>
      <c r="M32" s="10">
        <f t="shared" si="24"/>
        <v>2.9663190736147067</v>
      </c>
      <c r="N32" s="10">
        <f t="shared" si="5"/>
        <v>3.8408799049960156</v>
      </c>
      <c r="O32" s="10">
        <f t="shared" si="6"/>
        <v>0.68820000000000003</v>
      </c>
      <c r="P32" s="10">
        <f t="shared" si="7"/>
        <v>8.117290005998445</v>
      </c>
      <c r="Q32" s="45">
        <f t="shared" si="25"/>
        <v>2.5101691753813781E-2</v>
      </c>
      <c r="R32" s="4">
        <f t="shared" si="8"/>
        <v>1568926.8537132137</v>
      </c>
      <c r="S32">
        <f t="shared" si="9"/>
        <v>1.5689268537132136E-3</v>
      </c>
      <c r="T32" s="44">
        <f t="shared" si="10"/>
        <v>5.0746954076879018E-4</v>
      </c>
      <c r="U32" s="45">
        <f t="shared" si="11"/>
        <v>2.8006128802207724</v>
      </c>
      <c r="V32" s="45">
        <f t="shared" si="26"/>
        <v>0.81862306114352523</v>
      </c>
      <c r="W32" s="45">
        <f t="shared" si="27"/>
        <v>0.71385274365723728</v>
      </c>
      <c r="X32" s="45">
        <f t="shared" si="12"/>
        <v>0.10477031748628796</v>
      </c>
      <c r="Y32" s="45">
        <f t="shared" si="29"/>
        <v>4.9311532518441243E-3</v>
      </c>
      <c r="Z32" s="10">
        <f t="shared" si="13"/>
        <v>9.7171413369434578</v>
      </c>
      <c r="AA32">
        <f t="shared" si="14"/>
        <v>3194838.1563154799</v>
      </c>
      <c r="AB32" s="10">
        <f t="shared" si="15"/>
        <v>3.19483815631548</v>
      </c>
      <c r="AC32" s="10">
        <f t="shared" si="16"/>
        <v>3.09383815631548</v>
      </c>
      <c r="AD32" s="3">
        <f t="shared" si="17"/>
        <v>448.70749185141113</v>
      </c>
      <c r="AI32" s="100">
        <f t="shared" si="28"/>
        <v>0.71385274365723728</v>
      </c>
    </row>
    <row r="33" spans="2:35">
      <c r="B33" s="39">
        <f t="shared" si="18"/>
        <v>5</v>
      </c>
      <c r="C33" s="45">
        <f t="shared" si="19"/>
        <v>0.14688249400478909</v>
      </c>
      <c r="D33" s="10">
        <f t="shared" si="20"/>
        <v>24.353117505995215</v>
      </c>
      <c r="E33" s="40">
        <f t="shared" si="21"/>
        <v>20.293764988009571</v>
      </c>
      <c r="F33" s="40">
        <f t="shared" si="22"/>
        <v>69</v>
      </c>
      <c r="G33" s="3">
        <f t="shared" si="23"/>
        <v>458.82494004796172</v>
      </c>
      <c r="H33" s="3">
        <f t="shared" si="0"/>
        <v>221.47275588995251</v>
      </c>
      <c r="I33">
        <f t="shared" si="1"/>
        <v>2.214727558899525E-4</v>
      </c>
      <c r="J33" s="4">
        <f t="shared" si="2"/>
        <v>1002.0399560036763</v>
      </c>
      <c r="K33" s="40">
        <f t="shared" si="3"/>
        <v>4.5244389179027484</v>
      </c>
      <c r="L33" s="40">
        <f t="shared" si="4"/>
        <v>1.4755610820972516</v>
      </c>
      <c r="M33" s="10">
        <f t="shared" si="24"/>
        <v>3.19483815631548</v>
      </c>
      <c r="N33" s="10">
        <f t="shared" si="5"/>
        <v>3.8408799049960156</v>
      </c>
      <c r="O33" s="10">
        <f t="shared" si="6"/>
        <v>0.68820000000000003</v>
      </c>
      <c r="P33" s="10">
        <f t="shared" si="7"/>
        <v>8.5426464987497024</v>
      </c>
      <c r="Q33" s="45">
        <f t="shared" si="25"/>
        <v>2.8540497141026907E-2</v>
      </c>
      <c r="R33" s="4">
        <f t="shared" si="8"/>
        <v>1567265.5692056518</v>
      </c>
      <c r="S33">
        <f t="shared" si="9"/>
        <v>1.5672655692056518E-3</v>
      </c>
      <c r="T33" s="44">
        <f t="shared" si="10"/>
        <v>5.0913082527635203E-4</v>
      </c>
      <c r="U33" s="45">
        <f t="shared" si="11"/>
        <v>2.7976474043105486</v>
      </c>
      <c r="V33" s="45">
        <f t="shared" si="26"/>
        <v>0.86235642216062114</v>
      </c>
      <c r="W33" s="45">
        <f t="shared" si="27"/>
        <v>0.77078496306210409</v>
      </c>
      <c r="X33" s="45">
        <f t="shared" si="12"/>
        <v>9.157145909851705E-2</v>
      </c>
      <c r="Y33" s="45">
        <f t="shared" si="29"/>
        <v>5.2460496787070715E-3</v>
      </c>
      <c r="Z33" s="10">
        <f t="shared" si="13"/>
        <v>10.303932542013261</v>
      </c>
      <c r="AA33">
        <f t="shared" si="14"/>
        <v>3381666.4587024399</v>
      </c>
      <c r="AB33" s="10">
        <f t="shared" si="15"/>
        <v>3.3816664587024401</v>
      </c>
      <c r="AC33" s="10">
        <f t="shared" si="16"/>
        <v>3.2806664587024401</v>
      </c>
      <c r="AD33" s="3">
        <f t="shared" si="17"/>
        <v>475.80369234263088</v>
      </c>
      <c r="AI33" s="100">
        <f t="shared" si="28"/>
        <v>0.77078496306210409</v>
      </c>
    </row>
    <row r="34" spans="2:35">
      <c r="B34" s="39">
        <f t="shared" si="18"/>
        <v>6</v>
      </c>
      <c r="C34" s="45">
        <f t="shared" si="19"/>
        <v>0.17625899280574692</v>
      </c>
      <c r="D34" s="10">
        <f t="shared" si="20"/>
        <v>24.323741007194258</v>
      </c>
      <c r="E34" s="40">
        <f t="shared" si="21"/>
        <v>20.352517985611485</v>
      </c>
      <c r="F34" s="40">
        <f t="shared" si="22"/>
        <v>69</v>
      </c>
      <c r="G34" s="3">
        <f t="shared" si="23"/>
        <v>458.58992805755406</v>
      </c>
      <c r="H34" s="3">
        <f t="shared" si="0"/>
        <v>221.47275588995251</v>
      </c>
      <c r="I34">
        <f t="shared" si="1"/>
        <v>2.214727558899525E-4</v>
      </c>
      <c r="J34" s="4">
        <f t="shared" si="2"/>
        <v>1003.9155582624585</v>
      </c>
      <c r="K34" s="40">
        <f t="shared" si="3"/>
        <v>4.5329076898347429</v>
      </c>
      <c r="L34" s="40">
        <f t="shared" si="4"/>
        <v>1.4670923101652571</v>
      </c>
      <c r="M34" s="10">
        <f t="shared" si="24"/>
        <v>3.3816664587024401</v>
      </c>
      <c r="N34" s="10">
        <f t="shared" si="5"/>
        <v>3.8408799049960156</v>
      </c>
      <c r="O34" s="10">
        <f t="shared" si="6"/>
        <v>0.68820000000000003</v>
      </c>
      <c r="P34" s="10">
        <f t="shared" si="7"/>
        <v>8.8833858051946866</v>
      </c>
      <c r="Q34" s="44">
        <f t="shared" si="25"/>
        <v>3.1847400549835231E-2</v>
      </c>
      <c r="R34" s="4">
        <f t="shared" si="8"/>
        <v>1565602.6771360214</v>
      </c>
      <c r="S34">
        <f t="shared" si="9"/>
        <v>1.5656026771360214E-3</v>
      </c>
      <c r="T34" s="44">
        <f t="shared" si="10"/>
        <v>5.1079371734598237E-4</v>
      </c>
      <c r="U34" s="45">
        <f t="shared" si="11"/>
        <v>2.794679058821655</v>
      </c>
      <c r="V34" s="45">
        <f t="shared" si="26"/>
        <v>0.89762086215975956</v>
      </c>
      <c r="W34" s="45">
        <f t="shared" si="27"/>
        <v>0.81733052843381904</v>
      </c>
      <c r="X34" s="45">
        <f t="shared" si="12"/>
        <v>8.0290333725940521E-2</v>
      </c>
      <c r="Y34" s="45">
        <f t="shared" si="29"/>
        <v>5.511562056999742E-3</v>
      </c>
      <c r="Z34" s="10">
        <f t="shared" si="13"/>
        <v>10.790191558418339</v>
      </c>
      <c r="AA34">
        <f t="shared" si="14"/>
        <v>3536486.3431356205</v>
      </c>
      <c r="AB34" s="10">
        <f t="shared" si="15"/>
        <v>3.5364863431356204</v>
      </c>
      <c r="AC34" s="10">
        <f t="shared" si="16"/>
        <v>3.4354863431356204</v>
      </c>
      <c r="AD34" s="3">
        <f t="shared" si="17"/>
        <v>498.25762772090218</v>
      </c>
      <c r="AI34" s="100">
        <f t="shared" si="28"/>
        <v>0.81733052843381904</v>
      </c>
    </row>
    <row r="35" spans="2:35">
      <c r="B35" s="39">
        <f t="shared" si="18"/>
        <v>7</v>
      </c>
      <c r="C35" s="45">
        <f t="shared" si="19"/>
        <v>0.20563549160670475</v>
      </c>
      <c r="D35" s="10">
        <f t="shared" si="20"/>
        <v>24.294364508393301</v>
      </c>
      <c r="E35" s="40">
        <f t="shared" si="21"/>
        <v>20.411270983213399</v>
      </c>
      <c r="F35" s="40">
        <f t="shared" si="22"/>
        <v>69</v>
      </c>
      <c r="G35" s="3">
        <f t="shared" si="23"/>
        <v>458.35491606714641</v>
      </c>
      <c r="H35" s="3">
        <f t="shared" si="0"/>
        <v>221.47275588995251</v>
      </c>
      <c r="I35">
        <f t="shared" si="1"/>
        <v>2.214727558899525E-4</v>
      </c>
      <c r="J35" s="4">
        <f t="shared" si="2"/>
        <v>1005.7965827762141</v>
      </c>
      <c r="K35" s="40">
        <f t="shared" si="3"/>
        <v>4.5414009444844936</v>
      </c>
      <c r="L35" s="40">
        <f t="shared" si="4"/>
        <v>1.4585990555155064</v>
      </c>
      <c r="M35" s="10">
        <f t="shared" si="24"/>
        <v>3.5364863431356204</v>
      </c>
      <c r="N35" s="10">
        <f t="shared" si="5"/>
        <v>3.8408799049960156</v>
      </c>
      <c r="O35" s="10">
        <f t="shared" si="6"/>
        <v>0.68820000000000003</v>
      </c>
      <c r="P35" s="10">
        <f t="shared" si="7"/>
        <v>9.1613182121943524</v>
      </c>
      <c r="Q35" s="44">
        <f t="shared" si="25"/>
        <v>3.505398044593093E-2</v>
      </c>
      <c r="R35" s="4">
        <f t="shared" si="8"/>
        <v>1563938.1813272077</v>
      </c>
      <c r="S35">
        <f t="shared" si="9"/>
        <v>1.5639381813272078E-3</v>
      </c>
      <c r="T35" s="44">
        <f t="shared" si="10"/>
        <v>5.1245821315479604E-4</v>
      </c>
      <c r="U35" s="45">
        <f t="shared" si="11"/>
        <v>2.7917078505781321</v>
      </c>
      <c r="V35" s="45">
        <f t="shared" si="26"/>
        <v>0.92659729050900685</v>
      </c>
      <c r="W35" s="45">
        <f t="shared" si="27"/>
        <v>0.85590166010743729</v>
      </c>
      <c r="X35" s="45">
        <f t="shared" si="12"/>
        <v>7.0695630401569565E-2</v>
      </c>
      <c r="Y35" s="45">
        <f t="shared" si="29"/>
        <v>5.7382532441872264E-3</v>
      </c>
      <c r="Z35" s="10">
        <f t="shared" si="13"/>
        <v>11.19750468796545</v>
      </c>
      <c r="AA35">
        <f t="shared" si="14"/>
        <v>3666170.6667514695</v>
      </c>
      <c r="AB35" s="10">
        <f t="shared" si="15"/>
        <v>3.6661706667514693</v>
      </c>
      <c r="AC35" s="10">
        <f t="shared" si="16"/>
        <v>3.5651706667514693</v>
      </c>
      <c r="AD35" s="3">
        <f t="shared" si="17"/>
        <v>517.06608654843649</v>
      </c>
      <c r="AI35" s="100">
        <f t="shared" si="28"/>
        <v>0.85590166010743729</v>
      </c>
    </row>
    <row r="36" spans="2:35">
      <c r="B36" s="39">
        <f t="shared" si="18"/>
        <v>8</v>
      </c>
      <c r="C36" s="45">
        <f t="shared" si="19"/>
        <v>0.23501199040766257</v>
      </c>
      <c r="D36" s="10">
        <f t="shared" si="20"/>
        <v>24.264988009592344</v>
      </c>
      <c r="E36" s="40">
        <f t="shared" si="21"/>
        <v>20.470023980815313</v>
      </c>
      <c r="F36" s="40">
        <f t="shared" si="22"/>
        <v>69</v>
      </c>
      <c r="G36" s="3">
        <f t="shared" si="23"/>
        <v>458.11990407673875</v>
      </c>
      <c r="H36" s="3">
        <f t="shared" si="0"/>
        <v>221.47275588995251</v>
      </c>
      <c r="I36">
        <f t="shared" si="1"/>
        <v>2.214727558899525E-4</v>
      </c>
      <c r="J36" s="4">
        <f t="shared" si="2"/>
        <v>1007.683029544944</v>
      </c>
      <c r="K36" s="40">
        <f t="shared" si="3"/>
        <v>4.5499186818520068</v>
      </c>
      <c r="L36" s="40">
        <f t="shared" si="4"/>
        <v>1.4500813181479932</v>
      </c>
      <c r="M36" s="10">
        <f t="shared" si="24"/>
        <v>3.6661706667514693</v>
      </c>
      <c r="N36" s="10">
        <f t="shared" si="5"/>
        <v>3.8408799049960156</v>
      </c>
      <c r="O36" s="10">
        <f t="shared" si="6"/>
        <v>0.68820000000000003</v>
      </c>
      <c r="P36" s="10">
        <f t="shared" si="7"/>
        <v>9.3912173775001229</v>
      </c>
      <c r="Q36" s="45">
        <f t="shared" si="25"/>
        <v>3.8182062527316811E-2</v>
      </c>
      <c r="R36" s="4">
        <f t="shared" si="8"/>
        <v>1562272.0856020956</v>
      </c>
      <c r="S36">
        <f t="shared" si="9"/>
        <v>1.5622720856020957E-3</v>
      </c>
      <c r="T36" s="44">
        <f t="shared" si="10"/>
        <v>5.1412430887990811E-4</v>
      </c>
      <c r="U36" s="45">
        <f t="shared" si="11"/>
        <v>2.7887337864040207</v>
      </c>
      <c r="V36" s="45">
        <f t="shared" si="26"/>
        <v>0.95076283062039912</v>
      </c>
      <c r="W36" s="45">
        <f t="shared" si="27"/>
        <v>0.88821063088663899</v>
      </c>
      <c r="X36" s="45">
        <f t="shared" si="12"/>
        <v>6.2552199733760139E-2</v>
      </c>
      <c r="Y36" s="45">
        <f t="shared" si="29"/>
        <v>5.9339216593256722E-3</v>
      </c>
      <c r="Z36" s="10">
        <f t="shared" si="13"/>
        <v>11.54180332817476</v>
      </c>
      <c r="AA36">
        <f t="shared" si="14"/>
        <v>3775791.8231503493</v>
      </c>
      <c r="AB36" s="10">
        <f t="shared" si="15"/>
        <v>3.7757918231503491</v>
      </c>
      <c r="AC36" s="10">
        <f t="shared" si="16"/>
        <v>3.6747918231503491</v>
      </c>
      <c r="AD36" s="3">
        <f t="shared" si="17"/>
        <v>532.96473142137052</v>
      </c>
      <c r="AI36" s="100">
        <f t="shared" si="28"/>
        <v>0.88821063088663899</v>
      </c>
    </row>
    <row r="37" spans="2:35">
      <c r="B37" s="39">
        <f t="shared" si="18"/>
        <v>9</v>
      </c>
      <c r="C37" s="45">
        <f t="shared" si="19"/>
        <v>0.2643884892086204</v>
      </c>
      <c r="D37" s="10">
        <f t="shared" si="20"/>
        <v>24.235611510791387</v>
      </c>
      <c r="E37" s="40">
        <f t="shared" si="21"/>
        <v>20.528776978417227</v>
      </c>
      <c r="F37" s="40">
        <f t="shared" si="22"/>
        <v>69</v>
      </c>
      <c r="G37" s="3">
        <f t="shared" si="23"/>
        <v>457.88489208633109</v>
      </c>
      <c r="H37" s="3">
        <f t="shared" si="0"/>
        <v>221.47275588995251</v>
      </c>
      <c r="I37">
        <f t="shared" si="1"/>
        <v>2.214727558899525E-4</v>
      </c>
      <c r="J37" s="4">
        <f t="shared" si="2"/>
        <v>1009.5748985686478</v>
      </c>
      <c r="K37" s="40">
        <f t="shared" si="3"/>
        <v>4.5584609019372788</v>
      </c>
      <c r="L37" s="40">
        <f t="shared" si="4"/>
        <v>1.4415390980627212</v>
      </c>
      <c r="M37" s="10">
        <f t="shared" si="24"/>
        <v>3.7757918231503491</v>
      </c>
      <c r="N37" s="10">
        <f t="shared" si="5"/>
        <v>3.8408799049960156</v>
      </c>
      <c r="O37" s="10">
        <f t="shared" si="6"/>
        <v>0.68820000000000003</v>
      </c>
      <c r="P37" s="10">
        <f t="shared" si="7"/>
        <v>9.5835775674082733</v>
      </c>
      <c r="Q37" s="45">
        <f t="shared" si="25"/>
        <v>4.1247358195279173E-2</v>
      </c>
      <c r="R37" s="4">
        <f t="shared" si="8"/>
        <v>1560604.3937835693</v>
      </c>
      <c r="S37">
        <f t="shared" si="9"/>
        <v>1.5606043937835693E-3</v>
      </c>
      <c r="T37" s="44">
        <f t="shared" si="10"/>
        <v>5.1579200069843453E-4</v>
      </c>
      <c r="U37" s="45">
        <f t="shared" si="11"/>
        <v>2.7857568731233604</v>
      </c>
      <c r="V37" s="45">
        <f t="shared" si="26"/>
        <v>0.9711667659906964</v>
      </c>
      <c r="W37" s="45">
        <f t="shared" si="27"/>
        <v>0.91552115416441826</v>
      </c>
      <c r="X37" s="45">
        <f t="shared" si="12"/>
        <v>5.5645611826278141E-2</v>
      </c>
      <c r="Y37" s="45">
        <f t="shared" si="29"/>
        <v>6.1044919121978781E-3</v>
      </c>
      <c r="Z37" s="10">
        <f t="shared" si="13"/>
        <v>11.835181437346408</v>
      </c>
      <c r="AA37">
        <f t="shared" si="14"/>
        <v>3869200.404636357</v>
      </c>
      <c r="AB37" s="10">
        <f t="shared" si="15"/>
        <v>3.8692004046363571</v>
      </c>
      <c r="AC37" s="10">
        <f t="shared" si="16"/>
        <v>3.7682004046363571</v>
      </c>
      <c r="AD37" s="3">
        <f t="shared" si="17"/>
        <v>546.5120238776442</v>
      </c>
      <c r="AI37" s="100">
        <f t="shared" si="28"/>
        <v>0.91552115416441826</v>
      </c>
    </row>
    <row r="38" spans="2:35">
      <c r="B38" s="39">
        <f t="shared" si="18"/>
        <v>10</v>
      </c>
      <c r="C38" s="45">
        <f t="shared" si="19"/>
        <v>0.29376498800957823</v>
      </c>
      <c r="D38" s="10">
        <f t="shared" si="20"/>
        <v>24.206235011990429</v>
      </c>
      <c r="E38" s="40">
        <f t="shared" si="21"/>
        <v>20.587529976019141</v>
      </c>
      <c r="F38" s="40">
        <f t="shared" si="22"/>
        <v>69</v>
      </c>
      <c r="G38" s="3">
        <f t="shared" si="23"/>
        <v>457.64988009592344</v>
      </c>
      <c r="H38" s="3">
        <f t="shared" si="0"/>
        <v>221.47275588995251</v>
      </c>
      <c r="I38">
        <f t="shared" si="1"/>
        <v>2.214727558899525E-4</v>
      </c>
      <c r="J38" s="4">
        <f t="shared" si="2"/>
        <v>1011.4721898473258</v>
      </c>
      <c r="K38" s="40">
        <f t="shared" si="3"/>
        <v>4.5670276047403124</v>
      </c>
      <c r="L38" s="40">
        <f t="shared" si="4"/>
        <v>1.4329723952596876</v>
      </c>
      <c r="M38" s="10">
        <f t="shared" si="24"/>
        <v>3.8692004046363571</v>
      </c>
      <c r="N38" s="10">
        <f t="shared" si="5"/>
        <v>3.8408799049960156</v>
      </c>
      <c r="O38" s="10">
        <f t="shared" si="6"/>
        <v>0.68820000000000003</v>
      </c>
      <c r="P38" s="10">
        <f t="shared" si="7"/>
        <v>9.7461177645574999</v>
      </c>
      <c r="Q38" s="45">
        <f t="shared" si="25"/>
        <v>4.4261532609196852E-2</v>
      </c>
      <c r="R38" s="4">
        <f t="shared" si="8"/>
        <v>1558935.1096945142</v>
      </c>
      <c r="S38">
        <f t="shared" si="9"/>
        <v>1.5589351096945141E-3</v>
      </c>
      <c r="T38" s="44">
        <f t="shared" si="10"/>
        <v>5.1746128478748969E-4</v>
      </c>
      <c r="U38" s="45">
        <f t="shared" si="11"/>
        <v>2.7827771175601925</v>
      </c>
      <c r="V38" s="45">
        <f t="shared" si="26"/>
        <v>0.98858100228345136</v>
      </c>
      <c r="W38" s="45">
        <f t="shared" si="27"/>
        <v>0.93879254923833488</v>
      </c>
      <c r="X38" s="45">
        <f t="shared" si="12"/>
        <v>4.9788453045116476E-2</v>
      </c>
      <c r="Y38" s="45">
        <f t="shared" si="29"/>
        <v>6.2545629934750097E-3</v>
      </c>
      <c r="Z38" s="10">
        <f t="shared" si="13"/>
        <v>12.08701631860947</v>
      </c>
      <c r="AA38">
        <f t="shared" si="14"/>
        <v>3949382.0483653257</v>
      </c>
      <c r="AB38" s="10">
        <f t="shared" si="15"/>
        <v>3.9493820483653255</v>
      </c>
      <c r="AC38" s="10">
        <f t="shared" si="16"/>
        <v>3.8483820483653255</v>
      </c>
      <c r="AD38" s="3">
        <f t="shared" si="17"/>
        <v>558.14097873318724</v>
      </c>
      <c r="AI38" s="100">
        <f t="shared" si="28"/>
        <v>0.93879254923833488</v>
      </c>
    </row>
    <row r="39" spans="2:35">
      <c r="B39" s="39">
        <f t="shared" si="18"/>
        <v>11</v>
      </c>
      <c r="C39" s="45">
        <f t="shared" si="19"/>
        <v>0.32314148681053606</v>
      </c>
      <c r="D39" s="10">
        <f t="shared" si="20"/>
        <v>24.176858513189472</v>
      </c>
      <c r="E39" s="40">
        <f t="shared" si="21"/>
        <v>20.646282973621055</v>
      </c>
      <c r="F39" s="40">
        <f t="shared" si="22"/>
        <v>69</v>
      </c>
      <c r="G39" s="3">
        <f t="shared" si="23"/>
        <v>457.41486810551578</v>
      </c>
      <c r="H39" s="3">
        <f t="shared" si="0"/>
        <v>221.47275588995251</v>
      </c>
      <c r="I39">
        <f t="shared" si="1"/>
        <v>2.214727558899525E-4</v>
      </c>
      <c r="J39" s="4">
        <f t="shared" si="2"/>
        <v>1013.3749033809777</v>
      </c>
      <c r="K39" s="40">
        <f t="shared" si="3"/>
        <v>4.5756187902611059</v>
      </c>
      <c r="L39" s="40">
        <f t="shared" si="4"/>
        <v>1.4243812097388941</v>
      </c>
      <c r="M39" s="10">
        <f t="shared" si="24"/>
        <v>3.9493820483653255</v>
      </c>
      <c r="N39" s="10">
        <f t="shared" si="5"/>
        <v>3.8408799049960156</v>
      </c>
      <c r="O39" s="10">
        <f t="shared" si="6"/>
        <v>0.68820000000000003</v>
      </c>
      <c r="P39" s="10">
        <f t="shared" si="7"/>
        <v>9.8846680104950035</v>
      </c>
      <c r="Q39" s="45">
        <f t="shared" si="25"/>
        <v>4.7233458299545526E-2</v>
      </c>
      <c r="R39" s="4">
        <f t="shared" si="8"/>
        <v>1557264.2371578149</v>
      </c>
      <c r="S39">
        <f t="shared" si="9"/>
        <v>1.5572642371578149E-3</v>
      </c>
      <c r="T39" s="44">
        <f t="shared" si="10"/>
        <v>5.1913215732418889E-4</v>
      </c>
      <c r="U39" s="45">
        <f t="shared" si="11"/>
        <v>2.7797945265385575</v>
      </c>
      <c r="V39" s="45">
        <f t="shared" si="26"/>
        <v>1.0035886937957323</v>
      </c>
      <c r="W39" s="45">
        <f t="shared" si="27"/>
        <v>0.95876864435944964</v>
      </c>
      <c r="X39" s="45">
        <f t="shared" si="12"/>
        <v>4.4820049436282705E-2</v>
      </c>
      <c r="Y39" s="45">
        <f t="shared" si="29"/>
        <v>6.3877648498373955E-3</v>
      </c>
      <c r="Z39" s="10">
        <f t="shared" si="13"/>
        <v>12.3046988319168</v>
      </c>
      <c r="AA39">
        <f t="shared" si="14"/>
        <v>4018689.928355956</v>
      </c>
      <c r="AB39" s="10">
        <f t="shared" si="15"/>
        <v>4.0186899283559558</v>
      </c>
      <c r="AC39" s="10">
        <f t="shared" si="16"/>
        <v>3.9176899283559559</v>
      </c>
      <c r="AD39" s="3">
        <f t="shared" si="17"/>
        <v>568.19288301029098</v>
      </c>
      <c r="AI39" s="100">
        <f t="shared" si="28"/>
        <v>0.95876864435944964</v>
      </c>
    </row>
    <row r="40" spans="2:35">
      <c r="B40" s="39">
        <f t="shared" ref="B40:B103" si="30">1+B39</f>
        <v>12</v>
      </c>
      <c r="C40" s="45">
        <f t="shared" ref="C40:C103" si="31">xincp+C39</f>
        <v>0.35251798561149389</v>
      </c>
      <c r="D40" s="10">
        <f t="shared" ref="D40:D103" si="32">(F40-E40)/2</f>
        <v>24.147482014388515</v>
      </c>
      <c r="E40" s="40">
        <f t="shared" ref="E40:E103" si="33">E39+ci*2*xincp</f>
        <v>20.705035971222969</v>
      </c>
      <c r="F40" s="40">
        <f t="shared" ref="F40:F103" si="34">F39-osi*2*xincp</f>
        <v>69</v>
      </c>
      <c r="G40" s="3">
        <f t="shared" ref="G40:G103" si="35">G39-ei*n*2*xincp</f>
        <v>457.17985611510812</v>
      </c>
      <c r="H40" s="3">
        <f t="shared" ref="H40:H103" si="36">PI()/4*(dto+erate*(two-D40)/two)^2</f>
        <v>221.47275588995251</v>
      </c>
      <c r="I40">
        <f t="shared" si="1"/>
        <v>2.214727558899525E-4</v>
      </c>
      <c r="J40" s="4">
        <f t="shared" ref="J40:J103" si="37">PI()/4*dc^2-PI()/4*(F40^2-E40^2)</f>
        <v>1015.2830391696029</v>
      </c>
      <c r="K40" s="40">
        <f t="shared" ref="K40:K103" si="38">J40/H40</f>
        <v>4.5842344584996564</v>
      </c>
      <c r="L40" s="40">
        <f t="shared" si="4"/>
        <v>1.4157655415003436</v>
      </c>
      <c r="M40" s="10">
        <f t="shared" ref="M40:M103" si="39">AB39</f>
        <v>4.0186899283559558</v>
      </c>
      <c r="N40" s="10">
        <f t="shared" si="5"/>
        <v>3.8408799049960156</v>
      </c>
      <c r="O40" s="10">
        <f t="shared" si="6"/>
        <v>0.68820000000000003</v>
      </c>
      <c r="P40" s="10">
        <f t="shared" ref="P40:P103" si="40">(1+kv*L40)*N40*M40^O40</f>
        <v>10.003723509820313</v>
      </c>
      <c r="Q40" s="45">
        <f t="shared" ref="Q40:Q103" si="41">xincp/P40+Q39</f>
        <v>5.0170014749963202E-2</v>
      </c>
      <c r="R40" s="4">
        <f t="shared" ref="R40:R103" si="42">PI()/4*(F40^2-E40^2)*G40</f>
        <v>1555591.7799963565</v>
      </c>
      <c r="S40">
        <f t="shared" si="9"/>
        <v>1.5555917799963564E-3</v>
      </c>
      <c r="T40" s="44">
        <f t="shared" si="10"/>
        <v>5.2080461448564741E-4</v>
      </c>
      <c r="U40" s="45">
        <f t="shared" ref="U40:U103" si="43">rhopgrain*R40/1000^2</f>
        <v>2.7768091068824963</v>
      </c>
      <c r="V40" s="45">
        <f t="shared" ref="V40:V103" si="44">(U39-U40)/(Q40-Q39)</f>
        <v>1.016639627559901</v>
      </c>
      <c r="W40" s="45">
        <f t="shared" ref="W40:W103" si="45">IF(V40&lt;AI40,IF(AB39&gt;pbd,AI40,0),AI40)</f>
        <v>0.97603569874929907</v>
      </c>
      <c r="X40" s="45">
        <f t="shared" ref="X40:X103" si="46">V40-W40</f>
        <v>4.060392881060193E-2</v>
      </c>
      <c r="Y40" s="45">
        <f t="shared" si="29"/>
        <v>6.5070005788984689E-3</v>
      </c>
      <c r="Z40" s="10">
        <f t="shared" ref="Z40:Z103" si="47">Y40/T40</f>
        <v>12.494130040158836</v>
      </c>
      <c r="AA40">
        <f t="shared" si="14"/>
        <v>4079002.8825195422</v>
      </c>
      <c r="AB40" s="10">
        <f t="shared" si="15"/>
        <v>4.0790028825195419</v>
      </c>
      <c r="AC40" s="10">
        <f t="shared" si="16"/>
        <v>3.9780028825195419</v>
      </c>
      <c r="AD40" s="3">
        <f t="shared" si="17"/>
        <v>576.94022951697491</v>
      </c>
      <c r="AI40" s="100">
        <f t="shared" si="28"/>
        <v>0.97603569874929907</v>
      </c>
    </row>
    <row r="41" spans="2:35">
      <c r="B41" s="39">
        <f t="shared" si="30"/>
        <v>13</v>
      </c>
      <c r="C41" s="45">
        <f t="shared" si="31"/>
        <v>0.38189448441245172</v>
      </c>
      <c r="D41" s="10">
        <f t="shared" si="32"/>
        <v>24.118105515587558</v>
      </c>
      <c r="E41" s="40">
        <f t="shared" si="33"/>
        <v>20.763788968824883</v>
      </c>
      <c r="F41" s="40">
        <f t="shared" si="34"/>
        <v>69</v>
      </c>
      <c r="G41" s="3">
        <f t="shared" si="35"/>
        <v>456.94484412470047</v>
      </c>
      <c r="H41" s="3">
        <f t="shared" si="36"/>
        <v>221.47275588995251</v>
      </c>
      <c r="I41">
        <f t="shared" si="1"/>
        <v>2.214727558899525E-4</v>
      </c>
      <c r="J41" s="4">
        <f t="shared" si="37"/>
        <v>1017.196597213202</v>
      </c>
      <c r="K41" s="40">
        <f t="shared" si="38"/>
        <v>4.5928746094559658</v>
      </c>
      <c r="L41" s="40">
        <f t="shared" si="4"/>
        <v>1.4071253905440342</v>
      </c>
      <c r="M41" s="10">
        <f t="shared" si="39"/>
        <v>4.0790028825195419</v>
      </c>
      <c r="N41" s="10">
        <f t="shared" si="5"/>
        <v>3.8408799049960156</v>
      </c>
      <c r="O41" s="10">
        <f t="shared" si="6"/>
        <v>0.68820000000000003</v>
      </c>
      <c r="P41" s="10">
        <f t="shared" si="40"/>
        <v>10.106807623163808</v>
      </c>
      <c r="Q41" s="45">
        <f t="shared" si="41"/>
        <v>5.3076619871607132E-2</v>
      </c>
      <c r="R41" s="4">
        <f t="shared" si="42"/>
        <v>1553917.7420330236</v>
      </c>
      <c r="S41">
        <f t="shared" si="9"/>
        <v>1.5539177420330237E-3</v>
      </c>
      <c r="T41" s="44">
        <f t="shared" si="10"/>
        <v>5.2247865244898009E-4</v>
      </c>
      <c r="U41" s="45">
        <f t="shared" si="43"/>
        <v>2.7738208654160492</v>
      </c>
      <c r="V41" s="45">
        <f t="shared" si="44"/>
        <v>1.0280864931377218</v>
      </c>
      <c r="W41" s="45">
        <f t="shared" si="45"/>
        <v>0.99106179765891689</v>
      </c>
      <c r="X41" s="45">
        <f t="shared" si="46"/>
        <v>3.7024695478804936E-2</v>
      </c>
      <c r="Y41" s="45">
        <f t="shared" si="29"/>
        <v>6.6146167484044706E-3</v>
      </c>
      <c r="Z41" s="10">
        <f t="shared" si="47"/>
        <v>12.660070832368383</v>
      </c>
      <c r="AA41">
        <f t="shared" si="14"/>
        <v>4131836.7291031308</v>
      </c>
      <c r="AB41" s="10">
        <f t="shared" si="15"/>
        <v>4.1318367291031306</v>
      </c>
      <c r="AC41" s="10">
        <f t="shared" si="16"/>
        <v>4.0308367291031306</v>
      </c>
      <c r="AD41" s="3">
        <f t="shared" si="17"/>
        <v>584.60286136376078</v>
      </c>
      <c r="AI41" s="100">
        <f t="shared" si="28"/>
        <v>0.99106179765891689</v>
      </c>
    </row>
    <row r="42" spans="2:35">
      <c r="B42" s="39">
        <f t="shared" si="30"/>
        <v>14</v>
      </c>
      <c r="C42" s="45">
        <f t="shared" si="31"/>
        <v>0.41127098321340955</v>
      </c>
      <c r="D42" s="10">
        <f t="shared" si="32"/>
        <v>24.088729016786601</v>
      </c>
      <c r="E42" s="40">
        <f t="shared" si="33"/>
        <v>20.822541966426797</v>
      </c>
      <c r="F42" s="40">
        <f t="shared" si="34"/>
        <v>69</v>
      </c>
      <c r="G42" s="3">
        <f t="shared" si="35"/>
        <v>456.70983213429281</v>
      </c>
      <c r="H42" s="3">
        <f t="shared" si="36"/>
        <v>221.47275588995251</v>
      </c>
      <c r="I42">
        <f t="shared" si="1"/>
        <v>2.214727558899525E-4</v>
      </c>
      <c r="J42" s="4">
        <f t="shared" si="37"/>
        <v>1019.1155775117754</v>
      </c>
      <c r="K42" s="40">
        <f t="shared" si="38"/>
        <v>4.6015392431300368</v>
      </c>
      <c r="L42" s="40">
        <f t="shared" si="4"/>
        <v>1.3984607568699632</v>
      </c>
      <c r="M42" s="10">
        <f t="shared" si="39"/>
        <v>4.1318367291031306</v>
      </c>
      <c r="N42" s="10">
        <f t="shared" si="5"/>
        <v>3.8408799049960156</v>
      </c>
      <c r="O42" s="10">
        <f t="shared" si="6"/>
        <v>0.68820000000000003</v>
      </c>
      <c r="P42" s="10">
        <f t="shared" si="40"/>
        <v>10.196718857864074</v>
      </c>
      <c r="Q42" s="45">
        <f t="shared" si="41"/>
        <v>5.5957595527643941E-2</v>
      </c>
      <c r="R42" s="4">
        <f t="shared" si="42"/>
        <v>1552242.1270907007</v>
      </c>
      <c r="S42">
        <f t="shared" si="9"/>
        <v>1.5522421270907007E-3</v>
      </c>
      <c r="T42" s="44">
        <f t="shared" si="10"/>
        <v>5.2415426739130309E-4</v>
      </c>
      <c r="U42" s="45">
        <f t="shared" si="43"/>
        <v>2.7708298089632555</v>
      </c>
      <c r="V42" s="45">
        <f t="shared" si="44"/>
        <v>1.0382095546438463</v>
      </c>
      <c r="W42" s="45">
        <f t="shared" si="45"/>
        <v>1.0042245852482519</v>
      </c>
      <c r="X42" s="45">
        <f t="shared" si="46"/>
        <v>3.3984969395594478E-2</v>
      </c>
      <c r="Y42" s="45">
        <f t="shared" si="29"/>
        <v>6.7125266179043344E-3</v>
      </c>
      <c r="Z42" s="10">
        <f t="shared" si="47"/>
        <v>12.806395054861115</v>
      </c>
      <c r="AA42">
        <f t="shared" si="14"/>
        <v>4178424.8610488991</v>
      </c>
      <c r="AB42" s="10">
        <f t="shared" si="15"/>
        <v>4.1784248610488994</v>
      </c>
      <c r="AC42" s="10">
        <f t="shared" si="16"/>
        <v>4.0774248610488995</v>
      </c>
      <c r="AD42" s="3">
        <f t="shared" si="17"/>
        <v>591.35966077576495</v>
      </c>
      <c r="AI42" s="100">
        <f t="shared" si="28"/>
        <v>1.0042245852482519</v>
      </c>
    </row>
    <row r="43" spans="2:35">
      <c r="B43" s="39">
        <f t="shared" si="30"/>
        <v>15</v>
      </c>
      <c r="C43" s="45">
        <f t="shared" si="31"/>
        <v>0.44064748201436738</v>
      </c>
      <c r="D43" s="10">
        <f t="shared" si="32"/>
        <v>24.059352517985644</v>
      </c>
      <c r="E43" s="40">
        <f t="shared" si="33"/>
        <v>20.881294964028712</v>
      </c>
      <c r="F43" s="40">
        <f t="shared" si="34"/>
        <v>69</v>
      </c>
      <c r="G43" s="3">
        <f t="shared" si="35"/>
        <v>456.47482014388515</v>
      </c>
      <c r="H43" s="3">
        <f t="shared" si="36"/>
        <v>221.47275588995251</v>
      </c>
      <c r="I43">
        <f t="shared" si="1"/>
        <v>2.214727558899525E-4</v>
      </c>
      <c r="J43" s="4">
        <f t="shared" si="37"/>
        <v>1021.0399800653227</v>
      </c>
      <c r="K43" s="40">
        <f t="shared" si="38"/>
        <v>4.6102283595218667</v>
      </c>
      <c r="L43" s="40">
        <f t="shared" si="4"/>
        <v>1.3897716404781333</v>
      </c>
      <c r="M43" s="10">
        <f t="shared" si="39"/>
        <v>4.1784248610488994</v>
      </c>
      <c r="N43" s="10">
        <f t="shared" si="5"/>
        <v>3.8408799049960156</v>
      </c>
      <c r="O43" s="10">
        <f t="shared" si="6"/>
        <v>0.68820000000000003</v>
      </c>
      <c r="P43" s="10">
        <f t="shared" si="40"/>
        <v>10.275704274701706</v>
      </c>
      <c r="Q43" s="45">
        <f t="shared" si="41"/>
        <v>5.8816426223393073E-2</v>
      </c>
      <c r="R43" s="4">
        <f t="shared" si="42"/>
        <v>1550564.9389922731</v>
      </c>
      <c r="S43">
        <f t="shared" si="9"/>
        <v>1.550564938992273E-3</v>
      </c>
      <c r="T43" s="44">
        <f t="shared" si="10"/>
        <v>5.2583145548973083E-4</v>
      </c>
      <c r="U43" s="45">
        <f t="shared" si="43"/>
        <v>2.7678359443481568</v>
      </c>
      <c r="V43" s="45">
        <f t="shared" si="44"/>
        <v>1.0472339686118193</v>
      </c>
      <c r="W43" s="45">
        <f t="shared" si="45"/>
        <v>1.0158313435034145</v>
      </c>
      <c r="X43" s="45">
        <f t="shared" si="46"/>
        <v>3.1402625108404747E-2</v>
      </c>
      <c r="Y43" s="45">
        <f t="shared" si="29"/>
        <v>6.8023014064913442E-3</v>
      </c>
      <c r="Z43" s="10">
        <f t="shared" si="47"/>
        <v>12.936277081704917</v>
      </c>
      <c r="AA43">
        <f t="shared" si="14"/>
        <v>4219777.9665081371</v>
      </c>
      <c r="AB43" s="10">
        <f t="shared" si="15"/>
        <v>4.2197779665081372</v>
      </c>
      <c r="AC43" s="10">
        <f t="shared" si="16"/>
        <v>4.1187779665081372</v>
      </c>
      <c r="AD43" s="3">
        <f t="shared" si="17"/>
        <v>597.35721051604594</v>
      </c>
      <c r="AI43" s="100">
        <f t="shared" si="28"/>
        <v>1.0158313435034145</v>
      </c>
    </row>
    <row r="44" spans="2:35">
      <c r="B44" s="39">
        <f t="shared" si="30"/>
        <v>16</v>
      </c>
      <c r="C44" s="45">
        <f t="shared" si="31"/>
        <v>0.4700239808153252</v>
      </c>
      <c r="D44" s="10">
        <f t="shared" si="32"/>
        <v>24.029976019184687</v>
      </c>
      <c r="E44" s="40">
        <f t="shared" si="33"/>
        <v>20.940047961630626</v>
      </c>
      <c r="F44" s="40">
        <f t="shared" si="34"/>
        <v>69</v>
      </c>
      <c r="G44" s="3">
        <f t="shared" si="35"/>
        <v>456.2398081534775</v>
      </c>
      <c r="H44" s="3">
        <f t="shared" si="36"/>
        <v>221.47275588995251</v>
      </c>
      <c r="I44">
        <f t="shared" si="1"/>
        <v>2.214727558899525E-4</v>
      </c>
      <c r="J44" s="4">
        <f t="shared" si="37"/>
        <v>1022.9698048738442</v>
      </c>
      <c r="K44" s="40">
        <f t="shared" si="38"/>
        <v>4.6189419586314591</v>
      </c>
      <c r="L44" s="40">
        <f t="shared" si="4"/>
        <v>1.3810580413685409</v>
      </c>
      <c r="M44" s="10">
        <f t="shared" si="39"/>
        <v>4.2197779665081372</v>
      </c>
      <c r="N44" s="10">
        <f t="shared" si="5"/>
        <v>3.8408799049960156</v>
      </c>
      <c r="O44" s="10">
        <f t="shared" si="6"/>
        <v>0.68820000000000003</v>
      </c>
      <c r="P44" s="10">
        <f t="shared" si="40"/>
        <v>10.345584466605894</v>
      </c>
      <c r="Q44" s="45">
        <f t="shared" si="41"/>
        <v>6.1655946687005456E-2</v>
      </c>
      <c r="R44" s="4">
        <f t="shared" si="42"/>
        <v>1548886.1815606249</v>
      </c>
      <c r="S44">
        <f t="shared" si="9"/>
        <v>1.5488861815606248E-3</v>
      </c>
      <c r="T44" s="44">
        <f t="shared" si="10"/>
        <v>5.2751021292137901E-4</v>
      </c>
      <c r="U44" s="45">
        <f t="shared" si="43"/>
        <v>2.7648392783947937</v>
      </c>
      <c r="V44" s="45">
        <f t="shared" si="44"/>
        <v>1.055342263514037</v>
      </c>
      <c r="W44" s="45">
        <f t="shared" si="45"/>
        <v>1.0261338707376968</v>
      </c>
      <c r="X44" s="45">
        <f t="shared" si="46"/>
        <v>2.9208392776340242E-2</v>
      </c>
      <c r="Y44" s="45">
        <f t="shared" si="29"/>
        <v>6.8852392354889907E-3</v>
      </c>
      <c r="Z44" s="10">
        <f t="shared" si="47"/>
        <v>13.052333522337278</v>
      </c>
      <c r="AA44">
        <f t="shared" si="14"/>
        <v>4256729.1470934656</v>
      </c>
      <c r="AB44" s="10">
        <f t="shared" si="15"/>
        <v>4.2567291470934654</v>
      </c>
      <c r="AC44" s="10">
        <f t="shared" si="16"/>
        <v>4.1557291470934654</v>
      </c>
      <c r="AD44" s="3">
        <f t="shared" si="17"/>
        <v>602.71633750449098</v>
      </c>
      <c r="AI44" s="100">
        <f t="shared" si="28"/>
        <v>1.0261338707376968</v>
      </c>
    </row>
    <row r="45" spans="2:35">
      <c r="B45" s="39">
        <f t="shared" si="30"/>
        <v>17</v>
      </c>
      <c r="C45" s="45">
        <f t="shared" si="31"/>
        <v>0.49940047961628303</v>
      </c>
      <c r="D45" s="10">
        <f t="shared" si="32"/>
        <v>24.00059952038373</v>
      </c>
      <c r="E45" s="40">
        <f t="shared" si="33"/>
        <v>20.99880095923254</v>
      </c>
      <c r="F45" s="40">
        <f t="shared" si="34"/>
        <v>69</v>
      </c>
      <c r="G45" s="3">
        <f t="shared" si="35"/>
        <v>456.00479616306984</v>
      </c>
      <c r="H45" s="3">
        <f t="shared" si="36"/>
        <v>221.47275588995251</v>
      </c>
      <c r="I45">
        <f t="shared" si="1"/>
        <v>2.214727558899525E-4</v>
      </c>
      <c r="J45" s="4">
        <f t="shared" si="37"/>
        <v>1024.9050519373386</v>
      </c>
      <c r="K45" s="40">
        <f t="shared" si="38"/>
        <v>4.6276800404588059</v>
      </c>
      <c r="L45" s="40">
        <f t="shared" si="4"/>
        <v>1.3723199595411941</v>
      </c>
      <c r="M45" s="10">
        <f t="shared" si="39"/>
        <v>4.2567291470934654</v>
      </c>
      <c r="N45" s="10">
        <f t="shared" si="5"/>
        <v>3.8408799049960156</v>
      </c>
      <c r="O45" s="10">
        <f t="shared" si="6"/>
        <v>0.68820000000000003</v>
      </c>
      <c r="P45" s="10">
        <f t="shared" si="40"/>
        <v>10.407845652884665</v>
      </c>
      <c r="Q45" s="45">
        <f t="shared" si="41"/>
        <v>6.447848074263067E-2</v>
      </c>
      <c r="R45" s="4">
        <f t="shared" si="42"/>
        <v>1547205.858618642</v>
      </c>
      <c r="S45">
        <f t="shared" si="9"/>
        <v>1.547205858618642E-3</v>
      </c>
      <c r="T45" s="44">
        <f t="shared" si="10"/>
        <v>5.2919053586336184E-4</v>
      </c>
      <c r="U45" s="45">
        <f t="shared" si="43"/>
        <v>2.761839817927207</v>
      </c>
      <c r="V45" s="45">
        <f t="shared" si="44"/>
        <v>1.0626835348926538</v>
      </c>
      <c r="W45" s="45">
        <f t="shared" si="45"/>
        <v>1.0353397221505847</v>
      </c>
      <c r="X45" s="45">
        <f t="shared" si="46"/>
        <v>2.7343812742069096E-2</v>
      </c>
      <c r="Y45" s="45">
        <f t="shared" si="29"/>
        <v>6.9624180781641199E-3</v>
      </c>
      <c r="Z45" s="10">
        <f t="shared" si="47"/>
        <v>13.156732039444167</v>
      </c>
      <c r="AA45">
        <f t="shared" si="14"/>
        <v>4289968.5643755915</v>
      </c>
      <c r="AB45" s="10">
        <f t="shared" si="15"/>
        <v>4.2899685643755916</v>
      </c>
      <c r="AC45" s="10">
        <f t="shared" si="16"/>
        <v>4.1889685643755916</v>
      </c>
      <c r="AD45" s="3">
        <f t="shared" si="17"/>
        <v>607.53713769044111</v>
      </c>
      <c r="AI45" s="100">
        <f t="shared" si="28"/>
        <v>1.0353397221505847</v>
      </c>
    </row>
    <row r="46" spans="2:35">
      <c r="B46" s="39">
        <f t="shared" si="30"/>
        <v>18</v>
      </c>
      <c r="C46" s="45">
        <f t="shared" si="31"/>
        <v>0.52877697841724081</v>
      </c>
      <c r="D46" s="10">
        <f t="shared" si="32"/>
        <v>23.971223021582773</v>
      </c>
      <c r="E46" s="40">
        <f t="shared" si="33"/>
        <v>21.057553956834454</v>
      </c>
      <c r="F46" s="40">
        <f t="shared" si="34"/>
        <v>69</v>
      </c>
      <c r="G46" s="3">
        <f t="shared" si="35"/>
        <v>455.76978417266218</v>
      </c>
      <c r="H46" s="3">
        <f t="shared" si="36"/>
        <v>221.47275588995251</v>
      </c>
      <c r="I46">
        <f t="shared" si="1"/>
        <v>2.214727558899525E-4</v>
      </c>
      <c r="J46" s="4">
        <f t="shared" si="37"/>
        <v>1026.8457212558083</v>
      </c>
      <c r="K46" s="40">
        <f t="shared" si="38"/>
        <v>4.6364426050039178</v>
      </c>
      <c r="L46" s="40">
        <f t="shared" si="4"/>
        <v>1.3635573949960822</v>
      </c>
      <c r="M46" s="10">
        <f t="shared" si="39"/>
        <v>4.2899685643755916</v>
      </c>
      <c r="N46" s="10">
        <f t="shared" si="5"/>
        <v>3.8408799049960156</v>
      </c>
      <c r="O46" s="10">
        <f t="shared" si="6"/>
        <v>0.68820000000000003</v>
      </c>
      <c r="P46" s="10">
        <f t="shared" si="40"/>
        <v>10.463708835538354</v>
      </c>
      <c r="Q46" s="45">
        <f t="shared" si="41"/>
        <v>6.7285945979161821E-2</v>
      </c>
      <c r="R46" s="4">
        <f t="shared" si="42"/>
        <v>1545523.9739892078</v>
      </c>
      <c r="S46">
        <f t="shared" si="9"/>
        <v>1.5455239739892077E-3</v>
      </c>
      <c r="T46" s="44">
        <f t="shared" si="10"/>
        <v>5.3087242049279612E-4</v>
      </c>
      <c r="U46" s="45">
        <f t="shared" si="43"/>
        <v>2.7588375697694354</v>
      </c>
      <c r="V46" s="45">
        <f t="shared" si="44"/>
        <v>1.0693803501841872</v>
      </c>
      <c r="W46" s="45">
        <f t="shared" si="45"/>
        <v>1.0436208415005772</v>
      </c>
      <c r="X46" s="45">
        <f t="shared" si="46"/>
        <v>2.5759508683609988E-2</v>
      </c>
      <c r="Y46" s="45">
        <f t="shared" si="29"/>
        <v>7.0347370033034774E-3</v>
      </c>
      <c r="Z46" s="10">
        <f t="shared" si="47"/>
        <v>13.251276072645288</v>
      </c>
      <c r="AA46">
        <f t="shared" si="14"/>
        <v>4320070.4150358792</v>
      </c>
      <c r="AB46" s="10">
        <f t="shared" si="15"/>
        <v>4.3200704150358789</v>
      </c>
      <c r="AC46" s="10">
        <f t="shared" si="16"/>
        <v>4.2190704150358789</v>
      </c>
      <c r="AD46" s="3">
        <f t="shared" si="17"/>
        <v>611.90288833007673</v>
      </c>
      <c r="AI46" s="100">
        <f t="shared" si="28"/>
        <v>1.0436208415005772</v>
      </c>
    </row>
    <row r="47" spans="2:35">
      <c r="B47" s="39">
        <f t="shared" si="30"/>
        <v>19</v>
      </c>
      <c r="C47" s="45">
        <f t="shared" si="31"/>
        <v>0.55815347721819863</v>
      </c>
      <c r="D47" s="10">
        <f t="shared" si="32"/>
        <v>23.941846522781816</v>
      </c>
      <c r="E47" s="40">
        <f t="shared" si="33"/>
        <v>21.116306954436368</v>
      </c>
      <c r="F47" s="40">
        <f t="shared" si="34"/>
        <v>69</v>
      </c>
      <c r="G47" s="3">
        <f t="shared" si="35"/>
        <v>455.53477218225453</v>
      </c>
      <c r="H47" s="3">
        <f t="shared" si="36"/>
        <v>221.47275588995251</v>
      </c>
      <c r="I47">
        <f t="shared" si="1"/>
        <v>2.214727558899525E-4</v>
      </c>
      <c r="J47" s="4">
        <f t="shared" si="37"/>
        <v>1028.7918128292508</v>
      </c>
      <c r="K47" s="40">
        <f t="shared" si="38"/>
        <v>4.645229652266786</v>
      </c>
      <c r="L47" s="40">
        <f t="shared" si="4"/>
        <v>1.354770347733214</v>
      </c>
      <c r="M47" s="10">
        <f t="shared" si="39"/>
        <v>4.3200704150358789</v>
      </c>
      <c r="N47" s="10">
        <f t="shared" si="5"/>
        <v>3.8408799049960156</v>
      </c>
      <c r="O47" s="10">
        <f t="shared" si="6"/>
        <v>0.68820000000000003</v>
      </c>
      <c r="P47" s="10">
        <f t="shared" si="40"/>
        <v>10.51418257853058</v>
      </c>
      <c r="Q47" s="45">
        <f t="shared" si="41"/>
        <v>7.0079933869475156E-2</v>
      </c>
      <c r="R47" s="4">
        <f t="shared" si="42"/>
        <v>1543840.5314952084</v>
      </c>
      <c r="S47">
        <f t="shared" si="9"/>
        <v>1.5438405314952084E-3</v>
      </c>
      <c r="T47" s="44">
        <f t="shared" si="10"/>
        <v>5.325558629867954E-4</v>
      </c>
      <c r="U47" s="45">
        <f t="shared" si="43"/>
        <v>2.755832540745522</v>
      </c>
      <c r="V47" s="45">
        <f t="shared" si="44"/>
        <v>1.0755340187163149</v>
      </c>
      <c r="W47" s="45">
        <f t="shared" si="45"/>
        <v>1.0511202815737202</v>
      </c>
      <c r="X47" s="45">
        <f t="shared" si="46"/>
        <v>2.441373714259476E-2</v>
      </c>
      <c r="Y47" s="45">
        <f t="shared" si="29"/>
        <v>7.1029486892371799E-3</v>
      </c>
      <c r="Z47" s="10">
        <f t="shared" si="47"/>
        <v>13.337471583545961</v>
      </c>
      <c r="AA47">
        <f t="shared" si="14"/>
        <v>4347514.1818064358</v>
      </c>
      <c r="AB47" s="10">
        <f t="shared" si="15"/>
        <v>4.347514181806436</v>
      </c>
      <c r="AC47" s="10">
        <f t="shared" si="16"/>
        <v>4.246514181806436</v>
      </c>
      <c r="AD47" s="3">
        <f t="shared" si="17"/>
        <v>615.88313006619808</v>
      </c>
      <c r="AI47" s="100">
        <f t="shared" si="28"/>
        <v>1.0511202815737202</v>
      </c>
    </row>
    <row r="48" spans="2:35">
      <c r="B48" s="39">
        <f t="shared" si="30"/>
        <v>20</v>
      </c>
      <c r="C48" s="45">
        <f t="shared" si="31"/>
        <v>0.58752997601915646</v>
      </c>
      <c r="D48" s="10">
        <f t="shared" si="32"/>
        <v>23.912470023980859</v>
      </c>
      <c r="E48" s="40">
        <f t="shared" si="33"/>
        <v>21.175059952038282</v>
      </c>
      <c r="F48" s="40">
        <f t="shared" si="34"/>
        <v>69</v>
      </c>
      <c r="G48" s="3">
        <f t="shared" si="35"/>
        <v>455.29976019184687</v>
      </c>
      <c r="H48" s="3">
        <f t="shared" si="36"/>
        <v>221.47275588995251</v>
      </c>
      <c r="I48">
        <f t="shared" si="1"/>
        <v>2.214727558899525E-4</v>
      </c>
      <c r="J48" s="4">
        <f t="shared" si="37"/>
        <v>1030.7433266576677</v>
      </c>
      <c r="K48" s="40">
        <f t="shared" si="38"/>
        <v>4.6540411822474148</v>
      </c>
      <c r="L48" s="40">
        <f t="shared" si="4"/>
        <v>1.3459588177525852</v>
      </c>
      <c r="M48" s="10">
        <f t="shared" si="39"/>
        <v>4.347514181806436</v>
      </c>
      <c r="N48" s="10">
        <f t="shared" si="5"/>
        <v>3.8408799049960156</v>
      </c>
      <c r="O48" s="10">
        <f t="shared" si="6"/>
        <v>0.68820000000000003</v>
      </c>
      <c r="P48" s="10">
        <f t="shared" si="40"/>
        <v>10.560103853924613</v>
      </c>
      <c r="Q48" s="45">
        <f t="shared" si="41"/>
        <v>7.2861771927823435E-2</v>
      </c>
      <c r="R48" s="4">
        <f t="shared" si="42"/>
        <v>1542155.5349595279</v>
      </c>
      <c r="S48">
        <f t="shared" si="9"/>
        <v>1.542155534959528E-3</v>
      </c>
      <c r="T48" s="44">
        <f t="shared" si="10"/>
        <v>5.3424085952247582E-4</v>
      </c>
      <c r="U48" s="45">
        <f t="shared" si="43"/>
        <v>2.7528247376795054</v>
      </c>
      <c r="V48" s="45">
        <f t="shared" si="44"/>
        <v>1.0812286707309067</v>
      </c>
      <c r="W48" s="45">
        <f t="shared" si="45"/>
        <v>1.0579574985475129</v>
      </c>
      <c r="X48" s="45">
        <f t="shared" si="46"/>
        <v>2.3271172183393807E-2</v>
      </c>
      <c r="Y48" s="45">
        <f t="shared" si="29"/>
        <v>7.1676853216793204E-3</v>
      </c>
      <c r="Z48" s="10">
        <f t="shared" si="47"/>
        <v>13.416580169637459</v>
      </c>
      <c r="AA48">
        <f t="shared" si="14"/>
        <v>4372701.544391308</v>
      </c>
      <c r="AB48" s="10">
        <f t="shared" si="15"/>
        <v>4.3727015443913082</v>
      </c>
      <c r="AC48" s="10">
        <f t="shared" si="16"/>
        <v>4.2717015443913082</v>
      </c>
      <c r="AD48" s="3">
        <f t="shared" si="17"/>
        <v>619.53611956364148</v>
      </c>
      <c r="AI48" s="100">
        <f t="shared" si="28"/>
        <v>1.0579574985475129</v>
      </c>
    </row>
    <row r="49" spans="2:35">
      <c r="B49" s="39">
        <f t="shared" si="30"/>
        <v>21</v>
      </c>
      <c r="C49" s="45">
        <f t="shared" si="31"/>
        <v>0.61690647482011429</v>
      </c>
      <c r="D49" s="10">
        <f t="shared" si="32"/>
        <v>23.883093525179902</v>
      </c>
      <c r="E49" s="40">
        <f t="shared" si="33"/>
        <v>21.233812949640196</v>
      </c>
      <c r="F49" s="40">
        <f t="shared" si="34"/>
        <v>69</v>
      </c>
      <c r="G49" s="3">
        <f t="shared" si="35"/>
        <v>455.06474820143922</v>
      </c>
      <c r="H49" s="3">
        <f t="shared" si="36"/>
        <v>221.47275588995251</v>
      </c>
      <c r="I49">
        <f t="shared" si="1"/>
        <v>2.214727558899525E-4</v>
      </c>
      <c r="J49" s="4">
        <f t="shared" si="37"/>
        <v>1032.7002627410584</v>
      </c>
      <c r="K49" s="40">
        <f t="shared" si="38"/>
        <v>4.6628771949458034</v>
      </c>
      <c r="L49" s="40">
        <f t="shared" si="4"/>
        <v>1.3371228050541966</v>
      </c>
      <c r="M49" s="10">
        <f t="shared" si="39"/>
        <v>4.3727015443913082</v>
      </c>
      <c r="N49" s="10">
        <f t="shared" si="5"/>
        <v>3.8408799049960156</v>
      </c>
      <c r="O49" s="10">
        <f t="shared" si="6"/>
        <v>0.68820000000000003</v>
      </c>
      <c r="P49" s="10">
        <f t="shared" si="40"/>
        <v>10.602170036274893</v>
      </c>
      <c r="Q49" s="45">
        <f t="shared" si="41"/>
        <v>7.5632572499824011E-2</v>
      </c>
      <c r="R49" s="4">
        <f t="shared" si="42"/>
        <v>1540468.9882050513</v>
      </c>
      <c r="S49">
        <f t="shared" si="9"/>
        <v>1.5404689882050513E-3</v>
      </c>
      <c r="T49" s="44">
        <f t="shared" si="10"/>
        <v>5.3592740627695246E-4</v>
      </c>
      <c r="U49" s="45">
        <f t="shared" si="43"/>
        <v>2.7498141673954271</v>
      </c>
      <c r="V49" s="45">
        <f t="shared" si="44"/>
        <v>1.0865344530749348</v>
      </c>
      <c r="W49" s="45">
        <f t="shared" si="45"/>
        <v>1.0642325651019746</v>
      </c>
      <c r="X49" s="45">
        <f t="shared" si="46"/>
        <v>2.2301887972960177E-2</v>
      </c>
      <c r="Y49" s="45">
        <f t="shared" si="29"/>
        <v>7.2294794056314915E-3</v>
      </c>
      <c r="Z49" s="10">
        <f t="shared" si="47"/>
        <v>13.489661698501562</v>
      </c>
      <c r="AA49">
        <f t="shared" si="14"/>
        <v>4395969.9537600204</v>
      </c>
      <c r="AB49" s="10">
        <f t="shared" si="15"/>
        <v>4.3959699537600203</v>
      </c>
      <c r="AC49" s="10">
        <f t="shared" si="16"/>
        <v>4.2949699537600203</v>
      </c>
      <c r="AD49" s="3">
        <f t="shared" si="17"/>
        <v>622.91079822480356</v>
      </c>
      <c r="AI49" s="100">
        <f t="shared" si="28"/>
        <v>1.0642325651019746</v>
      </c>
    </row>
    <row r="50" spans="2:35">
      <c r="B50" s="39">
        <f t="shared" si="30"/>
        <v>22</v>
      </c>
      <c r="C50" s="45">
        <f t="shared" si="31"/>
        <v>0.64628297362107212</v>
      </c>
      <c r="D50" s="10">
        <f t="shared" si="32"/>
        <v>23.853717026378945</v>
      </c>
      <c r="E50" s="40">
        <f t="shared" si="33"/>
        <v>21.29256594724211</v>
      </c>
      <c r="F50" s="40">
        <f t="shared" si="34"/>
        <v>69</v>
      </c>
      <c r="G50" s="3">
        <f t="shared" si="35"/>
        <v>454.82973621103156</v>
      </c>
      <c r="H50" s="3">
        <f t="shared" si="36"/>
        <v>221.47275588995251</v>
      </c>
      <c r="I50">
        <f t="shared" si="1"/>
        <v>2.214727558899525E-4</v>
      </c>
      <c r="J50" s="4">
        <f t="shared" si="37"/>
        <v>1034.6626210794229</v>
      </c>
      <c r="K50" s="40">
        <f t="shared" si="38"/>
        <v>4.671737690361951</v>
      </c>
      <c r="L50" s="40">
        <f t="shared" si="4"/>
        <v>1.328262309638049</v>
      </c>
      <c r="M50" s="10">
        <f t="shared" si="39"/>
        <v>4.3959699537600203</v>
      </c>
      <c r="N50" s="10">
        <f t="shared" si="5"/>
        <v>3.8408799049960156</v>
      </c>
      <c r="O50" s="10">
        <f t="shared" si="6"/>
        <v>0.68820000000000003</v>
      </c>
      <c r="P50" s="10">
        <f t="shared" si="40"/>
        <v>10.640964226800921</v>
      </c>
      <c r="Q50" s="45">
        <f t="shared" si="41"/>
        <v>7.8393271452929084E-2</v>
      </c>
      <c r="R50" s="4">
        <f t="shared" si="42"/>
        <v>1538780.8950546633</v>
      </c>
      <c r="S50">
        <f t="shared" si="9"/>
        <v>1.5387808950546632E-3</v>
      </c>
      <c r="T50" s="44">
        <f t="shared" si="10"/>
        <v>5.376154994273406E-4</v>
      </c>
      <c r="U50" s="45">
        <f t="shared" si="43"/>
        <v>2.7468008367173264</v>
      </c>
      <c r="V50" s="45">
        <f t="shared" si="44"/>
        <v>1.0915100593316753</v>
      </c>
      <c r="W50" s="45">
        <f t="shared" si="45"/>
        <v>1.0700295522582568</v>
      </c>
      <c r="X50" s="45">
        <f t="shared" si="46"/>
        <v>2.1480507073418531E-2</v>
      </c>
      <c r="Y50" s="45">
        <f t="shared" si="29"/>
        <v>7.2887806190212439E-3</v>
      </c>
      <c r="Z50" s="10">
        <f t="shared" si="47"/>
        <v>13.557608786921389</v>
      </c>
      <c r="AA50">
        <f t="shared" si="14"/>
        <v>4417603.6099428916</v>
      </c>
      <c r="AB50" s="10">
        <f t="shared" si="15"/>
        <v>4.4176036099428915</v>
      </c>
      <c r="AC50" s="10">
        <f t="shared" si="16"/>
        <v>4.3166036099428915</v>
      </c>
      <c r="AD50" s="3">
        <f t="shared" si="17"/>
        <v>626.04838432819315</v>
      </c>
      <c r="AI50" s="100">
        <f t="shared" si="28"/>
        <v>1.0700295522582568</v>
      </c>
    </row>
    <row r="51" spans="2:35">
      <c r="B51" s="39">
        <f t="shared" si="30"/>
        <v>23</v>
      </c>
      <c r="C51" s="45">
        <f t="shared" si="31"/>
        <v>0.67565947242202995</v>
      </c>
      <c r="D51" s="10">
        <f t="shared" si="32"/>
        <v>23.824340527577988</v>
      </c>
      <c r="E51" s="40">
        <f t="shared" si="33"/>
        <v>21.351318944844024</v>
      </c>
      <c r="F51" s="40">
        <f t="shared" si="34"/>
        <v>69</v>
      </c>
      <c r="G51" s="3">
        <f t="shared" si="35"/>
        <v>454.5947242206239</v>
      </c>
      <c r="H51" s="3">
        <f t="shared" si="36"/>
        <v>221.47275588995251</v>
      </c>
      <c r="I51">
        <f t="shared" si="1"/>
        <v>2.214727558899525E-4</v>
      </c>
      <c r="J51" s="4">
        <f t="shared" si="37"/>
        <v>1036.6304016727618</v>
      </c>
      <c r="K51" s="40">
        <f t="shared" si="38"/>
        <v>4.6806226684958601</v>
      </c>
      <c r="L51" s="40">
        <f t="shared" si="4"/>
        <v>1.3193773315041399</v>
      </c>
      <c r="M51" s="10">
        <f t="shared" si="39"/>
        <v>4.4176036099428915</v>
      </c>
      <c r="N51" s="10">
        <f t="shared" si="5"/>
        <v>3.8408799049960156</v>
      </c>
      <c r="O51" s="10">
        <f t="shared" si="6"/>
        <v>0.68820000000000003</v>
      </c>
      <c r="P51" s="10">
        <f t="shared" si="40"/>
        <v>10.676975480942522</v>
      </c>
      <c r="Q51" s="45">
        <f t="shared" si="41"/>
        <v>8.1144659133212921E-2</v>
      </c>
      <c r="R51" s="4">
        <f t="shared" si="42"/>
        <v>1537091.2593312487</v>
      </c>
      <c r="S51">
        <f t="shared" si="9"/>
        <v>1.5370912593312487E-3</v>
      </c>
      <c r="T51" s="44">
        <f t="shared" si="10"/>
        <v>5.3930513515075508E-4</v>
      </c>
      <c r="U51" s="45">
        <f t="shared" si="43"/>
        <v>2.7437847524692454</v>
      </c>
      <c r="V51" s="45">
        <f t="shared" si="44"/>
        <v>1.0962047514038233</v>
      </c>
      <c r="W51" s="45">
        <f t="shared" si="45"/>
        <v>1.0754192643373373</v>
      </c>
      <c r="X51" s="45">
        <f t="shared" si="46"/>
        <v>2.0785487066486086E-2</v>
      </c>
      <c r="Y51" s="45">
        <f t="shared" si="29"/>
        <v>7.3459695520646726E-3</v>
      </c>
      <c r="Z51" s="10">
        <f t="shared" si="47"/>
        <v>13.621174866082466</v>
      </c>
      <c r="AA51">
        <f t="shared" si="14"/>
        <v>4437842.3977032611</v>
      </c>
      <c r="AB51" s="10">
        <f t="shared" si="15"/>
        <v>4.4378423977032613</v>
      </c>
      <c r="AC51" s="10">
        <f t="shared" si="16"/>
        <v>4.3368423977032613</v>
      </c>
      <c r="AD51" s="3">
        <f t="shared" si="17"/>
        <v>628.98366899249618</v>
      </c>
      <c r="AI51" s="100">
        <f t="shared" si="28"/>
        <v>1.0754192643373373</v>
      </c>
    </row>
    <row r="52" spans="2:35">
      <c r="B52" s="39">
        <f t="shared" si="30"/>
        <v>24</v>
      </c>
      <c r="C52" s="45">
        <f t="shared" si="31"/>
        <v>0.70503597122298778</v>
      </c>
      <c r="D52" s="10">
        <f t="shared" si="32"/>
        <v>23.794964028777031</v>
      </c>
      <c r="E52" s="40">
        <f t="shared" si="33"/>
        <v>21.410071942445938</v>
      </c>
      <c r="F52" s="40">
        <f t="shared" si="34"/>
        <v>69</v>
      </c>
      <c r="G52" s="3">
        <f t="shared" si="35"/>
        <v>454.35971223021625</v>
      </c>
      <c r="H52" s="3">
        <f t="shared" si="36"/>
        <v>221.47275588995251</v>
      </c>
      <c r="I52">
        <f t="shared" si="1"/>
        <v>2.214727558899525E-4</v>
      </c>
      <c r="J52" s="4">
        <f t="shared" si="37"/>
        <v>1038.603604521074</v>
      </c>
      <c r="K52" s="40">
        <f t="shared" si="38"/>
        <v>4.6895321293475263</v>
      </c>
      <c r="L52" s="40">
        <f t="shared" si="4"/>
        <v>1.3104678706524737</v>
      </c>
      <c r="M52" s="10">
        <f t="shared" si="39"/>
        <v>4.4378423977032613</v>
      </c>
      <c r="N52" s="10">
        <f t="shared" si="5"/>
        <v>3.8408799049960156</v>
      </c>
      <c r="O52" s="10">
        <f t="shared" si="6"/>
        <v>0.68820000000000003</v>
      </c>
      <c r="P52" s="10">
        <f t="shared" si="40"/>
        <v>10.710615093459285</v>
      </c>
      <c r="Q52" s="45">
        <f t="shared" si="41"/>
        <v>8.388740532889101E-2</v>
      </c>
      <c r="R52" s="4">
        <f t="shared" si="42"/>
        <v>1535400.0848576925</v>
      </c>
      <c r="S52">
        <f t="shared" si="9"/>
        <v>1.5354000848576924E-3</v>
      </c>
      <c r="T52" s="44">
        <f t="shared" si="10"/>
        <v>5.409963096243114E-4</v>
      </c>
      <c r="U52" s="45">
        <f t="shared" si="43"/>
        <v>2.7407659214752242</v>
      </c>
      <c r="V52" s="45">
        <f t="shared" si="44"/>
        <v>1.1006599877079659</v>
      </c>
      <c r="W52" s="45">
        <f t="shared" si="45"/>
        <v>1.0804614651533218</v>
      </c>
      <c r="X52" s="45">
        <f t="shared" si="46"/>
        <v>2.019852255464416E-2</v>
      </c>
      <c r="Y52" s="45">
        <f t="shared" si="29"/>
        <v>7.4013689729597407E-3</v>
      </c>
      <c r="Z52" s="10">
        <f t="shared" si="47"/>
        <v>13.680997155229276</v>
      </c>
      <c r="AA52">
        <f t="shared" si="14"/>
        <v>4456889.2011141451</v>
      </c>
      <c r="AB52" s="10">
        <f t="shared" si="15"/>
        <v>4.4568892011141452</v>
      </c>
      <c r="AC52" s="10">
        <f t="shared" si="16"/>
        <v>4.3558892011141452</v>
      </c>
      <c r="AD52" s="3">
        <f t="shared" si="17"/>
        <v>631.7460770288825</v>
      </c>
      <c r="AI52" s="100">
        <f t="shared" si="28"/>
        <v>1.0804614651533218</v>
      </c>
    </row>
    <row r="53" spans="2:35">
      <c r="B53" s="39">
        <f t="shared" si="30"/>
        <v>25</v>
      </c>
      <c r="C53" s="45">
        <f t="shared" si="31"/>
        <v>0.73441247002394561</v>
      </c>
      <c r="D53" s="10">
        <f t="shared" si="32"/>
        <v>23.765587529976074</v>
      </c>
      <c r="E53" s="40">
        <f t="shared" si="33"/>
        <v>21.468824940047853</v>
      </c>
      <c r="F53" s="40">
        <f t="shared" si="34"/>
        <v>69</v>
      </c>
      <c r="G53" s="3">
        <f t="shared" si="35"/>
        <v>454.12470023980859</v>
      </c>
      <c r="H53" s="3">
        <f t="shared" si="36"/>
        <v>221.47275588995251</v>
      </c>
      <c r="I53">
        <f t="shared" si="1"/>
        <v>2.214727558899525E-4</v>
      </c>
      <c r="J53" s="4">
        <f t="shared" si="37"/>
        <v>1040.5822296243605</v>
      </c>
      <c r="K53" s="40">
        <f t="shared" si="38"/>
        <v>4.6984660729169549</v>
      </c>
      <c r="L53" s="40">
        <f t="shared" si="4"/>
        <v>1.3015339270830451</v>
      </c>
      <c r="M53" s="10">
        <f t="shared" si="39"/>
        <v>4.4568892011141452</v>
      </c>
      <c r="N53" s="10">
        <f t="shared" si="5"/>
        <v>3.8408799049960156</v>
      </c>
      <c r="O53" s="10">
        <f t="shared" si="6"/>
        <v>0.68820000000000003</v>
      </c>
      <c r="P53" s="10">
        <f t="shared" si="40"/>
        <v>10.742229800527568</v>
      </c>
      <c r="Q53" s="45">
        <f t="shared" si="41"/>
        <v>8.6622079539594929E-2</v>
      </c>
      <c r="R53" s="4">
        <f t="shared" si="42"/>
        <v>1533707.3754568794</v>
      </c>
      <c r="S53">
        <f t="shared" si="9"/>
        <v>1.5337073754568794E-3</v>
      </c>
      <c r="T53" s="44">
        <f t="shared" si="10"/>
        <v>5.4268901902512442E-4</v>
      </c>
      <c r="U53" s="45">
        <f t="shared" si="43"/>
        <v>2.7377443505593027</v>
      </c>
      <c r="V53" s="45">
        <f t="shared" si="44"/>
        <v>1.104910743698359</v>
      </c>
      <c r="W53" s="45">
        <f t="shared" si="45"/>
        <v>1.0852067003342702</v>
      </c>
      <c r="X53" s="45">
        <f t="shared" si="46"/>
        <v>1.9704043364088708E-2</v>
      </c>
      <c r="Y53" s="45">
        <f t="shared" si="29"/>
        <v>7.4552531121941058E-3</v>
      </c>
      <c r="Z53" s="10">
        <f t="shared" si="47"/>
        <v>13.737615560356412</v>
      </c>
      <c r="AA53">
        <f t="shared" si="14"/>
        <v>4474915.9207077036</v>
      </c>
      <c r="AB53" s="10">
        <f t="shared" si="15"/>
        <v>4.4749159207077032</v>
      </c>
      <c r="AC53" s="10">
        <f t="shared" si="16"/>
        <v>4.3739159207077032</v>
      </c>
      <c r="AD53" s="3">
        <f t="shared" si="17"/>
        <v>634.36053962403241</v>
      </c>
      <c r="AI53" s="100">
        <f t="shared" si="28"/>
        <v>1.0852067003342702</v>
      </c>
    </row>
    <row r="54" spans="2:35">
      <c r="B54" s="39">
        <f t="shared" si="30"/>
        <v>26</v>
      </c>
      <c r="C54" s="45">
        <f t="shared" si="31"/>
        <v>0.76378896882490344</v>
      </c>
      <c r="D54" s="10">
        <f t="shared" si="32"/>
        <v>23.736211031175117</v>
      </c>
      <c r="E54" s="40">
        <f t="shared" si="33"/>
        <v>21.527577937649767</v>
      </c>
      <c r="F54" s="40">
        <f t="shared" si="34"/>
        <v>69</v>
      </c>
      <c r="G54" s="3">
        <f t="shared" si="35"/>
        <v>453.88968824940093</v>
      </c>
      <c r="H54" s="3">
        <f t="shared" si="36"/>
        <v>221.47275588995251</v>
      </c>
      <c r="I54">
        <f t="shared" si="1"/>
        <v>2.214727558899525E-4</v>
      </c>
      <c r="J54" s="4">
        <f t="shared" si="37"/>
        <v>1042.5662769826208</v>
      </c>
      <c r="K54" s="40">
        <f t="shared" si="38"/>
        <v>4.7074244992041416</v>
      </c>
      <c r="L54" s="40">
        <f t="shared" si="4"/>
        <v>1.2925755007958584</v>
      </c>
      <c r="M54" s="10">
        <f t="shared" si="39"/>
        <v>4.4749159207077032</v>
      </c>
      <c r="N54" s="10">
        <f t="shared" si="5"/>
        <v>3.8408799049960156</v>
      </c>
      <c r="O54" s="10">
        <f t="shared" si="6"/>
        <v>0.68820000000000003</v>
      </c>
      <c r="P54" s="10">
        <f t="shared" si="40"/>
        <v>10.772112547547779</v>
      </c>
      <c r="Q54" s="45">
        <f t="shared" si="41"/>
        <v>8.9349167533829196E-2</v>
      </c>
      <c r="R54" s="4">
        <f t="shared" si="42"/>
        <v>1532013.1349516939</v>
      </c>
      <c r="S54">
        <f t="shared" si="9"/>
        <v>1.532013134951694E-3</v>
      </c>
      <c r="T54" s="44">
        <f t="shared" si="10"/>
        <v>5.4438325953030985E-4</v>
      </c>
      <c r="U54" s="45">
        <f t="shared" si="43"/>
        <v>2.7347200465455215</v>
      </c>
      <c r="V54" s="45">
        <f t="shared" si="44"/>
        <v>1.1089865894225988</v>
      </c>
      <c r="W54" s="45">
        <f t="shared" si="45"/>
        <v>1.089697796407828</v>
      </c>
      <c r="X54" s="45">
        <f t="shared" si="46"/>
        <v>1.9288793014770711E-2</v>
      </c>
      <c r="Y54" s="45">
        <f t="shared" si="29"/>
        <v>7.5078553480479567E-3</v>
      </c>
      <c r="Z54" s="10">
        <f t="shared" si="47"/>
        <v>13.7914882880963</v>
      </c>
      <c r="AA54">
        <f t="shared" si="14"/>
        <v>4492068.4447769783</v>
      </c>
      <c r="AB54" s="10">
        <f t="shared" si="15"/>
        <v>4.4920684447769785</v>
      </c>
      <c r="AC54" s="10">
        <f t="shared" si="16"/>
        <v>4.3910684447769786</v>
      </c>
      <c r="AD54" s="3">
        <f t="shared" si="17"/>
        <v>636.84821534111359</v>
      </c>
      <c r="AI54" s="100">
        <f t="shared" si="28"/>
        <v>1.089697796407828</v>
      </c>
    </row>
    <row r="55" spans="2:35">
      <c r="B55" s="39">
        <f t="shared" si="30"/>
        <v>27</v>
      </c>
      <c r="C55" s="45">
        <f t="shared" si="31"/>
        <v>0.79316546762586126</v>
      </c>
      <c r="D55" s="10">
        <f t="shared" si="32"/>
        <v>23.70683453237416</v>
      </c>
      <c r="E55" s="40">
        <f t="shared" si="33"/>
        <v>21.586330935251681</v>
      </c>
      <c r="F55" s="40">
        <f t="shared" si="34"/>
        <v>69</v>
      </c>
      <c r="G55" s="3">
        <f t="shared" si="35"/>
        <v>453.65467625899328</v>
      </c>
      <c r="H55" s="3">
        <f t="shared" si="36"/>
        <v>221.47275588995251</v>
      </c>
      <c r="I55">
        <f t="shared" si="1"/>
        <v>2.214727558899525E-4</v>
      </c>
      <c r="J55" s="4">
        <f t="shared" si="37"/>
        <v>1044.555746595855</v>
      </c>
      <c r="K55" s="40">
        <f t="shared" si="38"/>
        <v>4.7164074082090881</v>
      </c>
      <c r="L55" s="40">
        <f t="shared" si="4"/>
        <v>1.2835925917909119</v>
      </c>
      <c r="M55" s="10">
        <f t="shared" si="39"/>
        <v>4.4920684447769785</v>
      </c>
      <c r="N55" s="10">
        <f t="shared" si="5"/>
        <v>3.8408799049960156</v>
      </c>
      <c r="O55" s="10">
        <f t="shared" si="6"/>
        <v>0.68820000000000003</v>
      </c>
      <c r="P55" s="10">
        <f t="shared" si="40"/>
        <v>10.800511318390575</v>
      </c>
      <c r="Q55" s="45">
        <f t="shared" si="41"/>
        <v>9.2069084946529559E-2</v>
      </c>
      <c r="R55" s="4">
        <f t="shared" si="42"/>
        <v>1530317.3671650214</v>
      </c>
      <c r="S55">
        <f t="shared" si="9"/>
        <v>1.5303173671650213E-3</v>
      </c>
      <c r="T55" s="44">
        <f t="shared" si="10"/>
        <v>5.4607902731698254E-4</v>
      </c>
      <c r="U55" s="45">
        <f t="shared" si="43"/>
        <v>2.7316930162579212</v>
      </c>
      <c r="V55" s="45">
        <f t="shared" si="44"/>
        <v>1.1129125735457723</v>
      </c>
      <c r="W55" s="45">
        <f t="shared" si="45"/>
        <v>1.0939710993290459</v>
      </c>
      <c r="X55" s="45">
        <f t="shared" si="46"/>
        <v>1.8941474216726428E-2</v>
      </c>
      <c r="Y55" s="45">
        <f t="shared" si="29"/>
        <v>7.5593745935922455E-3</v>
      </c>
      <c r="Z55" s="10">
        <f t="shared" si="47"/>
        <v>13.843004794989598</v>
      </c>
      <c r="AA55">
        <f t="shared" si="14"/>
        <v>4508470.7722907932</v>
      </c>
      <c r="AB55" s="10">
        <f t="shared" si="15"/>
        <v>4.5084707722907931</v>
      </c>
      <c r="AC55" s="10">
        <f t="shared" si="16"/>
        <v>4.4074707722907931</v>
      </c>
      <c r="AD55" s="3">
        <f t="shared" si="17"/>
        <v>639.22708807698234</v>
      </c>
      <c r="AI55" s="100">
        <f t="shared" si="28"/>
        <v>1.0939710993290459</v>
      </c>
    </row>
    <row r="56" spans="2:35">
      <c r="B56" s="39">
        <f t="shared" si="30"/>
        <v>28</v>
      </c>
      <c r="C56" s="45">
        <f t="shared" si="31"/>
        <v>0.82254196642681909</v>
      </c>
      <c r="D56" s="10">
        <f t="shared" si="32"/>
        <v>23.677458033573203</v>
      </c>
      <c r="E56" s="40">
        <f t="shared" si="33"/>
        <v>21.645083932853595</v>
      </c>
      <c r="F56" s="40">
        <f t="shared" si="34"/>
        <v>69</v>
      </c>
      <c r="G56" s="3">
        <f t="shared" si="35"/>
        <v>453.41966426858562</v>
      </c>
      <c r="H56" s="3">
        <f t="shared" si="36"/>
        <v>221.47275588995251</v>
      </c>
      <c r="I56">
        <f t="shared" si="1"/>
        <v>2.214727558899525E-4</v>
      </c>
      <c r="J56" s="4">
        <f t="shared" si="37"/>
        <v>1046.550638464063</v>
      </c>
      <c r="K56" s="40">
        <f t="shared" si="38"/>
        <v>4.7254147999317944</v>
      </c>
      <c r="L56" s="40">
        <f t="shared" si="4"/>
        <v>1.2745852000682056</v>
      </c>
      <c r="M56" s="10">
        <f t="shared" si="39"/>
        <v>4.5084707722907931</v>
      </c>
      <c r="N56" s="10">
        <f t="shared" si="5"/>
        <v>3.8408799049960156</v>
      </c>
      <c r="O56" s="10">
        <f t="shared" si="6"/>
        <v>0.68820000000000003</v>
      </c>
      <c r="P56" s="10">
        <f t="shared" si="40"/>
        <v>10.82763640912102</v>
      </c>
      <c r="Q56" s="45">
        <f t="shared" si="41"/>
        <v>9.4782188498493264E-2</v>
      </c>
      <c r="R56" s="4">
        <f t="shared" si="42"/>
        <v>1528620.0759197462</v>
      </c>
      <c r="S56">
        <f t="shared" si="9"/>
        <v>1.5286200759197462E-3</v>
      </c>
      <c r="T56" s="44">
        <f t="shared" si="10"/>
        <v>5.4777631856225755E-4</v>
      </c>
      <c r="U56" s="45">
        <f t="shared" si="43"/>
        <v>2.728663266520543</v>
      </c>
      <c r="V56" s="45">
        <f t="shared" si="44"/>
        <v>1.1167099520345398</v>
      </c>
      <c r="W56" s="45">
        <f t="shared" si="45"/>
        <v>1.0980575016449075</v>
      </c>
      <c r="X56" s="45">
        <f t="shared" si="46"/>
        <v>1.8652450389632369E-2</v>
      </c>
      <c r="Y56" s="45">
        <f t="shared" si="29"/>
        <v>7.6099806229971839E-3</v>
      </c>
      <c r="Z56" s="10">
        <f t="shared" si="47"/>
        <v>13.89249656314281</v>
      </c>
      <c r="AA56">
        <f t="shared" si="14"/>
        <v>4524228.4437526437</v>
      </c>
      <c r="AB56" s="10">
        <f t="shared" si="15"/>
        <v>4.5242284437526434</v>
      </c>
      <c r="AC56" s="10">
        <f t="shared" si="16"/>
        <v>4.4232284437526435</v>
      </c>
      <c r="AD56" s="3">
        <f t="shared" si="17"/>
        <v>641.51246464867927</v>
      </c>
      <c r="AI56" s="100">
        <f t="shared" si="28"/>
        <v>1.0980575016449075</v>
      </c>
    </row>
    <row r="57" spans="2:35">
      <c r="B57" s="39">
        <f t="shared" si="30"/>
        <v>29</v>
      </c>
      <c r="C57" s="45">
        <f t="shared" si="31"/>
        <v>0.85191846522777692</v>
      </c>
      <c r="D57" s="10">
        <f t="shared" si="32"/>
        <v>23.648081534772246</v>
      </c>
      <c r="E57" s="40">
        <f t="shared" si="33"/>
        <v>21.703836930455509</v>
      </c>
      <c r="F57" s="40">
        <f t="shared" si="34"/>
        <v>69</v>
      </c>
      <c r="G57" s="3">
        <f t="shared" si="35"/>
        <v>453.18465227817796</v>
      </c>
      <c r="H57" s="3">
        <f t="shared" si="36"/>
        <v>221.47275588995251</v>
      </c>
      <c r="I57">
        <f t="shared" si="1"/>
        <v>2.214727558899525E-4</v>
      </c>
      <c r="J57" s="4">
        <f t="shared" si="37"/>
        <v>1048.5509525872444</v>
      </c>
      <c r="K57" s="40">
        <f t="shared" si="38"/>
        <v>4.7344466743722569</v>
      </c>
      <c r="L57" s="40">
        <f t="shared" si="4"/>
        <v>1.2655533256277431</v>
      </c>
      <c r="M57" s="10">
        <f t="shared" si="39"/>
        <v>4.5242284437526434</v>
      </c>
      <c r="N57" s="10">
        <f t="shared" si="5"/>
        <v>3.8408799049960156</v>
      </c>
      <c r="O57" s="10">
        <f t="shared" si="6"/>
        <v>0.68820000000000003</v>
      </c>
      <c r="P57" s="10">
        <f t="shared" si="40"/>
        <v>10.853666445126811</v>
      </c>
      <c r="Q57" s="45">
        <f t="shared" si="41"/>
        <v>9.7488785292256686E-2</v>
      </c>
      <c r="R57" s="4">
        <f t="shared" si="42"/>
        <v>1526921.2650387536</v>
      </c>
      <c r="S57">
        <f t="shared" si="9"/>
        <v>1.5269212650387536E-3</v>
      </c>
      <c r="T57" s="44">
        <f t="shared" si="10"/>
        <v>5.4947512944325018E-4</v>
      </c>
      <c r="U57" s="45">
        <f t="shared" si="43"/>
        <v>2.7256308041574271</v>
      </c>
      <c r="V57" s="45">
        <f t="shared" si="44"/>
        <v>1.1203967913149762</v>
      </c>
      <c r="W57" s="45">
        <f t="shared" si="45"/>
        <v>1.1019832972431272</v>
      </c>
      <c r="X57" s="45">
        <f t="shared" si="46"/>
        <v>1.8413494071849001E-2</v>
      </c>
      <c r="Y57" s="45">
        <f t="shared" si="29"/>
        <v>7.6598185270140319E-3</v>
      </c>
      <c r="Z57" s="10">
        <f t="shared" si="47"/>
        <v>13.940246094077564</v>
      </c>
      <c r="AA57">
        <f t="shared" si="14"/>
        <v>4539431.404750078</v>
      </c>
      <c r="AB57" s="10">
        <f t="shared" si="15"/>
        <v>4.5394314047500783</v>
      </c>
      <c r="AC57" s="10">
        <f t="shared" si="16"/>
        <v>4.4384314047500784</v>
      </c>
      <c r="AD57" s="3">
        <f t="shared" si="17"/>
        <v>643.71739010153419</v>
      </c>
      <c r="AI57" s="100">
        <f t="shared" si="28"/>
        <v>1.1019832972431272</v>
      </c>
    </row>
    <row r="58" spans="2:35">
      <c r="B58" s="39">
        <f t="shared" si="30"/>
        <v>30</v>
      </c>
      <c r="C58" s="45">
        <f t="shared" si="31"/>
        <v>0.88129496402873475</v>
      </c>
      <c r="D58" s="10">
        <f t="shared" si="32"/>
        <v>23.618705035971288</v>
      </c>
      <c r="E58" s="40">
        <f t="shared" si="33"/>
        <v>21.762589928057423</v>
      </c>
      <c r="F58" s="40">
        <f t="shared" si="34"/>
        <v>69</v>
      </c>
      <c r="G58" s="3">
        <f t="shared" si="35"/>
        <v>452.94964028777031</v>
      </c>
      <c r="H58" s="3">
        <f t="shared" si="36"/>
        <v>221.47275588995251</v>
      </c>
      <c r="I58">
        <f t="shared" si="1"/>
        <v>2.214727558899525E-4</v>
      </c>
      <c r="J58" s="4">
        <f t="shared" si="37"/>
        <v>1050.5566889654006</v>
      </c>
      <c r="K58" s="40">
        <f t="shared" si="38"/>
        <v>4.7435030315304836</v>
      </c>
      <c r="L58" s="40">
        <f t="shared" si="4"/>
        <v>1.2564969684695164</v>
      </c>
      <c r="M58" s="10">
        <f t="shared" si="39"/>
        <v>4.5394314047500783</v>
      </c>
      <c r="N58" s="10">
        <f t="shared" si="5"/>
        <v>3.8408799049960156</v>
      </c>
      <c r="O58" s="10">
        <f t="shared" si="6"/>
        <v>0.68820000000000003</v>
      </c>
      <c r="P58" s="10">
        <f t="shared" si="40"/>
        <v>10.878753377068149</v>
      </c>
      <c r="Q58" s="45">
        <f t="shared" si="41"/>
        <v>0.10018914054278401</v>
      </c>
      <c r="R58" s="4">
        <f t="shared" si="42"/>
        <v>1525220.9383449277</v>
      </c>
      <c r="S58">
        <f t="shared" si="9"/>
        <v>1.5252209383449277E-3</v>
      </c>
      <c r="T58" s="44">
        <f t="shared" si="10"/>
        <v>5.5117545613707613E-4</v>
      </c>
      <c r="U58" s="45">
        <f t="shared" si="43"/>
        <v>2.7225956359926133</v>
      </c>
      <c r="V58" s="45">
        <f t="shared" si="44"/>
        <v>1.1239884693767779</v>
      </c>
      <c r="W58" s="45">
        <f t="shared" si="45"/>
        <v>1.1057708947639997</v>
      </c>
      <c r="X58" s="45">
        <f t="shared" si="46"/>
        <v>1.8217574612778176E-2</v>
      </c>
      <c r="Y58" s="45">
        <f t="shared" si="29"/>
        <v>7.7090124502715209E-3</v>
      </c>
      <c r="Z58" s="10">
        <f t="shared" si="47"/>
        <v>13.98649443554741</v>
      </c>
      <c r="AA58">
        <f t="shared" si="14"/>
        <v>4554156.4024159787</v>
      </c>
      <c r="AB58" s="10">
        <f t="shared" si="15"/>
        <v>4.5541564024159786</v>
      </c>
      <c r="AC58" s="10">
        <f t="shared" si="16"/>
        <v>4.4531564024159787</v>
      </c>
      <c r="AD58" s="3">
        <f t="shared" si="17"/>
        <v>645.85299527425366</v>
      </c>
      <c r="AI58" s="100">
        <f t="shared" si="28"/>
        <v>1.1057708947639997</v>
      </c>
    </row>
    <row r="59" spans="2:35">
      <c r="B59" s="39">
        <f t="shared" si="30"/>
        <v>31</v>
      </c>
      <c r="C59" s="45">
        <f t="shared" si="31"/>
        <v>0.91067146282969258</v>
      </c>
      <c r="D59" s="10">
        <f t="shared" si="32"/>
        <v>23.589328537170331</v>
      </c>
      <c r="E59" s="40">
        <f t="shared" si="33"/>
        <v>21.821342925659337</v>
      </c>
      <c r="F59" s="40">
        <f t="shared" si="34"/>
        <v>69</v>
      </c>
      <c r="G59" s="3">
        <f t="shared" si="35"/>
        <v>452.71462829736265</v>
      </c>
      <c r="H59" s="3">
        <f t="shared" si="36"/>
        <v>221.47275588995251</v>
      </c>
      <c r="I59">
        <f t="shared" si="1"/>
        <v>2.214727558899525E-4</v>
      </c>
      <c r="J59" s="4">
        <f t="shared" si="37"/>
        <v>1052.567847598531</v>
      </c>
      <c r="K59" s="40">
        <f t="shared" si="38"/>
        <v>4.7525838714064719</v>
      </c>
      <c r="L59" s="40">
        <f t="shared" si="4"/>
        <v>1.2474161285935281</v>
      </c>
      <c r="M59" s="10">
        <f t="shared" si="39"/>
        <v>4.5541564024159786</v>
      </c>
      <c r="N59" s="10">
        <f t="shared" si="5"/>
        <v>3.8408799049960156</v>
      </c>
      <c r="O59" s="10">
        <f t="shared" si="6"/>
        <v>0.68820000000000003</v>
      </c>
      <c r="P59" s="10">
        <f t="shared" si="40"/>
        <v>10.903026642539096</v>
      </c>
      <c r="Q59" s="45">
        <f t="shared" si="41"/>
        <v>0.10288348402777035</v>
      </c>
      <c r="R59" s="4">
        <f t="shared" si="42"/>
        <v>1523519.0996611535</v>
      </c>
      <c r="S59">
        <f t="shared" si="9"/>
        <v>1.5235190996611536E-3</v>
      </c>
      <c r="T59" s="44">
        <f t="shared" si="10"/>
        <v>5.5287729482085025E-4</v>
      </c>
      <c r="U59" s="45">
        <f t="shared" si="43"/>
        <v>2.7195577688501422</v>
      </c>
      <c r="V59" s="45">
        <f t="shared" si="44"/>
        <v>1.1274980934684036</v>
      </c>
      <c r="W59" s="45">
        <f t="shared" si="45"/>
        <v>1.1094394146440174</v>
      </c>
      <c r="X59" s="45">
        <f t="shared" si="46"/>
        <v>1.8058678824386165E-2</v>
      </c>
      <c r="Y59" s="45">
        <f t="shared" si="29"/>
        <v>7.7576687339094667E-3</v>
      </c>
      <c r="Z59" s="10">
        <f t="shared" si="47"/>
        <v>14.031447495819478</v>
      </c>
      <c r="AA59">
        <f t="shared" si="14"/>
        <v>4568468.9958310928</v>
      </c>
      <c r="AB59" s="10">
        <f t="shared" si="15"/>
        <v>4.5684689958310924</v>
      </c>
      <c r="AC59" s="10">
        <f t="shared" si="16"/>
        <v>4.4674689958310925</v>
      </c>
      <c r="AD59" s="3">
        <f t="shared" si="17"/>
        <v>647.92878837289231</v>
      </c>
      <c r="AI59" s="100">
        <f t="shared" si="28"/>
        <v>1.1094394146440174</v>
      </c>
    </row>
    <row r="60" spans="2:35">
      <c r="B60" s="39">
        <f t="shared" si="30"/>
        <v>32</v>
      </c>
      <c r="C60" s="45">
        <f t="shared" si="31"/>
        <v>0.94004796163065041</v>
      </c>
      <c r="D60" s="10">
        <f t="shared" si="32"/>
        <v>23.559952038369374</v>
      </c>
      <c r="E60" s="40">
        <f t="shared" si="33"/>
        <v>21.880095923261251</v>
      </c>
      <c r="F60" s="40">
        <f t="shared" si="34"/>
        <v>69</v>
      </c>
      <c r="G60" s="3">
        <f t="shared" si="35"/>
        <v>452.47961630695499</v>
      </c>
      <c r="H60" s="3">
        <f t="shared" si="36"/>
        <v>221.47275588995251</v>
      </c>
      <c r="I60">
        <f t="shared" si="1"/>
        <v>2.214727558899525E-4</v>
      </c>
      <c r="J60" s="4">
        <f t="shared" si="37"/>
        <v>1054.5844284866344</v>
      </c>
      <c r="K60" s="40">
        <f t="shared" si="38"/>
        <v>4.7616891940002155</v>
      </c>
      <c r="L60" s="40">
        <f t="shared" si="4"/>
        <v>1.2383108059997845</v>
      </c>
      <c r="M60" s="10">
        <f t="shared" si="39"/>
        <v>4.5684689958310924</v>
      </c>
      <c r="N60" s="10">
        <f t="shared" si="5"/>
        <v>3.8408799049960156</v>
      </c>
      <c r="O60" s="10">
        <f t="shared" si="6"/>
        <v>0.68820000000000003</v>
      </c>
      <c r="P60" s="10">
        <f t="shared" si="40"/>
        <v>10.926596642912509</v>
      </c>
      <c r="Q60" s="45">
        <f t="shared" si="41"/>
        <v>0.10557201548555165</v>
      </c>
      <c r="R60" s="4">
        <f t="shared" si="42"/>
        <v>1521815.7528103164</v>
      </c>
      <c r="S60">
        <f t="shared" si="9"/>
        <v>1.5218157528103164E-3</v>
      </c>
      <c r="T60" s="44">
        <f t="shared" si="10"/>
        <v>5.545806416716874E-4</v>
      </c>
      <c r="U60" s="45">
        <f t="shared" si="43"/>
        <v>2.7165172095540551</v>
      </c>
      <c r="V60" s="45">
        <f t="shared" si="44"/>
        <v>1.1309368492925764</v>
      </c>
      <c r="W60" s="45">
        <f t="shared" si="45"/>
        <v>1.1130051899785391</v>
      </c>
      <c r="X60" s="45">
        <f t="shared" si="46"/>
        <v>1.7931659314037285E-2</v>
      </c>
      <c r="Y60" s="45">
        <f t="shared" si="29"/>
        <v>7.8058785640654728E-3</v>
      </c>
      <c r="Z60" s="10">
        <f t="shared" si="47"/>
        <v>14.075281352295317</v>
      </c>
      <c r="AA60">
        <f t="shared" si="14"/>
        <v>4582425.2462344719</v>
      </c>
      <c r="AB60" s="10">
        <f t="shared" si="15"/>
        <v>4.5824252462344717</v>
      </c>
      <c r="AC60" s="10">
        <f t="shared" si="16"/>
        <v>4.4814252462344717</v>
      </c>
      <c r="AD60" s="3">
        <f t="shared" si="17"/>
        <v>649.95290010652241</v>
      </c>
      <c r="AI60" s="100">
        <f t="shared" si="28"/>
        <v>1.1130051899785391</v>
      </c>
    </row>
    <row r="61" spans="2:35">
      <c r="B61" s="39">
        <f t="shared" si="30"/>
        <v>33</v>
      </c>
      <c r="C61" s="45">
        <f t="shared" si="31"/>
        <v>0.96942446043160824</v>
      </c>
      <c r="D61" s="10">
        <f t="shared" si="32"/>
        <v>23.530575539568417</v>
      </c>
      <c r="E61" s="40">
        <f t="shared" si="33"/>
        <v>21.938848920863165</v>
      </c>
      <c r="F61" s="40">
        <f t="shared" si="34"/>
        <v>69</v>
      </c>
      <c r="G61" s="3">
        <f t="shared" si="35"/>
        <v>452.24460431654734</v>
      </c>
      <c r="H61" s="3">
        <f t="shared" si="36"/>
        <v>221.47275588995251</v>
      </c>
      <c r="I61">
        <f t="shared" si="1"/>
        <v>2.214727558899525E-4</v>
      </c>
      <c r="J61" s="4">
        <f t="shared" si="37"/>
        <v>1056.606431629712</v>
      </c>
      <c r="K61" s="40">
        <f t="shared" si="38"/>
        <v>4.7708189993117198</v>
      </c>
      <c r="L61" s="40">
        <f t="shared" si="4"/>
        <v>1.2291810006882802</v>
      </c>
      <c r="M61" s="10">
        <f t="shared" si="39"/>
        <v>4.5824252462344717</v>
      </c>
      <c r="N61" s="10">
        <f t="shared" si="5"/>
        <v>3.8408799049960156</v>
      </c>
      <c r="O61" s="10">
        <f t="shared" si="6"/>
        <v>0.68820000000000003</v>
      </c>
      <c r="P61" s="10">
        <f t="shared" si="40"/>
        <v>10.949557655688116</v>
      </c>
      <c r="Q61" s="45">
        <f t="shared" si="41"/>
        <v>0.10825490914433769</v>
      </c>
      <c r="R61" s="4">
        <f t="shared" si="42"/>
        <v>1520110.9016153007</v>
      </c>
      <c r="S61">
        <f t="shared" si="9"/>
        <v>1.5201109016153007E-3</v>
      </c>
      <c r="T61" s="44">
        <f t="shared" si="10"/>
        <v>5.5628549286670308E-4</v>
      </c>
      <c r="U61" s="45">
        <f t="shared" si="43"/>
        <v>2.7134739649283923</v>
      </c>
      <c r="V61" s="45">
        <f t="shared" si="44"/>
        <v>1.134314293709185</v>
      </c>
      <c r="W61" s="45">
        <f t="shared" si="45"/>
        <v>1.1164821876132394</v>
      </c>
      <c r="X61" s="45">
        <f t="shared" si="46"/>
        <v>1.7832106095945655E-2</v>
      </c>
      <c r="Y61" s="45">
        <f t="shared" si="29"/>
        <v>7.8537202084330848E-3</v>
      </c>
      <c r="Z61" s="10">
        <f t="shared" si="47"/>
        <v>14.118146723475657</v>
      </c>
      <c r="AA61">
        <f t="shared" si="14"/>
        <v>4596073.1408511903</v>
      </c>
      <c r="AB61" s="10">
        <f t="shared" si="15"/>
        <v>4.5960731408511899</v>
      </c>
      <c r="AC61" s="10">
        <f t="shared" si="16"/>
        <v>4.4950731408511899</v>
      </c>
      <c r="AD61" s="3">
        <f t="shared" si="17"/>
        <v>651.932290188715</v>
      </c>
      <c r="AI61" s="100">
        <f t="shared" si="28"/>
        <v>1.1164821876132394</v>
      </c>
    </row>
    <row r="62" spans="2:35">
      <c r="B62" s="39">
        <f t="shared" si="30"/>
        <v>34</v>
      </c>
      <c r="C62" s="45">
        <f t="shared" si="31"/>
        <v>0.99880095923256607</v>
      </c>
      <c r="D62" s="10">
        <f t="shared" si="32"/>
        <v>23.50119904076746</v>
      </c>
      <c r="E62" s="40">
        <f t="shared" si="33"/>
        <v>21.99760191846508</v>
      </c>
      <c r="F62" s="40">
        <f t="shared" si="34"/>
        <v>69</v>
      </c>
      <c r="G62" s="3">
        <f t="shared" si="35"/>
        <v>452.00959232613968</v>
      </c>
      <c r="H62" s="3">
        <f t="shared" si="36"/>
        <v>221.47275588995251</v>
      </c>
      <c r="I62">
        <f t="shared" si="1"/>
        <v>2.214727558899525E-4</v>
      </c>
      <c r="J62" s="4">
        <f t="shared" si="37"/>
        <v>1058.6338570277635</v>
      </c>
      <c r="K62" s="40">
        <f t="shared" si="38"/>
        <v>4.7799732873409839</v>
      </c>
      <c r="L62" s="40">
        <f t="shared" si="4"/>
        <v>1.2200267126590161</v>
      </c>
      <c r="M62" s="10">
        <f t="shared" si="39"/>
        <v>4.5960731408511899</v>
      </c>
      <c r="N62" s="10">
        <f t="shared" si="5"/>
        <v>3.8408799049960156</v>
      </c>
      <c r="O62" s="10">
        <f t="shared" si="6"/>
        <v>0.68820000000000003</v>
      </c>
      <c r="P62" s="10">
        <f t="shared" si="40"/>
        <v>10.97199027977504</v>
      </c>
      <c r="Q62" s="45">
        <f t="shared" si="41"/>
        <v>0.11093231753168455</v>
      </c>
      <c r="R62" s="4">
        <f t="shared" si="42"/>
        <v>1518404.5498989914</v>
      </c>
      <c r="S62">
        <f t="shared" si="9"/>
        <v>1.5184045498989915E-3</v>
      </c>
      <c r="T62" s="44">
        <f t="shared" si="10"/>
        <v>5.5799184458301234E-4</v>
      </c>
      <c r="U62" s="45">
        <f t="shared" si="43"/>
        <v>2.7104280417971944</v>
      </c>
      <c r="V62" s="45">
        <f t="shared" si="44"/>
        <v>1.1376386006679435</v>
      </c>
      <c r="W62" s="45">
        <f t="shared" si="45"/>
        <v>1.1198823628701606</v>
      </c>
      <c r="X62" s="45">
        <f t="shared" si="46"/>
        <v>1.7756237797782903E-2</v>
      </c>
      <c r="Y62" s="45">
        <f t="shared" si="29"/>
        <v>7.9012609084405938E-3</v>
      </c>
      <c r="Z62" s="10">
        <f t="shared" si="47"/>
        <v>14.160172742928189</v>
      </c>
      <c r="AA62">
        <f t="shared" si="14"/>
        <v>4609453.7944849888</v>
      </c>
      <c r="AB62" s="10">
        <f t="shared" si="15"/>
        <v>4.6094537944849892</v>
      </c>
      <c r="AC62" s="10">
        <f t="shared" si="16"/>
        <v>4.5084537944849892</v>
      </c>
      <c r="AD62" s="3">
        <f t="shared" si="17"/>
        <v>653.87292160768516</v>
      </c>
      <c r="AI62" s="100">
        <f t="shared" si="28"/>
        <v>1.1198823628701606</v>
      </c>
    </row>
    <row r="63" spans="2:35">
      <c r="B63" s="39">
        <f t="shared" si="30"/>
        <v>35</v>
      </c>
      <c r="C63" s="45">
        <f t="shared" si="31"/>
        <v>1.0281774580335239</v>
      </c>
      <c r="D63" s="10">
        <f t="shared" si="32"/>
        <v>23.471822541966503</v>
      </c>
      <c r="E63" s="40">
        <f t="shared" si="33"/>
        <v>22.056354916066994</v>
      </c>
      <c r="F63" s="40">
        <f t="shared" si="34"/>
        <v>69</v>
      </c>
      <c r="G63" s="3">
        <f t="shared" si="35"/>
        <v>451.77458033573203</v>
      </c>
      <c r="H63" s="3">
        <f t="shared" si="36"/>
        <v>221.47275588995251</v>
      </c>
      <c r="I63">
        <f t="shared" si="1"/>
        <v>2.214727558899525E-4</v>
      </c>
      <c r="J63" s="4">
        <f t="shared" si="37"/>
        <v>1060.6667046807893</v>
      </c>
      <c r="K63" s="40">
        <f t="shared" si="38"/>
        <v>4.7891520580880087</v>
      </c>
      <c r="L63" s="40">
        <f t="shared" si="4"/>
        <v>1.2108479419119913</v>
      </c>
      <c r="M63" s="10">
        <f t="shared" si="39"/>
        <v>4.6094537944849892</v>
      </c>
      <c r="N63" s="10">
        <f t="shared" si="5"/>
        <v>3.8408799049960156</v>
      </c>
      <c r="O63" s="10">
        <f t="shared" si="6"/>
        <v>0.68820000000000003</v>
      </c>
      <c r="P63" s="10">
        <f t="shared" si="40"/>
        <v>10.993963493015221</v>
      </c>
      <c r="Q63" s="45">
        <f t="shared" si="41"/>
        <v>0.11360437468556009</v>
      </c>
      <c r="R63" s="4">
        <f t="shared" si="42"/>
        <v>1516696.7014842727</v>
      </c>
      <c r="S63">
        <f t="shared" si="9"/>
        <v>1.5166967014842727E-3</v>
      </c>
      <c r="T63" s="44">
        <f t="shared" si="10"/>
        <v>5.5969969299773112E-4</v>
      </c>
      <c r="U63" s="45">
        <f t="shared" si="43"/>
        <v>2.7073794469845009</v>
      </c>
      <c r="V63" s="45">
        <f t="shared" si="44"/>
        <v>1.1409167682928534</v>
      </c>
      <c r="W63" s="45">
        <f t="shared" si="45"/>
        <v>1.1232159589071158</v>
      </c>
      <c r="X63" s="45">
        <f t="shared" si="46"/>
        <v>1.7700809385737593E-2</v>
      </c>
      <c r="Y63" s="45">
        <f t="shared" si="29"/>
        <v>7.9485584827891417E-3</v>
      </c>
      <c r="Z63" s="10">
        <f t="shared" si="47"/>
        <v>14.20147014949562</v>
      </c>
      <c r="AA63">
        <f t="shared" si="14"/>
        <v>4622602.4652478015</v>
      </c>
      <c r="AB63" s="10">
        <f t="shared" si="15"/>
        <v>4.6226024652478017</v>
      </c>
      <c r="AC63" s="10">
        <f t="shared" si="16"/>
        <v>4.5216024652478017</v>
      </c>
      <c r="AD63" s="3">
        <f t="shared" si="17"/>
        <v>655.77990794021775</v>
      </c>
      <c r="AI63" s="100">
        <f t="shared" si="28"/>
        <v>1.1232159589071158</v>
      </c>
    </row>
    <row r="64" spans="2:35">
      <c r="B64" s="39">
        <f t="shared" si="30"/>
        <v>36</v>
      </c>
      <c r="C64" s="45">
        <f t="shared" si="31"/>
        <v>1.0575539568344816</v>
      </c>
      <c r="D64" s="10">
        <f t="shared" si="32"/>
        <v>23.442446043165546</v>
      </c>
      <c r="E64" s="40">
        <f t="shared" si="33"/>
        <v>22.115107913668908</v>
      </c>
      <c r="F64" s="40">
        <f t="shared" si="34"/>
        <v>69</v>
      </c>
      <c r="G64" s="3">
        <f t="shared" si="35"/>
        <v>451.53956834532437</v>
      </c>
      <c r="H64" s="3">
        <f t="shared" si="36"/>
        <v>221.47275588995251</v>
      </c>
      <c r="I64">
        <f t="shared" si="1"/>
        <v>2.214727558899525E-4</v>
      </c>
      <c r="J64" s="4">
        <f t="shared" si="37"/>
        <v>1062.704974588788</v>
      </c>
      <c r="K64" s="40">
        <f t="shared" si="38"/>
        <v>4.7983553115527897</v>
      </c>
      <c r="L64" s="40">
        <f t="shared" si="4"/>
        <v>1.2016446884472103</v>
      </c>
      <c r="M64" s="10">
        <f t="shared" si="39"/>
        <v>4.6226024652478017</v>
      </c>
      <c r="N64" s="10">
        <f t="shared" si="5"/>
        <v>3.8408799049960156</v>
      </c>
      <c r="O64" s="10">
        <f t="shared" si="6"/>
        <v>0.68820000000000003</v>
      </c>
      <c r="P64" s="10">
        <f t="shared" si="40"/>
        <v>11.015536386821978</v>
      </c>
      <c r="Q64" s="45">
        <f t="shared" si="41"/>
        <v>0.11627119886636905</v>
      </c>
      <c r="R64" s="4">
        <f t="shared" si="42"/>
        <v>1514987.3601940305</v>
      </c>
      <c r="S64">
        <f t="shared" si="9"/>
        <v>1.5149873601940304E-3</v>
      </c>
      <c r="T64" s="44">
        <f t="shared" si="10"/>
        <v>5.6140903428797341E-4</v>
      </c>
      <c r="U64" s="45">
        <f t="shared" si="43"/>
        <v>2.7043281873143541</v>
      </c>
      <c r="V64" s="45">
        <f t="shared" si="44"/>
        <v>1.1441547935947078</v>
      </c>
      <c r="W64" s="45">
        <f t="shared" si="45"/>
        <v>1.1264917597719872</v>
      </c>
      <c r="X64" s="45">
        <f t="shared" si="46"/>
        <v>1.7663033822720609E-2</v>
      </c>
      <c r="Y64" s="45">
        <f t="shared" si="29"/>
        <v>7.9956626884940193E-3</v>
      </c>
      <c r="Z64" s="10">
        <f t="shared" si="47"/>
        <v>14.24213398816212</v>
      </c>
      <c r="AA64">
        <f t="shared" si="14"/>
        <v>4635549.4144879412</v>
      </c>
      <c r="AB64" s="10">
        <f t="shared" si="15"/>
        <v>4.635549414487941</v>
      </c>
      <c r="AC64" s="10">
        <f t="shared" si="16"/>
        <v>4.534549414487941</v>
      </c>
      <c r="AD64" s="3">
        <f t="shared" si="17"/>
        <v>657.65763806931704</v>
      </c>
      <c r="AI64" s="100">
        <f t="shared" si="28"/>
        <v>1.1264917597719872</v>
      </c>
    </row>
    <row r="65" spans="2:35">
      <c r="B65" s="39">
        <f t="shared" si="30"/>
        <v>37</v>
      </c>
      <c r="C65" s="45">
        <f t="shared" si="31"/>
        <v>1.0869304556354393</v>
      </c>
      <c r="D65" s="10">
        <f t="shared" si="32"/>
        <v>23.413069544364589</v>
      </c>
      <c r="E65" s="40">
        <f t="shared" si="33"/>
        <v>22.173860911270822</v>
      </c>
      <c r="F65" s="40">
        <f t="shared" si="34"/>
        <v>69</v>
      </c>
      <c r="G65" s="3">
        <f t="shared" si="35"/>
        <v>451.30455635491671</v>
      </c>
      <c r="H65" s="3">
        <f t="shared" si="36"/>
        <v>221.47275588995251</v>
      </c>
      <c r="I65">
        <f t="shared" si="1"/>
        <v>2.214727558899525E-4</v>
      </c>
      <c r="J65" s="4">
        <f t="shared" si="37"/>
        <v>1064.7486667517614</v>
      </c>
      <c r="K65" s="40">
        <f t="shared" si="38"/>
        <v>4.8075830477353341</v>
      </c>
      <c r="L65" s="40">
        <f t="shared" si="4"/>
        <v>1.1924169522646659</v>
      </c>
      <c r="M65" s="10">
        <f t="shared" si="39"/>
        <v>4.635549414487941</v>
      </c>
      <c r="N65" s="10">
        <f t="shared" si="5"/>
        <v>3.8408799049960156</v>
      </c>
      <c r="O65" s="10">
        <f t="shared" si="6"/>
        <v>0.68820000000000003</v>
      </c>
      <c r="P65" s="10">
        <f t="shared" si="40"/>
        <v>11.036759631212599</v>
      </c>
      <c r="Q65" s="45">
        <f t="shared" si="41"/>
        <v>0.11893289485165438</v>
      </c>
      <c r="R65" s="4">
        <f t="shared" si="42"/>
        <v>1513276.5298511486</v>
      </c>
      <c r="S65">
        <f t="shared" si="9"/>
        <v>1.5132765298511487E-3</v>
      </c>
      <c r="T65" s="44">
        <f t="shared" si="10"/>
        <v>5.6311986463085514E-4</v>
      </c>
      <c r="U65" s="45">
        <f t="shared" si="43"/>
        <v>2.701274269610793</v>
      </c>
      <c r="V65" s="45">
        <f t="shared" si="44"/>
        <v>1.1473578201432868</v>
      </c>
      <c r="W65" s="45">
        <f t="shared" si="45"/>
        <v>1.1297173046413778</v>
      </c>
      <c r="X65" s="45">
        <f t="shared" si="46"/>
        <v>1.7640515501909038E-2</v>
      </c>
      <c r="Y65" s="45">
        <f t="shared" si="29"/>
        <v>8.0426163777838136E-3</v>
      </c>
      <c r="Z65" s="10">
        <f t="shared" si="47"/>
        <v>14.28224589991339</v>
      </c>
      <c r="AA65">
        <f t="shared" si="14"/>
        <v>4648320.6358580608</v>
      </c>
      <c r="AB65" s="10">
        <f t="shared" si="15"/>
        <v>4.6483206358580604</v>
      </c>
      <c r="AC65" s="10">
        <f t="shared" si="16"/>
        <v>4.5473206358580605</v>
      </c>
      <c r="AD65" s="3">
        <f t="shared" si="17"/>
        <v>659.50988192285149</v>
      </c>
      <c r="AI65" s="100">
        <f t="shared" si="28"/>
        <v>1.1297173046413778</v>
      </c>
    </row>
    <row r="66" spans="2:35">
      <c r="B66" s="39">
        <f t="shared" si="30"/>
        <v>38</v>
      </c>
      <c r="C66" s="45">
        <f t="shared" si="31"/>
        <v>1.116306954436397</v>
      </c>
      <c r="D66" s="10">
        <f t="shared" si="32"/>
        <v>23.383693045563632</v>
      </c>
      <c r="E66" s="40">
        <f t="shared" si="33"/>
        <v>22.232613908872736</v>
      </c>
      <c r="F66" s="40">
        <f t="shared" si="34"/>
        <v>69</v>
      </c>
      <c r="G66" s="3">
        <f t="shared" si="35"/>
        <v>451.06954436450906</v>
      </c>
      <c r="H66" s="3">
        <f t="shared" si="36"/>
        <v>221.47275588995251</v>
      </c>
      <c r="I66">
        <f t="shared" si="1"/>
        <v>2.214727558899525E-4</v>
      </c>
      <c r="J66" s="4">
        <f t="shared" si="37"/>
        <v>1066.7977811697087</v>
      </c>
      <c r="K66" s="40">
        <f t="shared" si="38"/>
        <v>4.8168352666356373</v>
      </c>
      <c r="L66" s="40">
        <f t="shared" si="4"/>
        <v>1.1831647333643627</v>
      </c>
      <c r="M66" s="10">
        <f t="shared" si="39"/>
        <v>4.6483206358580604</v>
      </c>
      <c r="N66" s="10">
        <f t="shared" si="5"/>
        <v>3.8408799049960156</v>
      </c>
      <c r="O66" s="10">
        <f t="shared" si="6"/>
        <v>0.68820000000000003</v>
      </c>
      <c r="P66" s="10">
        <f t="shared" si="40"/>
        <v>11.057676714184703</v>
      </c>
      <c r="Q66" s="45">
        <f t="shared" si="41"/>
        <v>0.12158955588093497</v>
      </c>
      <c r="R66" s="4">
        <f t="shared" si="42"/>
        <v>1511564.2142785124</v>
      </c>
      <c r="S66">
        <f t="shared" si="9"/>
        <v>1.5115642142785124E-3</v>
      </c>
      <c r="T66" s="44">
        <f t="shared" si="10"/>
        <v>5.6483218020349137E-4</v>
      </c>
      <c r="U66" s="45">
        <f t="shared" si="43"/>
        <v>2.6982177006978589</v>
      </c>
      <c r="V66" s="45">
        <f t="shared" si="44"/>
        <v>1.1505302630805538</v>
      </c>
      <c r="W66" s="45">
        <f t="shared" si="45"/>
        <v>1.1328990694573333</v>
      </c>
      <c r="X66" s="45">
        <f t="shared" si="46"/>
        <v>1.763119362322052E-2</v>
      </c>
      <c r="Y66" s="45">
        <f t="shared" si="29"/>
        <v>8.0894564827823246E-3</v>
      </c>
      <c r="Z66" s="10">
        <f t="shared" si="47"/>
        <v>14.321876065680158</v>
      </c>
      <c r="AA66">
        <f t="shared" si="14"/>
        <v>4660938.4742468251</v>
      </c>
      <c r="AB66" s="10">
        <f t="shared" si="15"/>
        <v>4.6609384742468247</v>
      </c>
      <c r="AC66" s="10">
        <f t="shared" si="16"/>
        <v>4.5599384742468247</v>
      </c>
      <c r="AD66" s="3">
        <f t="shared" si="17"/>
        <v>661.33988023884342</v>
      </c>
      <c r="AI66" s="100">
        <f t="shared" si="28"/>
        <v>1.1328990694573333</v>
      </c>
    </row>
    <row r="67" spans="2:35">
      <c r="B67" s="39">
        <f t="shared" si="30"/>
        <v>39</v>
      </c>
      <c r="C67" s="45">
        <f t="shared" si="31"/>
        <v>1.1456834532373548</v>
      </c>
      <c r="D67" s="10">
        <f t="shared" si="32"/>
        <v>23.354316546762675</v>
      </c>
      <c r="E67" s="40">
        <f t="shared" si="33"/>
        <v>22.29136690647465</v>
      </c>
      <c r="F67" s="40">
        <f t="shared" si="34"/>
        <v>69</v>
      </c>
      <c r="G67" s="3">
        <f t="shared" si="35"/>
        <v>450.8345323741014</v>
      </c>
      <c r="H67" s="3">
        <f t="shared" si="36"/>
        <v>221.47275588995251</v>
      </c>
      <c r="I67">
        <f t="shared" si="1"/>
        <v>2.214727558899525E-4</v>
      </c>
      <c r="J67" s="4">
        <f t="shared" si="37"/>
        <v>1068.8523178426303</v>
      </c>
      <c r="K67" s="40">
        <f t="shared" si="38"/>
        <v>4.8261119682537021</v>
      </c>
      <c r="L67" s="40">
        <f t="shared" si="4"/>
        <v>1.1738880317462979</v>
      </c>
      <c r="M67" s="10">
        <f t="shared" si="39"/>
        <v>4.6609384742468247</v>
      </c>
      <c r="N67" s="10">
        <f t="shared" si="5"/>
        <v>3.8408799049960156</v>
      </c>
      <c r="O67" s="10">
        <f t="shared" si="6"/>
        <v>0.68820000000000003</v>
      </c>
      <c r="P67" s="10">
        <f t="shared" si="40"/>
        <v>11.078324991770497</v>
      </c>
      <c r="Q67" s="45">
        <f t="shared" si="41"/>
        <v>0.12424126530657287</v>
      </c>
      <c r="R67" s="4">
        <f t="shared" si="42"/>
        <v>1509850.4172990061</v>
      </c>
      <c r="S67">
        <f t="shared" si="9"/>
        <v>1.5098504172990062E-3</v>
      </c>
      <c r="T67" s="44">
        <f t="shared" si="10"/>
        <v>5.6654597718299761E-4</v>
      </c>
      <c r="U67" s="45">
        <f t="shared" si="43"/>
        <v>2.6951584873995911</v>
      </c>
      <c r="V67" s="45">
        <f t="shared" si="44"/>
        <v>1.1536759151247984</v>
      </c>
      <c r="W67" s="45">
        <f t="shared" si="45"/>
        <v>1.1360426211252039</v>
      </c>
      <c r="X67" s="45">
        <f t="shared" si="46"/>
        <v>1.7633293999594457E-2</v>
      </c>
      <c r="Y67" s="45">
        <f t="shared" si="29"/>
        <v>8.1362148546860937E-3</v>
      </c>
      <c r="Z67" s="10">
        <f t="shared" si="47"/>
        <v>14.361084858710504</v>
      </c>
      <c r="AA67">
        <f t="shared" si="14"/>
        <v>4673422.1518773204</v>
      </c>
      <c r="AB67" s="10">
        <f t="shared" si="15"/>
        <v>4.67342215187732</v>
      </c>
      <c r="AC67" s="10">
        <f t="shared" si="16"/>
        <v>4.57242215187732</v>
      </c>
      <c r="AD67" s="3">
        <f t="shared" si="17"/>
        <v>663.15042086690653</v>
      </c>
      <c r="AI67" s="100">
        <f t="shared" si="28"/>
        <v>1.1360426211252039</v>
      </c>
    </row>
    <row r="68" spans="2:35">
      <c r="B68" s="39">
        <f t="shared" si="30"/>
        <v>40</v>
      </c>
      <c r="C68" s="45">
        <f t="shared" si="31"/>
        <v>1.1750599520383125</v>
      </c>
      <c r="D68" s="10">
        <f t="shared" si="32"/>
        <v>23.324940047961718</v>
      </c>
      <c r="E68" s="40">
        <f t="shared" si="33"/>
        <v>22.350119904076564</v>
      </c>
      <c r="F68" s="40">
        <f t="shared" si="34"/>
        <v>69</v>
      </c>
      <c r="G68" s="3">
        <f t="shared" si="35"/>
        <v>450.59952038369374</v>
      </c>
      <c r="H68" s="3">
        <f t="shared" si="36"/>
        <v>221.47275588995251</v>
      </c>
      <c r="I68">
        <f t="shared" si="1"/>
        <v>2.214727558899525E-4</v>
      </c>
      <c r="J68" s="4">
        <f t="shared" si="37"/>
        <v>1070.9122767705253</v>
      </c>
      <c r="K68" s="40">
        <f t="shared" si="38"/>
        <v>4.8354131525895241</v>
      </c>
      <c r="L68" s="40">
        <f t="shared" si="4"/>
        <v>1.1645868474104759</v>
      </c>
      <c r="M68" s="10">
        <f t="shared" si="39"/>
        <v>4.67342215187732</v>
      </c>
      <c r="N68" s="10">
        <f t="shared" si="5"/>
        <v>3.8408799049960156</v>
      </c>
      <c r="O68" s="10">
        <f t="shared" si="6"/>
        <v>0.68820000000000003</v>
      </c>
      <c r="P68" s="10">
        <f t="shared" si="40"/>
        <v>11.09873657896344</v>
      </c>
      <c r="Q68" s="45">
        <f t="shared" si="41"/>
        <v>0.12688809799711875</v>
      </c>
      <c r="R68" s="4">
        <f t="shared" si="42"/>
        <v>1508135.1427355153</v>
      </c>
      <c r="S68">
        <f t="shared" si="9"/>
        <v>1.5081351427355153E-3</v>
      </c>
      <c r="T68" s="44">
        <f t="shared" si="10"/>
        <v>5.6826125174648848E-4</v>
      </c>
      <c r="U68" s="45">
        <f t="shared" si="43"/>
        <v>2.6920966365400316</v>
      </c>
      <c r="V68" s="45">
        <f t="shared" si="44"/>
        <v>1.1567980365725257</v>
      </c>
      <c r="W68" s="45">
        <f t="shared" si="45"/>
        <v>1.1391527485834416</v>
      </c>
      <c r="X68" s="45">
        <f t="shared" si="46"/>
        <v>1.7645287989084046E-2</v>
      </c>
      <c r="Y68" s="45">
        <f t="shared" si="29"/>
        <v>8.1829189797696985E-3</v>
      </c>
      <c r="Z68" s="10">
        <f t="shared" si="47"/>
        <v>14.399924250721647</v>
      </c>
      <c r="AA68">
        <f t="shared" si="14"/>
        <v>4685788.2160113594</v>
      </c>
      <c r="AB68" s="10">
        <f t="shared" si="15"/>
        <v>4.6857882160113595</v>
      </c>
      <c r="AC68" s="10">
        <f t="shared" si="16"/>
        <v>4.5847882160113596</v>
      </c>
      <c r="AD68" s="3">
        <f t="shared" si="17"/>
        <v>664.94390369997961</v>
      </c>
      <c r="AI68" s="100">
        <f t="shared" si="28"/>
        <v>1.1391527485834416</v>
      </c>
    </row>
    <row r="69" spans="2:35">
      <c r="B69" s="39">
        <f t="shared" si="30"/>
        <v>41</v>
      </c>
      <c r="C69" s="45">
        <f t="shared" si="31"/>
        <v>1.2044364508392702</v>
      </c>
      <c r="D69" s="10">
        <f t="shared" si="32"/>
        <v>23.295563549160761</v>
      </c>
      <c r="E69" s="40">
        <f t="shared" si="33"/>
        <v>22.408872901678478</v>
      </c>
      <c r="F69" s="40">
        <f t="shared" si="34"/>
        <v>69</v>
      </c>
      <c r="G69" s="3">
        <f t="shared" si="35"/>
        <v>450.36450839328609</v>
      </c>
      <c r="H69" s="3">
        <f t="shared" si="36"/>
        <v>221.47275588995251</v>
      </c>
      <c r="I69">
        <f t="shared" si="1"/>
        <v>2.214727558899525E-4</v>
      </c>
      <c r="J69" s="4">
        <f t="shared" si="37"/>
        <v>1072.9776579533936</v>
      </c>
      <c r="K69" s="40">
        <f t="shared" si="38"/>
        <v>4.8447388196431032</v>
      </c>
      <c r="L69" s="40">
        <f t="shared" si="4"/>
        <v>1.1552611803568968</v>
      </c>
      <c r="M69" s="10">
        <f t="shared" si="39"/>
        <v>4.6857882160113595</v>
      </c>
      <c r="N69" s="10">
        <f t="shared" si="5"/>
        <v>3.8408799049960156</v>
      </c>
      <c r="O69" s="10">
        <f t="shared" si="6"/>
        <v>0.68820000000000003</v>
      </c>
      <c r="P69" s="10">
        <f t="shared" si="40"/>
        <v>11.118939106612917</v>
      </c>
      <c r="Q69" s="45">
        <f t="shared" si="41"/>
        <v>0.12953012153185386</v>
      </c>
      <c r="R69" s="4">
        <f t="shared" si="42"/>
        <v>1506418.3944109243</v>
      </c>
      <c r="S69">
        <f t="shared" si="9"/>
        <v>1.5064183944109243E-3</v>
      </c>
      <c r="T69" s="44">
        <f t="shared" si="10"/>
        <v>5.6997800007107949E-4</v>
      </c>
      <c r="U69" s="45">
        <f t="shared" si="43"/>
        <v>2.6890321549432201</v>
      </c>
      <c r="V69" s="45">
        <f t="shared" si="44"/>
        <v>1.1598994318265003</v>
      </c>
      <c r="W69" s="45">
        <f t="shared" si="45"/>
        <v>1.1422335743426437</v>
      </c>
      <c r="X69" s="45">
        <f t="shared" si="46"/>
        <v>1.7665857483856628E-2</v>
      </c>
      <c r="Y69" s="45">
        <f t="shared" si="29"/>
        <v>8.2295925910033235E-3</v>
      </c>
      <c r="Z69" s="10">
        <f t="shared" si="47"/>
        <v>14.438439009886428</v>
      </c>
      <c r="AA69">
        <f t="shared" si="14"/>
        <v>4698050.9203760969</v>
      </c>
      <c r="AB69" s="10">
        <f t="shared" si="15"/>
        <v>4.6980509203760965</v>
      </c>
      <c r="AC69" s="10">
        <f t="shared" si="16"/>
        <v>4.5970509203760965</v>
      </c>
      <c r="AD69" s="3">
        <f t="shared" si="17"/>
        <v>666.72239599363263</v>
      </c>
      <c r="AI69" s="100">
        <f t="shared" si="28"/>
        <v>1.1422335743426437</v>
      </c>
    </row>
    <row r="70" spans="2:35">
      <c r="B70" s="39">
        <f t="shared" si="30"/>
        <v>42</v>
      </c>
      <c r="C70" s="45">
        <f t="shared" si="31"/>
        <v>1.2338129496402279</v>
      </c>
      <c r="D70" s="10">
        <f t="shared" si="32"/>
        <v>23.266187050359804</v>
      </c>
      <c r="E70" s="40">
        <f t="shared" si="33"/>
        <v>22.467625899280392</v>
      </c>
      <c r="F70" s="40">
        <f t="shared" si="34"/>
        <v>69</v>
      </c>
      <c r="G70" s="3">
        <f t="shared" si="35"/>
        <v>450.12949640287843</v>
      </c>
      <c r="H70" s="3">
        <f t="shared" si="36"/>
        <v>221.47275588995251</v>
      </c>
      <c r="I70">
        <f t="shared" si="1"/>
        <v>2.214727558899525E-4</v>
      </c>
      <c r="J70" s="4">
        <f t="shared" si="37"/>
        <v>1075.0484613912367</v>
      </c>
      <c r="K70" s="40">
        <f t="shared" si="38"/>
        <v>4.8540889694144456</v>
      </c>
      <c r="L70" s="40">
        <f t="shared" si="4"/>
        <v>1.1459110305855544</v>
      </c>
      <c r="M70" s="10">
        <f t="shared" si="39"/>
        <v>4.6980509203760965</v>
      </c>
      <c r="N70" s="10">
        <f t="shared" si="5"/>
        <v>3.8408799049960156</v>
      </c>
      <c r="O70" s="10">
        <f t="shared" si="6"/>
        <v>0.68820000000000003</v>
      </c>
      <c r="P70" s="10">
        <f t="shared" si="40"/>
        <v>11.138956365265223</v>
      </c>
      <c r="Q70" s="45">
        <f t="shared" si="41"/>
        <v>0.13216739721887991</v>
      </c>
      <c r="R70" s="4">
        <f t="shared" si="42"/>
        <v>1504700.176148118</v>
      </c>
      <c r="S70">
        <f t="shared" si="9"/>
        <v>1.5047001761481179E-3</v>
      </c>
      <c r="T70" s="44">
        <f t="shared" si="10"/>
        <v>5.7169621833388592E-4</v>
      </c>
      <c r="U70" s="45">
        <f t="shared" si="43"/>
        <v>2.6859650494331979</v>
      </c>
      <c r="V70" s="45">
        <f t="shared" si="44"/>
        <v>1.1629825145360011</v>
      </c>
      <c r="W70" s="45">
        <f t="shared" si="45"/>
        <v>1.1452886495124683</v>
      </c>
      <c r="X70" s="45">
        <f t="shared" si="46"/>
        <v>1.7693865023532762E-2</v>
      </c>
      <c r="Y70" s="45">
        <f t="shared" si="29"/>
        <v>8.2762561910394074E-3</v>
      </c>
      <c r="Z70" s="10">
        <f t="shared" si="47"/>
        <v>14.476667722517366</v>
      </c>
      <c r="AA70">
        <f t="shared" si="14"/>
        <v>4710222.5504577495</v>
      </c>
      <c r="AB70" s="10">
        <f t="shared" si="15"/>
        <v>4.7102225504577495</v>
      </c>
      <c r="AC70" s="10">
        <f t="shared" si="16"/>
        <v>4.6092225504577495</v>
      </c>
      <c r="AD70" s="3">
        <f t="shared" si="17"/>
        <v>668.48767954427115</v>
      </c>
      <c r="AI70" s="100">
        <f t="shared" si="28"/>
        <v>1.1452886495124683</v>
      </c>
    </row>
    <row r="71" spans="2:35">
      <c r="B71" s="39">
        <f t="shared" si="30"/>
        <v>43</v>
      </c>
      <c r="C71" s="45">
        <f t="shared" si="31"/>
        <v>1.2631894484411856</v>
      </c>
      <c r="D71" s="10">
        <f t="shared" si="32"/>
        <v>23.236810551558847</v>
      </c>
      <c r="E71" s="40">
        <f t="shared" si="33"/>
        <v>22.526378896882306</v>
      </c>
      <c r="F71" s="40">
        <f t="shared" si="34"/>
        <v>69</v>
      </c>
      <c r="G71" s="3">
        <f t="shared" si="35"/>
        <v>449.89448441247077</v>
      </c>
      <c r="H71" s="3">
        <f t="shared" si="36"/>
        <v>221.47275588995251</v>
      </c>
      <c r="I71">
        <f t="shared" si="1"/>
        <v>2.214727558899525E-4</v>
      </c>
      <c r="J71" s="4">
        <f t="shared" si="37"/>
        <v>1077.1246870840537</v>
      </c>
      <c r="K71" s="40">
        <f t="shared" si="38"/>
        <v>4.8634636019035478</v>
      </c>
      <c r="L71" s="40">
        <f t="shared" si="4"/>
        <v>1.1365363980964522</v>
      </c>
      <c r="M71" s="10">
        <f t="shared" si="39"/>
        <v>4.7102225504577495</v>
      </c>
      <c r="N71" s="10">
        <f t="shared" si="5"/>
        <v>3.8408799049960156</v>
      </c>
      <c r="O71" s="10">
        <f t="shared" si="6"/>
        <v>0.68820000000000003</v>
      </c>
      <c r="P71" s="10">
        <f t="shared" si="40"/>
        <v>11.158808853459135</v>
      </c>
      <c r="Q71" s="45">
        <f t="shared" si="41"/>
        <v>0.13479998096386012</v>
      </c>
      <c r="R71" s="4">
        <f t="shared" si="42"/>
        <v>1502980.4917699811</v>
      </c>
      <c r="S71">
        <f t="shared" si="9"/>
        <v>1.5029804917699812E-3</v>
      </c>
      <c r="T71" s="44">
        <f t="shared" si="10"/>
        <v>5.7341590271202262E-4</v>
      </c>
      <c r="U71" s="45">
        <f t="shared" si="43"/>
        <v>2.682895326834005</v>
      </c>
      <c r="V71" s="45">
        <f t="shared" si="44"/>
        <v>1.166049363119497</v>
      </c>
      <c r="W71" s="45">
        <f t="shared" si="45"/>
        <v>1.1483210348438542</v>
      </c>
      <c r="X71" s="45">
        <f t="shared" si="46"/>
        <v>1.7728328275642857E-2</v>
      </c>
      <c r="Y71" s="45">
        <f t="shared" si="29"/>
        <v>8.3229274998835381E-3</v>
      </c>
      <c r="Z71" s="10">
        <f t="shared" si="47"/>
        <v>14.514643665303833</v>
      </c>
      <c r="AA71">
        <f t="shared" si="14"/>
        <v>4722313.7012129752</v>
      </c>
      <c r="AB71" s="10">
        <f t="shared" si="15"/>
        <v>4.7223137012129754</v>
      </c>
      <c r="AC71" s="10">
        <f t="shared" si="16"/>
        <v>4.6213137012129755</v>
      </c>
      <c r="AD71" s="3">
        <f t="shared" si="17"/>
        <v>670.24129096634886</v>
      </c>
      <c r="AI71" s="100">
        <f t="shared" si="28"/>
        <v>1.1483210348438542</v>
      </c>
    </row>
    <row r="72" spans="2:35">
      <c r="B72" s="39">
        <f t="shared" si="30"/>
        <v>44</v>
      </c>
      <c r="C72" s="45">
        <f t="shared" si="31"/>
        <v>1.2925659472421434</v>
      </c>
      <c r="D72" s="10">
        <f t="shared" si="32"/>
        <v>23.20743405275789</v>
      </c>
      <c r="E72" s="40">
        <f t="shared" si="33"/>
        <v>22.585131894484221</v>
      </c>
      <c r="F72" s="40">
        <f t="shared" si="34"/>
        <v>69</v>
      </c>
      <c r="G72" s="3">
        <f t="shared" si="35"/>
        <v>449.65947242206312</v>
      </c>
      <c r="H72" s="3">
        <f t="shared" si="36"/>
        <v>221.47275588995251</v>
      </c>
      <c r="I72">
        <f t="shared" si="1"/>
        <v>2.214727558899525E-4</v>
      </c>
      <c r="J72" s="4">
        <f t="shared" si="37"/>
        <v>1079.206335031844</v>
      </c>
      <c r="K72" s="40">
        <f t="shared" si="38"/>
        <v>4.8728627171104071</v>
      </c>
      <c r="L72" s="40">
        <f t="shared" si="4"/>
        <v>1.1271372828895929</v>
      </c>
      <c r="M72" s="10">
        <f t="shared" si="39"/>
        <v>4.7223137012129754</v>
      </c>
      <c r="N72" s="10">
        <f t="shared" si="5"/>
        <v>3.8408799049960156</v>
      </c>
      <c r="O72" s="10">
        <f t="shared" si="6"/>
        <v>0.68820000000000003</v>
      </c>
      <c r="P72" s="10">
        <f t="shared" si="40"/>
        <v>11.178514245186495</v>
      </c>
      <c r="Q72" s="45">
        <f t="shared" si="41"/>
        <v>0.13742792401215989</v>
      </c>
      <c r="R72" s="4">
        <f t="shared" si="42"/>
        <v>1501259.3450993986</v>
      </c>
      <c r="S72">
        <f t="shared" si="9"/>
        <v>1.5012593450993987E-3</v>
      </c>
      <c r="T72" s="44">
        <f t="shared" si="10"/>
        <v>5.7513704938260508E-4</v>
      </c>
      <c r="U72" s="45">
        <f t="shared" si="43"/>
        <v>2.6798229939696818</v>
      </c>
      <c r="V72" s="45">
        <f t="shared" si="44"/>
        <v>1.1691017681341749</v>
      </c>
      <c r="W72" s="45">
        <f t="shared" si="45"/>
        <v>1.1513333699167863</v>
      </c>
      <c r="X72" s="45">
        <f t="shared" si="46"/>
        <v>1.7768398217388626E-2</v>
      </c>
      <c r="Y72" s="45">
        <f t="shared" si="29"/>
        <v>8.3696218384583469E-3</v>
      </c>
      <c r="Z72" s="10">
        <f t="shared" si="47"/>
        <v>14.552395550665571</v>
      </c>
      <c r="AA72">
        <f t="shared" si="14"/>
        <v>4734333.5143817868</v>
      </c>
      <c r="AB72" s="10">
        <f t="shared" si="15"/>
        <v>4.7343335143817864</v>
      </c>
      <c r="AC72" s="10">
        <f t="shared" si="16"/>
        <v>4.6333335143817864</v>
      </c>
      <c r="AD72" s="3">
        <f t="shared" si="17"/>
        <v>671.98455611048394</v>
      </c>
      <c r="AI72" s="100">
        <f t="shared" si="28"/>
        <v>1.1513333699167863</v>
      </c>
    </row>
    <row r="73" spans="2:35">
      <c r="B73" s="39">
        <f t="shared" si="30"/>
        <v>45</v>
      </c>
      <c r="C73" s="45">
        <f t="shared" si="31"/>
        <v>1.3219424460431011</v>
      </c>
      <c r="D73" s="10">
        <f t="shared" si="32"/>
        <v>23.178057553956933</v>
      </c>
      <c r="E73" s="40">
        <f t="shared" si="33"/>
        <v>22.643884892086135</v>
      </c>
      <c r="F73" s="40">
        <f t="shared" si="34"/>
        <v>69</v>
      </c>
      <c r="G73" s="3">
        <f t="shared" si="35"/>
        <v>449.42446043165546</v>
      </c>
      <c r="H73" s="3">
        <f t="shared" si="36"/>
        <v>221.47275588995251</v>
      </c>
      <c r="I73">
        <f t="shared" si="1"/>
        <v>2.214727558899525E-4</v>
      </c>
      <c r="J73" s="4">
        <f t="shared" si="37"/>
        <v>1081.2934052346091</v>
      </c>
      <c r="K73" s="40">
        <f t="shared" si="38"/>
        <v>4.8822863150350306</v>
      </c>
      <c r="L73" s="40">
        <f t="shared" si="4"/>
        <v>1.1177136849649694</v>
      </c>
      <c r="M73" s="10">
        <f t="shared" si="39"/>
        <v>4.7343335143817864</v>
      </c>
      <c r="N73" s="10">
        <f t="shared" si="5"/>
        <v>3.8408799049960156</v>
      </c>
      <c r="O73" s="10">
        <f t="shared" si="6"/>
        <v>0.68820000000000003</v>
      </c>
      <c r="P73" s="10">
        <f t="shared" si="40"/>
        <v>11.198087788844877</v>
      </c>
      <c r="Q73" s="45">
        <f t="shared" si="41"/>
        <v>0.14005127358352346</v>
      </c>
      <c r="R73" s="4">
        <f t="shared" si="42"/>
        <v>1499536.7399592551</v>
      </c>
      <c r="S73">
        <f t="shared" si="9"/>
        <v>1.499536739959255E-3</v>
      </c>
      <c r="T73" s="44">
        <f t="shared" si="10"/>
        <v>5.7685965452274881E-4</v>
      </c>
      <c r="U73" s="45">
        <f t="shared" si="43"/>
        <v>2.6767480576642684</v>
      </c>
      <c r="V73" s="45">
        <f t="shared" si="44"/>
        <v>1.1721412727374929</v>
      </c>
      <c r="W73" s="45">
        <f t="shared" si="45"/>
        <v>1.154327932263373</v>
      </c>
      <c r="X73" s="45">
        <f t="shared" si="46"/>
        <v>1.7813340474119865E-2</v>
      </c>
      <c r="Y73" s="45">
        <f t="shared" si="29"/>
        <v>8.4163524575556828E-3</v>
      </c>
      <c r="Z73" s="10">
        <f t="shared" si="47"/>
        <v>14.589948164287469</v>
      </c>
      <c r="AA73">
        <f t="shared" si="14"/>
        <v>4746289.8814720847</v>
      </c>
      <c r="AB73" s="10">
        <f t="shared" si="15"/>
        <v>4.7462898814720846</v>
      </c>
      <c r="AC73" s="10">
        <f t="shared" si="16"/>
        <v>4.6452898814720847</v>
      </c>
      <c r="AD73" s="3">
        <f t="shared" si="17"/>
        <v>673.7186195028404</v>
      </c>
      <c r="AI73" s="100">
        <f t="shared" si="28"/>
        <v>1.154327932263373</v>
      </c>
    </row>
    <row r="74" spans="2:35">
      <c r="B74" s="39">
        <f t="shared" si="30"/>
        <v>46</v>
      </c>
      <c r="C74" s="45">
        <f t="shared" si="31"/>
        <v>1.3513189448440588</v>
      </c>
      <c r="D74" s="10">
        <f t="shared" si="32"/>
        <v>23.148681055155976</v>
      </c>
      <c r="E74" s="40">
        <f t="shared" si="33"/>
        <v>22.702637889688049</v>
      </c>
      <c r="F74" s="40">
        <f t="shared" si="34"/>
        <v>69</v>
      </c>
      <c r="G74" s="3">
        <f t="shared" si="35"/>
        <v>449.18944844124781</v>
      </c>
      <c r="H74" s="3">
        <f t="shared" si="36"/>
        <v>221.47275588995251</v>
      </c>
      <c r="I74">
        <f t="shared" si="1"/>
        <v>2.214727558899525E-4</v>
      </c>
      <c r="J74" s="4">
        <f t="shared" si="37"/>
        <v>1083.3858976923475</v>
      </c>
      <c r="K74" s="40">
        <f t="shared" si="38"/>
        <v>4.8917343956774104</v>
      </c>
      <c r="L74" s="40">
        <f t="shared" si="4"/>
        <v>1.1082656043225896</v>
      </c>
      <c r="M74" s="10">
        <f t="shared" si="39"/>
        <v>4.7462898814720846</v>
      </c>
      <c r="N74" s="10">
        <f t="shared" si="5"/>
        <v>3.8408799049960156</v>
      </c>
      <c r="O74" s="10">
        <f t="shared" si="6"/>
        <v>0.68820000000000003</v>
      </c>
      <c r="P74" s="10">
        <f t="shared" si="40"/>
        <v>11.217542648071303</v>
      </c>
      <c r="Q74" s="45">
        <f t="shared" si="41"/>
        <v>0.14267007341541077</v>
      </c>
      <c r="R74" s="4">
        <f t="shared" si="42"/>
        <v>1497812.6801724355</v>
      </c>
      <c r="S74">
        <f t="shared" si="9"/>
        <v>1.4978126801724356E-3</v>
      </c>
      <c r="T74" s="44">
        <f t="shared" si="10"/>
        <v>5.7858371430956823E-4</v>
      </c>
      <c r="U74" s="45">
        <f t="shared" si="43"/>
        <v>2.673670524741806</v>
      </c>
      <c r="V74" s="45">
        <f t="shared" si="44"/>
        <v>1.175169207279376</v>
      </c>
      <c r="W74" s="45">
        <f t="shared" si="45"/>
        <v>1.1573066879385012</v>
      </c>
      <c r="X74" s="45">
        <f t="shared" si="46"/>
        <v>1.7862519340874794E-2</v>
      </c>
      <c r="Y74" s="45">
        <f t="shared" si="29"/>
        <v>8.4631308202026499E-3</v>
      </c>
      <c r="Z74" s="10">
        <f t="shared" si="47"/>
        <v>14.627322910915007</v>
      </c>
      <c r="AA74">
        <f t="shared" si="14"/>
        <v>4758189.6175353322</v>
      </c>
      <c r="AB74" s="10">
        <f t="shared" si="15"/>
        <v>4.758189617535332</v>
      </c>
      <c r="AC74" s="10">
        <f t="shared" si="16"/>
        <v>4.657189617535332</v>
      </c>
      <c r="AD74" s="3">
        <f t="shared" si="17"/>
        <v>675.44446954827151</v>
      </c>
      <c r="AI74" s="100">
        <f t="shared" si="28"/>
        <v>1.1573066879385012</v>
      </c>
    </row>
    <row r="75" spans="2:35">
      <c r="B75" s="39">
        <f t="shared" si="30"/>
        <v>47</v>
      </c>
      <c r="C75" s="45">
        <f t="shared" si="31"/>
        <v>1.3806954436450165</v>
      </c>
      <c r="D75" s="10">
        <f t="shared" si="32"/>
        <v>23.119304556355019</v>
      </c>
      <c r="E75" s="40">
        <f t="shared" si="33"/>
        <v>22.761390887289963</v>
      </c>
      <c r="F75" s="40">
        <f t="shared" si="34"/>
        <v>69</v>
      </c>
      <c r="G75" s="3">
        <f t="shared" si="35"/>
        <v>448.95443645084015</v>
      </c>
      <c r="H75" s="3">
        <f t="shared" si="36"/>
        <v>221.47275588995251</v>
      </c>
      <c r="I75">
        <f t="shared" si="1"/>
        <v>2.214727558899525E-4</v>
      </c>
      <c r="J75" s="4">
        <f t="shared" si="37"/>
        <v>1085.4838124050598</v>
      </c>
      <c r="K75" s="40">
        <f t="shared" si="38"/>
        <v>4.90120695903755</v>
      </c>
      <c r="L75" s="40">
        <f t="shared" si="4"/>
        <v>1.09879304096245</v>
      </c>
      <c r="M75" s="10">
        <f t="shared" si="39"/>
        <v>4.758189617535332</v>
      </c>
      <c r="N75" s="10">
        <f t="shared" si="5"/>
        <v>3.8408799049960156</v>
      </c>
      <c r="O75" s="10">
        <f t="shared" si="6"/>
        <v>0.68820000000000003</v>
      </c>
      <c r="P75" s="10">
        <f t="shared" si="40"/>
        <v>11.236890193200148</v>
      </c>
      <c r="Q75" s="45">
        <f t="shared" si="41"/>
        <v>0.14528436422860522</v>
      </c>
      <c r="R75" s="4">
        <f t="shared" si="42"/>
        <v>1496087.1695618248</v>
      </c>
      <c r="S75">
        <f t="shared" si="9"/>
        <v>1.4960871695618248E-3</v>
      </c>
      <c r="T75" s="44">
        <f t="shared" si="10"/>
        <v>5.8030922492017904E-4</v>
      </c>
      <c r="U75" s="45">
        <f t="shared" si="43"/>
        <v>2.6705904020263351</v>
      </c>
      <c r="V75" s="45">
        <f t="shared" si="44"/>
        <v>1.1781867189087551</v>
      </c>
      <c r="W75" s="45">
        <f t="shared" si="45"/>
        <v>1.1602713348135278</v>
      </c>
      <c r="X75" s="45">
        <f t="shared" si="46"/>
        <v>1.7915384095227305E-2</v>
      </c>
      <c r="Y75" s="45">
        <f t="shared" si="29"/>
        <v>8.5099668442576524E-3</v>
      </c>
      <c r="Z75" s="10">
        <f t="shared" si="47"/>
        <v>14.664538282030913</v>
      </c>
      <c r="AA75">
        <f t="shared" si="14"/>
        <v>4770038.6100700079</v>
      </c>
      <c r="AB75" s="10">
        <f t="shared" si="15"/>
        <v>4.7700386100700083</v>
      </c>
      <c r="AC75" s="10">
        <f t="shared" si="16"/>
        <v>4.6690386100700083</v>
      </c>
      <c r="AD75" s="3">
        <f t="shared" si="17"/>
        <v>677.16296012617954</v>
      </c>
      <c r="AI75" s="100">
        <f t="shared" si="28"/>
        <v>1.1602713348135278</v>
      </c>
    </row>
    <row r="76" spans="2:35">
      <c r="B76" s="39">
        <f t="shared" si="30"/>
        <v>48</v>
      </c>
      <c r="C76" s="45">
        <f t="shared" si="31"/>
        <v>1.4100719424459742</v>
      </c>
      <c r="D76" s="10">
        <f t="shared" si="32"/>
        <v>23.089928057554062</v>
      </c>
      <c r="E76" s="40">
        <f t="shared" si="33"/>
        <v>22.820143884891877</v>
      </c>
      <c r="F76" s="40">
        <f t="shared" si="34"/>
        <v>69</v>
      </c>
      <c r="G76" s="3">
        <f t="shared" si="35"/>
        <v>448.71942446043249</v>
      </c>
      <c r="H76" s="3">
        <f t="shared" si="36"/>
        <v>221.47275588995251</v>
      </c>
      <c r="I76">
        <f t="shared" si="1"/>
        <v>2.214727558899525E-4</v>
      </c>
      <c r="J76" s="4">
        <f t="shared" si="37"/>
        <v>1087.5871493727464</v>
      </c>
      <c r="K76" s="40">
        <f t="shared" si="38"/>
        <v>4.9107040051154511</v>
      </c>
      <c r="L76" s="40">
        <f t="shared" si="4"/>
        <v>1.0892959948845489</v>
      </c>
      <c r="M76" s="10">
        <f t="shared" si="39"/>
        <v>4.7700386100700083</v>
      </c>
      <c r="N76" s="10">
        <f t="shared" si="5"/>
        <v>3.8408799049960156</v>
      </c>
      <c r="O76" s="10">
        <f t="shared" si="6"/>
        <v>0.68820000000000003</v>
      </c>
      <c r="P76" s="10">
        <f t="shared" si="40"/>
        <v>11.256140250735379</v>
      </c>
      <c r="Q76" s="45">
        <f t="shared" si="41"/>
        <v>0.14789418412659722</v>
      </c>
      <c r="R76" s="4">
        <f t="shared" si="42"/>
        <v>1494360.2119503072</v>
      </c>
      <c r="S76">
        <f t="shared" si="9"/>
        <v>1.4943602119503073E-3</v>
      </c>
      <c r="T76" s="44">
        <f t="shared" si="10"/>
        <v>5.8203618253169654E-4</v>
      </c>
      <c r="U76" s="45">
        <f t="shared" si="43"/>
        <v>2.6675076963418958</v>
      </c>
      <c r="V76" s="45">
        <f t="shared" si="44"/>
        <v>1.1811947969326149</v>
      </c>
      <c r="W76" s="45">
        <f t="shared" si="45"/>
        <v>1.1632233396734197</v>
      </c>
      <c r="X76" s="45">
        <f t="shared" si="46"/>
        <v>1.7971457259195134E-2</v>
      </c>
      <c r="Y76" s="45">
        <f t="shared" si="29"/>
        <v>8.556869111008612E-3</v>
      </c>
      <c r="Z76" s="10">
        <f t="shared" si="47"/>
        <v>14.701610256923541</v>
      </c>
      <c r="AA76">
        <f t="shared" si="14"/>
        <v>4781841.9467176618</v>
      </c>
      <c r="AB76" s="10">
        <f t="shared" si="15"/>
        <v>4.7818419467176616</v>
      </c>
      <c r="AC76" s="10">
        <f t="shared" si="16"/>
        <v>4.6808419467176616</v>
      </c>
      <c r="AD76" s="3">
        <f t="shared" si="17"/>
        <v>678.8748291106109</v>
      </c>
      <c r="AI76" s="100">
        <f t="shared" si="28"/>
        <v>1.1632233396734197</v>
      </c>
    </row>
    <row r="77" spans="2:35">
      <c r="B77" s="39">
        <f t="shared" si="30"/>
        <v>49</v>
      </c>
      <c r="C77" s="45">
        <f t="shared" si="31"/>
        <v>1.4394484412469319</v>
      </c>
      <c r="D77" s="10">
        <f t="shared" si="32"/>
        <v>23.060551558753104</v>
      </c>
      <c r="E77" s="40">
        <f t="shared" si="33"/>
        <v>22.878896882493791</v>
      </c>
      <c r="F77" s="40">
        <f t="shared" si="34"/>
        <v>69</v>
      </c>
      <c r="G77" s="3">
        <f t="shared" si="35"/>
        <v>448.48441247002484</v>
      </c>
      <c r="H77" s="3">
        <f t="shared" si="36"/>
        <v>221.47275588995251</v>
      </c>
      <c r="I77">
        <f t="shared" si="1"/>
        <v>2.214727558899525E-4</v>
      </c>
      <c r="J77" s="4">
        <f t="shared" si="37"/>
        <v>1089.6959085954063</v>
      </c>
      <c r="K77" s="40">
        <f t="shared" si="38"/>
        <v>4.9202255339111094</v>
      </c>
      <c r="L77" s="40">
        <f t="shared" si="4"/>
        <v>1.0797744660888906</v>
      </c>
      <c r="M77" s="10">
        <f t="shared" si="39"/>
        <v>4.7818419467176616</v>
      </c>
      <c r="N77" s="10">
        <f t="shared" si="5"/>
        <v>3.8408799049960156</v>
      </c>
      <c r="O77" s="10">
        <f t="shared" si="6"/>
        <v>0.68820000000000003</v>
      </c>
      <c r="P77" s="10">
        <f t="shared" si="40"/>
        <v>11.275301317071355</v>
      </c>
      <c r="Q77" s="45">
        <f t="shared" si="41"/>
        <v>0.15049956893848515</v>
      </c>
      <c r="R77" s="4">
        <f t="shared" si="42"/>
        <v>1492631.8111607684</v>
      </c>
      <c r="S77">
        <f t="shared" si="9"/>
        <v>1.4926318111607685E-3</v>
      </c>
      <c r="T77" s="44">
        <f t="shared" si="10"/>
        <v>5.8376458332123535E-4</v>
      </c>
      <c r="U77" s="45">
        <f t="shared" si="43"/>
        <v>2.6644224145125297</v>
      </c>
      <c r="V77" s="45">
        <f t="shared" si="44"/>
        <v>1.1841942945581194</v>
      </c>
      <c r="W77" s="45">
        <f t="shared" si="45"/>
        <v>1.1661639700303763</v>
      </c>
      <c r="X77" s="45">
        <f t="shared" si="46"/>
        <v>1.8030324527743113E-2</v>
      </c>
      <c r="Y77" s="45">
        <f t="shared" si="29"/>
        <v>8.603845044686604E-3</v>
      </c>
      <c r="Z77" s="10">
        <f t="shared" si="47"/>
        <v>14.738552646918732</v>
      </c>
      <c r="AA77">
        <f t="shared" si="14"/>
        <v>4793604.0248628138</v>
      </c>
      <c r="AB77" s="10">
        <f t="shared" si="15"/>
        <v>4.7936040248628133</v>
      </c>
      <c r="AC77" s="10">
        <f t="shared" si="16"/>
        <v>4.6926040248628134</v>
      </c>
      <c r="AD77" s="3">
        <f t="shared" si="17"/>
        <v>680.58071426581785</v>
      </c>
      <c r="AI77" s="100">
        <f t="shared" si="28"/>
        <v>1.1661639700303763</v>
      </c>
    </row>
    <row r="78" spans="2:35">
      <c r="B78" s="39">
        <f t="shared" si="30"/>
        <v>50</v>
      </c>
      <c r="C78" s="45">
        <f t="shared" si="31"/>
        <v>1.4688249400478897</v>
      </c>
      <c r="D78" s="10">
        <f t="shared" si="32"/>
        <v>23.031175059952147</v>
      </c>
      <c r="E78" s="40">
        <f t="shared" si="33"/>
        <v>22.937649880095705</v>
      </c>
      <c r="F78" s="40">
        <f t="shared" si="34"/>
        <v>69</v>
      </c>
      <c r="G78" s="3">
        <f t="shared" si="35"/>
        <v>448.24940047961718</v>
      </c>
      <c r="H78" s="3">
        <f t="shared" si="36"/>
        <v>221.47275588995251</v>
      </c>
      <c r="I78">
        <f t="shared" si="1"/>
        <v>2.214727558899525E-4</v>
      </c>
      <c r="J78" s="4">
        <f t="shared" si="37"/>
        <v>1091.8100900730406</v>
      </c>
      <c r="K78" s="40">
        <f t="shared" si="38"/>
        <v>4.9297715454245283</v>
      </c>
      <c r="L78" s="40">
        <f t="shared" si="4"/>
        <v>1.0702284545754717</v>
      </c>
      <c r="M78" s="10">
        <f t="shared" si="39"/>
        <v>4.7936040248628133</v>
      </c>
      <c r="N78" s="10">
        <f t="shared" si="5"/>
        <v>3.8408799049960156</v>
      </c>
      <c r="O78" s="10">
        <f t="shared" si="6"/>
        <v>0.68820000000000003</v>
      </c>
      <c r="P78" s="10">
        <f t="shared" si="40"/>
        <v>11.294380741745087</v>
      </c>
      <c r="Q78" s="45">
        <f t="shared" si="41"/>
        <v>0.15310055251365182</v>
      </c>
      <c r="R78" s="4">
        <f t="shared" si="42"/>
        <v>1490901.9710160925</v>
      </c>
      <c r="S78">
        <f t="shared" si="9"/>
        <v>1.4909019710160924E-3</v>
      </c>
      <c r="T78" s="44">
        <f t="shared" si="10"/>
        <v>5.8549442346591141E-4</v>
      </c>
      <c r="U78" s="45">
        <f t="shared" si="43"/>
        <v>2.6613345633622756</v>
      </c>
      <c r="V78" s="45">
        <f t="shared" si="44"/>
        <v>1.1871859475530346</v>
      </c>
      <c r="W78" s="45">
        <f t="shared" si="45"/>
        <v>1.1690943214290548</v>
      </c>
      <c r="X78" s="45">
        <f t="shared" si="46"/>
        <v>1.8091626123979854E-2</v>
      </c>
      <c r="Y78" s="45">
        <f t="shared" si="29"/>
        <v>8.6509010670831315E-3</v>
      </c>
      <c r="Z78" s="10">
        <f t="shared" si="47"/>
        <v>14.775377391082536</v>
      </c>
      <c r="AA78">
        <f t="shared" si="14"/>
        <v>4805328.6457816614</v>
      </c>
      <c r="AB78" s="10">
        <f t="shared" si="15"/>
        <v>4.8053286457816613</v>
      </c>
      <c r="AC78" s="10">
        <f t="shared" si="16"/>
        <v>4.7043286457816613</v>
      </c>
      <c r="AD78" s="3">
        <f t="shared" si="17"/>
        <v>682.2811669008936</v>
      </c>
      <c r="AI78" s="100">
        <f t="shared" si="28"/>
        <v>1.1690943214290548</v>
      </c>
    </row>
    <row r="79" spans="2:35">
      <c r="B79" s="39">
        <f t="shared" si="30"/>
        <v>51</v>
      </c>
      <c r="C79" s="45">
        <f t="shared" si="31"/>
        <v>1.4982014388488474</v>
      </c>
      <c r="D79" s="10">
        <f t="shared" si="32"/>
        <v>23.00179856115119</v>
      </c>
      <c r="E79" s="40">
        <f t="shared" si="33"/>
        <v>22.996402877697619</v>
      </c>
      <c r="F79" s="40">
        <f t="shared" si="34"/>
        <v>69</v>
      </c>
      <c r="G79" s="3">
        <f t="shared" si="35"/>
        <v>448.01438848920952</v>
      </c>
      <c r="H79" s="3">
        <f t="shared" si="36"/>
        <v>221.47275588995251</v>
      </c>
      <c r="I79">
        <f t="shared" si="1"/>
        <v>2.214727558899525E-4</v>
      </c>
      <c r="J79" s="4">
        <f t="shared" si="37"/>
        <v>1093.9296938056482</v>
      </c>
      <c r="K79" s="40">
        <f t="shared" si="38"/>
        <v>4.9393420396557053</v>
      </c>
      <c r="L79" s="40">
        <f t="shared" si="4"/>
        <v>1.0606579603442947</v>
      </c>
      <c r="M79" s="10">
        <f t="shared" si="39"/>
        <v>4.8053286457816613</v>
      </c>
      <c r="N79" s="10">
        <f t="shared" si="5"/>
        <v>3.8408799049960156</v>
      </c>
      <c r="O79" s="10">
        <f t="shared" si="6"/>
        <v>0.68820000000000003</v>
      </c>
      <c r="P79" s="10">
        <f t="shared" si="40"/>
        <v>11.31338488470365</v>
      </c>
      <c r="Q79" s="45">
        <f t="shared" si="41"/>
        <v>0.15569716697522437</v>
      </c>
      <c r="R79" s="4">
        <f t="shared" si="42"/>
        <v>1489170.6953391647</v>
      </c>
      <c r="S79">
        <f t="shared" si="9"/>
        <v>1.4891706953391647E-3</v>
      </c>
      <c r="T79" s="44">
        <f t="shared" si="10"/>
        <v>5.8722569914283914E-4</v>
      </c>
      <c r="U79" s="45">
        <f t="shared" si="43"/>
        <v>2.6582441497151756</v>
      </c>
      <c r="V79" s="45">
        <f t="shared" si="44"/>
        <v>1.1901703902659215</v>
      </c>
      <c r="W79" s="45">
        <f t="shared" si="45"/>
        <v>1.1720153409023599</v>
      </c>
      <c r="X79" s="45">
        <f t="shared" si="46"/>
        <v>1.8155049363561604E-2</v>
      </c>
      <c r="Y79" s="45">
        <f t="shared" si="29"/>
        <v>8.6980427308111195E-3</v>
      </c>
      <c r="Z79" s="10">
        <f t="shared" si="47"/>
        <v>14.812094810406744</v>
      </c>
      <c r="AA79">
        <f t="shared" si="14"/>
        <v>4817019.0955721559</v>
      </c>
      <c r="AB79" s="10">
        <f t="shared" si="15"/>
        <v>4.8170190955721557</v>
      </c>
      <c r="AC79" s="10">
        <f t="shared" si="16"/>
        <v>4.7160190955721557</v>
      </c>
      <c r="AD79" s="3">
        <f t="shared" si="17"/>
        <v>683.97666360727419</v>
      </c>
      <c r="AI79" s="100">
        <f t="shared" si="28"/>
        <v>1.1720153409023599</v>
      </c>
    </row>
    <row r="80" spans="2:35">
      <c r="B80" s="39">
        <f t="shared" si="30"/>
        <v>52</v>
      </c>
      <c r="C80" s="45">
        <f t="shared" si="31"/>
        <v>1.5275779376498051</v>
      </c>
      <c r="D80" s="10">
        <f t="shared" si="32"/>
        <v>22.972422062350233</v>
      </c>
      <c r="E80" s="40">
        <f t="shared" si="33"/>
        <v>23.055155875299533</v>
      </c>
      <c r="F80" s="40">
        <f t="shared" si="34"/>
        <v>69</v>
      </c>
      <c r="G80" s="3">
        <f t="shared" si="35"/>
        <v>447.77937649880187</v>
      </c>
      <c r="H80" s="3">
        <f t="shared" si="36"/>
        <v>221.47275588995251</v>
      </c>
      <c r="I80">
        <f t="shared" si="1"/>
        <v>2.214727558899525E-4</v>
      </c>
      <c r="J80" s="4">
        <f t="shared" si="37"/>
        <v>1096.0547197932301</v>
      </c>
      <c r="K80" s="40">
        <f t="shared" si="38"/>
        <v>4.9489370166046438</v>
      </c>
      <c r="L80" s="40">
        <f t="shared" si="4"/>
        <v>1.0510629833953562</v>
      </c>
      <c r="M80" s="10">
        <f t="shared" si="39"/>
        <v>4.8170190955721557</v>
      </c>
      <c r="N80" s="10">
        <f t="shared" si="5"/>
        <v>3.8408799049960156</v>
      </c>
      <c r="O80" s="10">
        <f t="shared" si="6"/>
        <v>0.68820000000000003</v>
      </c>
      <c r="P80" s="10">
        <f t="shared" si="40"/>
        <v>11.332319251366716</v>
      </c>
      <c r="Q80" s="45">
        <f t="shared" si="41"/>
        <v>0.15828944293827713</v>
      </c>
      <c r="R80" s="4">
        <f t="shared" si="42"/>
        <v>1487437.9879528696</v>
      </c>
      <c r="S80">
        <f t="shared" si="9"/>
        <v>1.4874379879528696E-3</v>
      </c>
      <c r="T80" s="44">
        <f t="shared" si="10"/>
        <v>5.8895840652913424E-4</v>
      </c>
      <c r="U80" s="45">
        <f t="shared" si="43"/>
        <v>2.6551511803952699</v>
      </c>
      <c r="V80" s="45">
        <f t="shared" si="44"/>
        <v>1.1931481694037629</v>
      </c>
      <c r="W80" s="45">
        <f t="shared" si="45"/>
        <v>1.174927847133997</v>
      </c>
      <c r="X80" s="45">
        <f t="shared" si="46"/>
        <v>1.8220322269765887E-2</v>
      </c>
      <c r="Y80" s="45">
        <f t="shared" si="29"/>
        <v>8.7452748342701087E-3</v>
      </c>
      <c r="Z80" s="10">
        <f t="shared" si="47"/>
        <v>14.84871382651281</v>
      </c>
      <c r="AA80">
        <f t="shared" si="14"/>
        <v>4828678.214787079</v>
      </c>
      <c r="AB80" s="10">
        <f t="shared" si="15"/>
        <v>4.8286782147870788</v>
      </c>
      <c r="AC80" s="10">
        <f t="shared" si="16"/>
        <v>4.7276782147870788</v>
      </c>
      <c r="AD80" s="3">
        <f t="shared" si="17"/>
        <v>685.66761635780699</v>
      </c>
      <c r="AI80" s="100">
        <f t="shared" si="28"/>
        <v>1.174927847133997</v>
      </c>
    </row>
    <row r="81" spans="2:35">
      <c r="B81" s="39">
        <f t="shared" si="30"/>
        <v>53</v>
      </c>
      <c r="C81" s="45">
        <f t="shared" si="31"/>
        <v>1.5569544364507628</v>
      </c>
      <c r="D81" s="10">
        <f t="shared" si="32"/>
        <v>22.943045563549276</v>
      </c>
      <c r="E81" s="40">
        <f t="shared" si="33"/>
        <v>23.113908872901447</v>
      </c>
      <c r="F81" s="40">
        <f t="shared" si="34"/>
        <v>69</v>
      </c>
      <c r="G81" s="3">
        <f t="shared" si="35"/>
        <v>447.54436450839421</v>
      </c>
      <c r="H81" s="3">
        <f t="shared" si="36"/>
        <v>221.47275588995251</v>
      </c>
      <c r="I81">
        <f t="shared" si="1"/>
        <v>2.214727558899525E-4</v>
      </c>
      <c r="J81" s="4">
        <f t="shared" si="37"/>
        <v>1098.1851680357863</v>
      </c>
      <c r="K81" s="40">
        <f t="shared" si="38"/>
        <v>4.958556476271343</v>
      </c>
      <c r="L81" s="40">
        <f t="shared" si="4"/>
        <v>1.041443523728657</v>
      </c>
      <c r="M81" s="10">
        <f t="shared" si="39"/>
        <v>4.8286782147870788</v>
      </c>
      <c r="N81" s="10">
        <f t="shared" si="5"/>
        <v>3.8408799049960156</v>
      </c>
      <c r="O81" s="10">
        <f t="shared" si="6"/>
        <v>0.68820000000000003</v>
      </c>
      <c r="P81" s="10">
        <f t="shared" si="40"/>
        <v>11.351188608731588</v>
      </c>
      <c r="Q81" s="45">
        <f t="shared" si="41"/>
        <v>0.16087740969784278</v>
      </c>
      <c r="R81" s="4">
        <f t="shared" si="42"/>
        <v>1485703.8526800917</v>
      </c>
      <c r="S81">
        <f t="shared" si="9"/>
        <v>1.4857038526800918E-3</v>
      </c>
      <c r="T81" s="44">
        <f t="shared" si="10"/>
        <v>5.9069254180191201E-4</v>
      </c>
      <c r="U81" s="45">
        <f t="shared" si="43"/>
        <v>2.6520556622265978</v>
      </c>
      <c r="V81" s="45">
        <f t="shared" si="44"/>
        <v>1.196119755877995</v>
      </c>
      <c r="W81" s="45">
        <f t="shared" si="45"/>
        <v>1.1778325478065472</v>
      </c>
      <c r="X81" s="45">
        <f t="shared" si="46"/>
        <v>1.8287208071447791E-2</v>
      </c>
      <c r="Y81" s="45">
        <f t="shared" si="29"/>
        <v>8.7926015208842755E-3</v>
      </c>
      <c r="Z81" s="10">
        <f t="shared" si="47"/>
        <v>14.885242149938746</v>
      </c>
      <c r="AA81">
        <f t="shared" si="14"/>
        <v>4840308.4583826642</v>
      </c>
      <c r="AB81" s="10">
        <f t="shared" si="15"/>
        <v>4.8403084583826645</v>
      </c>
      <c r="AC81" s="10">
        <f t="shared" si="16"/>
        <v>4.7393084583826646</v>
      </c>
      <c r="AD81" s="3">
        <f t="shared" si="17"/>
        <v>687.35438120125661</v>
      </c>
      <c r="AI81" s="100">
        <f t="shared" si="28"/>
        <v>1.1778325478065472</v>
      </c>
    </row>
    <row r="82" spans="2:35">
      <c r="B82" s="39">
        <f t="shared" si="30"/>
        <v>54</v>
      </c>
      <c r="C82" s="45">
        <f t="shared" si="31"/>
        <v>1.5863309352517205</v>
      </c>
      <c r="D82" s="10">
        <f t="shared" si="32"/>
        <v>22.913669064748319</v>
      </c>
      <c r="E82" s="40">
        <f t="shared" si="33"/>
        <v>23.172661870503362</v>
      </c>
      <c r="F82" s="40">
        <f t="shared" si="34"/>
        <v>69</v>
      </c>
      <c r="G82" s="3">
        <f t="shared" si="35"/>
        <v>447.30935251798655</v>
      </c>
      <c r="H82" s="3">
        <f t="shared" si="36"/>
        <v>221.47275588995251</v>
      </c>
      <c r="I82">
        <f t="shared" si="1"/>
        <v>2.214727558899525E-4</v>
      </c>
      <c r="J82" s="4">
        <f t="shared" si="37"/>
        <v>1100.3210385333159</v>
      </c>
      <c r="K82" s="40">
        <f t="shared" si="38"/>
        <v>4.9682004186558002</v>
      </c>
      <c r="L82" s="40">
        <f t="shared" si="4"/>
        <v>1.0317995813441998</v>
      </c>
      <c r="M82" s="10">
        <f t="shared" si="39"/>
        <v>4.8403084583826645</v>
      </c>
      <c r="N82" s="10">
        <f t="shared" si="5"/>
        <v>3.8408799049960156</v>
      </c>
      <c r="O82" s="10">
        <f t="shared" si="6"/>
        <v>0.68820000000000003</v>
      </c>
      <c r="P82" s="10">
        <f t="shared" si="40"/>
        <v>11.369997085243865</v>
      </c>
      <c r="Q82" s="45">
        <f t="shared" si="41"/>
        <v>0.16346109539105047</v>
      </c>
      <c r="R82" s="4">
        <f t="shared" si="42"/>
        <v>1483968.2933437163</v>
      </c>
      <c r="S82">
        <f t="shared" si="9"/>
        <v>1.4839682933437163E-3</v>
      </c>
      <c r="T82" s="44">
        <f t="shared" si="10"/>
        <v>5.9242810113828751E-4</v>
      </c>
      <c r="U82" s="45">
        <f t="shared" si="43"/>
        <v>2.6489576020332009</v>
      </c>
      <c r="V82" s="45">
        <f t="shared" si="44"/>
        <v>1.1990855550044426</v>
      </c>
      <c r="W82" s="45">
        <f t="shared" si="45"/>
        <v>1.1807300545367967</v>
      </c>
      <c r="X82" s="45">
        <f t="shared" si="46"/>
        <v>1.8355500467645891E-2</v>
      </c>
      <c r="Y82" s="45">
        <f t="shared" si="29"/>
        <v>8.8400263648341984E-3</v>
      </c>
      <c r="Z82" s="10">
        <f t="shared" si="47"/>
        <v>14.921686442370017</v>
      </c>
      <c r="AA82">
        <f t="shared" si="14"/>
        <v>4851911.9473712537</v>
      </c>
      <c r="AB82" s="10">
        <f t="shared" si="15"/>
        <v>4.8519119473712538</v>
      </c>
      <c r="AC82" s="10">
        <f t="shared" si="16"/>
        <v>4.7509119473712538</v>
      </c>
      <c r="AD82" s="3">
        <f t="shared" si="17"/>
        <v>689.03726575362634</v>
      </c>
      <c r="AI82" s="100">
        <f t="shared" si="28"/>
        <v>1.1807300545367967</v>
      </c>
    </row>
    <row r="83" spans="2:35">
      <c r="B83" s="39">
        <f t="shared" si="30"/>
        <v>55</v>
      </c>
      <c r="C83" s="45">
        <f t="shared" si="31"/>
        <v>1.6157074340526782</v>
      </c>
      <c r="D83" s="10">
        <f t="shared" si="32"/>
        <v>22.884292565947362</v>
      </c>
      <c r="E83" s="40">
        <f t="shared" si="33"/>
        <v>23.231414868105276</v>
      </c>
      <c r="F83" s="40">
        <f t="shared" si="34"/>
        <v>69</v>
      </c>
      <c r="G83" s="3">
        <f t="shared" si="35"/>
        <v>447.0743405275789</v>
      </c>
      <c r="H83" s="3">
        <f t="shared" si="36"/>
        <v>221.47275588995251</v>
      </c>
      <c r="I83">
        <f t="shared" si="1"/>
        <v>2.214727558899525E-4</v>
      </c>
      <c r="J83" s="4">
        <f t="shared" si="37"/>
        <v>1102.4623312858198</v>
      </c>
      <c r="K83" s="40">
        <f t="shared" si="38"/>
        <v>4.977868843758019</v>
      </c>
      <c r="L83" s="40">
        <f t="shared" si="4"/>
        <v>1.022131156241981</v>
      </c>
      <c r="M83" s="10">
        <f t="shared" si="39"/>
        <v>4.8519119473712538</v>
      </c>
      <c r="N83" s="10">
        <f t="shared" si="5"/>
        <v>3.8408799049960156</v>
      </c>
      <c r="O83" s="10">
        <f t="shared" si="6"/>
        <v>0.68820000000000003</v>
      </c>
      <c r="P83" s="10">
        <f t="shared" si="40"/>
        <v>11.388748256774647</v>
      </c>
      <c r="Q83" s="45">
        <f t="shared" si="41"/>
        <v>0.16604052713707076</v>
      </c>
      <c r="R83" s="4">
        <f t="shared" si="42"/>
        <v>1482231.3137666278</v>
      </c>
      <c r="S83">
        <f t="shared" si="9"/>
        <v>1.4822313137666278E-3</v>
      </c>
      <c r="T83" s="44">
        <f t="shared" si="10"/>
        <v>5.9416508071537602E-4</v>
      </c>
      <c r="U83" s="45">
        <f t="shared" si="43"/>
        <v>2.6458570066391189</v>
      </c>
      <c r="V83" s="45">
        <f t="shared" si="44"/>
        <v>1.2020459152934388</v>
      </c>
      <c r="W83" s="45">
        <f t="shared" si="45"/>
        <v>1.183620895744248</v>
      </c>
      <c r="X83" s="45">
        <f t="shared" si="46"/>
        <v>1.8425019549190846E-2</v>
      </c>
      <c r="Y83" s="45">
        <f t="shared" si="29"/>
        <v>8.8875524451804255E-3</v>
      </c>
      <c r="Z83" s="10">
        <f t="shared" si="47"/>
        <v>14.958052456532439</v>
      </c>
      <c r="AA83">
        <f t="shared" si="14"/>
        <v>4863490.513361753</v>
      </c>
      <c r="AB83" s="10">
        <f t="shared" si="15"/>
        <v>4.8634905133617528</v>
      </c>
      <c r="AC83" s="10">
        <f t="shared" si="16"/>
        <v>4.7624905133617528</v>
      </c>
      <c r="AD83" s="3">
        <f t="shared" si="17"/>
        <v>690.71653565797726</v>
      </c>
      <c r="AI83" s="100">
        <f t="shared" si="28"/>
        <v>1.183620895744248</v>
      </c>
    </row>
    <row r="84" spans="2:35">
      <c r="B84" s="39">
        <f t="shared" si="30"/>
        <v>56</v>
      </c>
      <c r="C84" s="45">
        <f t="shared" si="31"/>
        <v>1.645083932853636</v>
      </c>
      <c r="D84" s="10">
        <f t="shared" si="32"/>
        <v>22.854916067146405</v>
      </c>
      <c r="E84" s="40">
        <f t="shared" si="33"/>
        <v>23.29016786570719</v>
      </c>
      <c r="F84" s="40">
        <f t="shared" si="34"/>
        <v>69</v>
      </c>
      <c r="G84" s="3">
        <f t="shared" si="35"/>
        <v>446.83932853717124</v>
      </c>
      <c r="H84" s="3">
        <f t="shared" si="36"/>
        <v>221.47275588995251</v>
      </c>
      <c r="I84">
        <f t="shared" si="1"/>
        <v>2.214727558899525E-4</v>
      </c>
      <c r="J84" s="4">
        <f t="shared" si="37"/>
        <v>1104.6090462932971</v>
      </c>
      <c r="K84" s="40">
        <f t="shared" si="38"/>
        <v>4.987561751577994</v>
      </c>
      <c r="L84" s="40">
        <f t="shared" si="4"/>
        <v>1.012438248422006</v>
      </c>
      <c r="M84" s="10">
        <f t="shared" si="39"/>
        <v>4.8634905133617528</v>
      </c>
      <c r="N84" s="10">
        <f t="shared" si="5"/>
        <v>3.8408799049960156</v>
      </c>
      <c r="O84" s="10">
        <f t="shared" si="6"/>
        <v>0.68820000000000003</v>
      </c>
      <c r="P84" s="10">
        <f t="shared" si="40"/>
        <v>11.407445220697726</v>
      </c>
      <c r="Q84" s="45">
        <f t="shared" si="41"/>
        <v>0.16861573115800763</v>
      </c>
      <c r="R84" s="4">
        <f t="shared" si="42"/>
        <v>1480492.9177717117</v>
      </c>
      <c r="S84">
        <f t="shared" si="9"/>
        <v>1.4804929177717116E-3</v>
      </c>
      <c r="T84" s="44">
        <f t="shared" si="10"/>
        <v>5.9590347671029218E-4</v>
      </c>
      <c r="U84" s="45">
        <f t="shared" si="43"/>
        <v>2.6427538828683943</v>
      </c>
      <c r="V84" s="45">
        <f t="shared" si="44"/>
        <v>1.2050011360248334</v>
      </c>
      <c r="W84" s="45">
        <f t="shared" si="45"/>
        <v>1.1865055277477292</v>
      </c>
      <c r="X84" s="45">
        <f t="shared" si="46"/>
        <v>1.849560827710417E-2</v>
      </c>
      <c r="Y84" s="45">
        <f t="shared" si="29"/>
        <v>8.9351824099852973E-3</v>
      </c>
      <c r="Z84" s="10">
        <f t="shared" si="47"/>
        <v>14.994345156890697</v>
      </c>
      <c r="AA84">
        <f t="shared" si="14"/>
        <v>4875045.7369888108</v>
      </c>
      <c r="AB84" s="10">
        <f t="shared" si="15"/>
        <v>4.8750457369888105</v>
      </c>
      <c r="AC84" s="10">
        <f t="shared" si="16"/>
        <v>4.7740457369888105</v>
      </c>
      <c r="AD84" s="3">
        <f t="shared" si="17"/>
        <v>692.39242015791308</v>
      </c>
      <c r="AI84" s="100">
        <f t="shared" si="28"/>
        <v>1.1865055277477292</v>
      </c>
    </row>
    <row r="85" spans="2:35">
      <c r="B85" s="39">
        <f t="shared" si="30"/>
        <v>57</v>
      </c>
      <c r="C85" s="45">
        <f t="shared" si="31"/>
        <v>1.6744604316545937</v>
      </c>
      <c r="D85" s="10">
        <f t="shared" si="32"/>
        <v>22.825539568345448</v>
      </c>
      <c r="E85" s="40">
        <f t="shared" si="33"/>
        <v>23.348920863309104</v>
      </c>
      <c r="F85" s="40">
        <f t="shared" si="34"/>
        <v>69</v>
      </c>
      <c r="G85" s="3">
        <f t="shared" si="35"/>
        <v>446.60431654676358</v>
      </c>
      <c r="H85" s="3">
        <f t="shared" si="36"/>
        <v>221.47275588995251</v>
      </c>
      <c r="I85">
        <f t="shared" si="1"/>
        <v>2.214727558899525E-4</v>
      </c>
      <c r="J85" s="4">
        <f t="shared" si="37"/>
        <v>1106.7611835557491</v>
      </c>
      <c r="K85" s="40">
        <f t="shared" si="38"/>
        <v>4.9972791421157332</v>
      </c>
      <c r="L85" s="40">
        <f t="shared" si="4"/>
        <v>1.0027208578842668</v>
      </c>
      <c r="M85" s="10">
        <f t="shared" si="39"/>
        <v>4.8750457369888105</v>
      </c>
      <c r="N85" s="10">
        <f t="shared" si="5"/>
        <v>3.8408799049960156</v>
      </c>
      <c r="O85" s="10">
        <f t="shared" si="6"/>
        <v>0.68820000000000003</v>
      </c>
      <c r="P85" s="10">
        <f t="shared" si="40"/>
        <v>11.426090659751106</v>
      </c>
      <c r="Q85" s="45">
        <f t="shared" si="41"/>
        <v>0.17118673288342171</v>
      </c>
      <c r="R85" s="4">
        <f t="shared" si="42"/>
        <v>1478753.1091818518</v>
      </c>
      <c r="S85">
        <f t="shared" si="9"/>
        <v>1.4787531091818519E-3</v>
      </c>
      <c r="T85" s="44">
        <f t="shared" si="10"/>
        <v>5.9764328530015191E-4</v>
      </c>
      <c r="U85" s="45">
        <f t="shared" si="43"/>
        <v>2.6396482375450647</v>
      </c>
      <c r="V85" s="45">
        <f t="shared" si="44"/>
        <v>1.2079514737896131</v>
      </c>
      <c r="W85" s="45">
        <f t="shared" si="45"/>
        <v>1.189384344339468</v>
      </c>
      <c r="X85" s="45">
        <f t="shared" si="46"/>
        <v>1.8567129450145048E-2</v>
      </c>
      <c r="Y85" s="45">
        <f t="shared" si="29"/>
        <v>8.9829185318376064E-3</v>
      </c>
      <c r="Z85" s="10">
        <f t="shared" si="47"/>
        <v>15.030568823886563</v>
      </c>
      <c r="AA85">
        <f t="shared" si="14"/>
        <v>4886578.9811011916</v>
      </c>
      <c r="AB85" s="10">
        <f t="shared" si="15"/>
        <v>4.8865789811011915</v>
      </c>
      <c r="AC85" s="10">
        <f t="shared" si="16"/>
        <v>4.7855789811011915</v>
      </c>
      <c r="AD85" s="3">
        <f t="shared" si="17"/>
        <v>694.06511691097774</v>
      </c>
      <c r="AI85" s="100">
        <f t="shared" si="28"/>
        <v>1.189384344339468</v>
      </c>
    </row>
    <row r="86" spans="2:35">
      <c r="B86" s="39">
        <f t="shared" si="30"/>
        <v>58</v>
      </c>
      <c r="C86" s="45">
        <f t="shared" si="31"/>
        <v>1.7038369304555514</v>
      </c>
      <c r="D86" s="10">
        <f t="shared" si="32"/>
        <v>22.796163069544491</v>
      </c>
      <c r="E86" s="40">
        <f t="shared" si="33"/>
        <v>23.407673860911018</v>
      </c>
      <c r="F86" s="40">
        <f t="shared" si="34"/>
        <v>69</v>
      </c>
      <c r="G86" s="3">
        <f t="shared" si="35"/>
        <v>446.36930455635593</v>
      </c>
      <c r="H86" s="3">
        <f t="shared" si="36"/>
        <v>221.47275588995251</v>
      </c>
      <c r="I86">
        <f t="shared" si="1"/>
        <v>2.214727558899525E-4</v>
      </c>
      <c r="J86" s="4">
        <f t="shared" si="37"/>
        <v>1108.9187430731745</v>
      </c>
      <c r="K86" s="40">
        <f t="shared" si="38"/>
        <v>5.0070210153712296</v>
      </c>
      <c r="L86" s="40">
        <f t="shared" si="4"/>
        <v>0.99297898462877043</v>
      </c>
      <c r="M86" s="10">
        <f t="shared" si="39"/>
        <v>4.8865789811011915</v>
      </c>
      <c r="N86" s="10">
        <f t="shared" si="5"/>
        <v>3.8408799049960156</v>
      </c>
      <c r="O86" s="10">
        <f t="shared" si="6"/>
        <v>0.68820000000000003</v>
      </c>
      <c r="P86" s="10">
        <f t="shared" si="40"/>
        <v>11.444686897145131</v>
      </c>
      <c r="Q86" s="45">
        <f t="shared" si="41"/>
        <v>0.17375355704077683</v>
      </c>
      <c r="R86" s="4">
        <f t="shared" si="42"/>
        <v>1477011.8918199337</v>
      </c>
      <c r="S86">
        <f t="shared" si="9"/>
        <v>1.4770118918199337E-3</v>
      </c>
      <c r="T86" s="44">
        <f t="shared" si="10"/>
        <v>5.9938450266207007E-4</v>
      </c>
      <c r="U86" s="45">
        <f t="shared" si="43"/>
        <v>2.6365400774931724</v>
      </c>
      <c r="V86" s="45">
        <f t="shared" si="44"/>
        <v>1.210897148129916</v>
      </c>
      <c r="W86" s="45">
        <f t="shared" si="45"/>
        <v>1.1922576850534938</v>
      </c>
      <c r="X86" s="45">
        <f t="shared" si="46"/>
        <v>1.8639463076422169E-2</v>
      </c>
      <c r="Y86" s="45">
        <f t="shared" si="29"/>
        <v>9.0307627559422961E-3</v>
      </c>
      <c r="Z86" s="10">
        <f t="shared" si="47"/>
        <v>15.066727143984558</v>
      </c>
      <c r="AA86">
        <f t="shared" si="14"/>
        <v>4898091.4194313958</v>
      </c>
      <c r="AB86" s="10">
        <f t="shared" si="15"/>
        <v>4.8980914194313963</v>
      </c>
      <c r="AC86" s="10">
        <f t="shared" si="16"/>
        <v>4.7970914194313963</v>
      </c>
      <c r="AD86" s="3">
        <f t="shared" si="17"/>
        <v>695.73479614668543</v>
      </c>
      <c r="AI86" s="100">
        <f t="shared" si="28"/>
        <v>1.1922576850534938</v>
      </c>
    </row>
    <row r="87" spans="2:35">
      <c r="B87" s="39">
        <f t="shared" si="30"/>
        <v>59</v>
      </c>
      <c r="C87" s="45">
        <f t="shared" si="31"/>
        <v>1.7332134292565091</v>
      </c>
      <c r="D87" s="10">
        <f t="shared" si="32"/>
        <v>22.766786570743534</v>
      </c>
      <c r="E87" s="40">
        <f t="shared" si="33"/>
        <v>23.466426858512932</v>
      </c>
      <c r="F87" s="40">
        <f t="shared" si="34"/>
        <v>69</v>
      </c>
      <c r="G87" s="3">
        <f t="shared" si="35"/>
        <v>446.13429256594827</v>
      </c>
      <c r="H87" s="3">
        <f t="shared" si="36"/>
        <v>221.47275588995251</v>
      </c>
      <c r="I87">
        <f t="shared" si="1"/>
        <v>2.214727558899525E-4</v>
      </c>
      <c r="J87" s="4">
        <f t="shared" si="37"/>
        <v>1111.0817248455737</v>
      </c>
      <c r="K87" s="40">
        <f t="shared" si="38"/>
        <v>5.0167873713444857</v>
      </c>
      <c r="L87" s="40">
        <f t="shared" si="4"/>
        <v>0.98321262865551429</v>
      </c>
      <c r="M87" s="10">
        <f t="shared" si="39"/>
        <v>4.8980914194313963</v>
      </c>
      <c r="N87" s="10">
        <f t="shared" si="5"/>
        <v>3.8408799049960156</v>
      </c>
      <c r="O87" s="10">
        <f t="shared" si="6"/>
        <v>0.68820000000000003</v>
      </c>
      <c r="P87" s="10">
        <f t="shared" si="40"/>
        <v>11.463235944130425</v>
      </c>
      <c r="Q87" s="45">
        <f t="shared" si="41"/>
        <v>0.176316227733776</v>
      </c>
      <c r="R87" s="4">
        <f t="shared" si="42"/>
        <v>1475269.2695088419</v>
      </c>
      <c r="S87">
        <f t="shared" si="9"/>
        <v>1.4752692695088419E-3</v>
      </c>
      <c r="T87" s="44">
        <f t="shared" si="10"/>
        <v>6.0112712497316194E-4</v>
      </c>
      <c r="U87" s="45">
        <f t="shared" si="43"/>
        <v>2.6334294095367583</v>
      </c>
      <c r="V87" s="45">
        <f t="shared" si="44"/>
        <v>1.2138383464219558</v>
      </c>
      <c r="W87" s="45">
        <f t="shared" si="45"/>
        <v>1.1951258423082576</v>
      </c>
      <c r="X87" s="45">
        <f t="shared" si="46"/>
        <v>1.8712504113698181E-2</v>
      </c>
      <c r="Y87" s="45">
        <f t="shared" si="29"/>
        <v>9.0787167418270968E-3</v>
      </c>
      <c r="Z87" s="10">
        <f t="shared" si="47"/>
        <v>15.102823287557399</v>
      </c>
      <c r="AA87">
        <f t="shared" si="14"/>
        <v>4909584.0613935869</v>
      </c>
      <c r="AB87" s="10">
        <f t="shared" si="15"/>
        <v>4.9095840613935868</v>
      </c>
      <c r="AC87" s="10">
        <f t="shared" si="16"/>
        <v>4.8085840613935869</v>
      </c>
      <c r="AD87" s="3">
        <f t="shared" si="17"/>
        <v>697.4016042630293</v>
      </c>
      <c r="AI87" s="100">
        <f t="shared" si="28"/>
        <v>1.1951258423082576</v>
      </c>
    </row>
    <row r="88" spans="2:35">
      <c r="B88" s="39">
        <f t="shared" si="30"/>
        <v>60</v>
      </c>
      <c r="C88" s="45">
        <f t="shared" si="31"/>
        <v>1.7625899280574668</v>
      </c>
      <c r="D88" s="10">
        <f t="shared" si="32"/>
        <v>22.737410071942577</v>
      </c>
      <c r="E88" s="40">
        <f t="shared" si="33"/>
        <v>23.525179856114846</v>
      </c>
      <c r="F88" s="40">
        <f t="shared" si="34"/>
        <v>69</v>
      </c>
      <c r="G88" s="3">
        <f t="shared" si="35"/>
        <v>445.89928057554062</v>
      </c>
      <c r="H88" s="3">
        <f t="shared" si="36"/>
        <v>221.47275588995251</v>
      </c>
      <c r="I88">
        <f t="shared" si="1"/>
        <v>2.214727558899525E-4</v>
      </c>
      <c r="J88" s="4">
        <f t="shared" si="37"/>
        <v>1113.2501288729468</v>
      </c>
      <c r="K88" s="40">
        <f t="shared" si="38"/>
        <v>5.0265782100354999</v>
      </c>
      <c r="L88" s="40">
        <f t="shared" si="4"/>
        <v>0.97342178996450013</v>
      </c>
      <c r="M88" s="10">
        <f t="shared" si="39"/>
        <v>4.9095840613935868</v>
      </c>
      <c r="N88" s="10">
        <f t="shared" si="5"/>
        <v>3.8408799049960156</v>
      </c>
      <c r="O88" s="10">
        <f t="shared" si="6"/>
        <v>0.68820000000000003</v>
      </c>
      <c r="P88" s="10">
        <f t="shared" si="40"/>
        <v>11.481739541109798</v>
      </c>
      <c r="Q88" s="45">
        <f t="shared" si="41"/>
        <v>0.17887476851026521</v>
      </c>
      <c r="R88" s="4">
        <f t="shared" si="42"/>
        <v>1473525.2460714614</v>
      </c>
      <c r="S88">
        <f t="shared" si="9"/>
        <v>1.4735252460714614E-3</v>
      </c>
      <c r="T88" s="44">
        <f t="shared" si="10"/>
        <v>6.0287114841054237E-4</v>
      </c>
      <c r="U88" s="45">
        <f t="shared" si="43"/>
        <v>2.6303162404998619</v>
      </c>
      <c r="V88" s="45">
        <f t="shared" si="44"/>
        <v>1.2167752280924171</v>
      </c>
      <c r="W88" s="45">
        <f t="shared" si="45"/>
        <v>1.1979890675846772</v>
      </c>
      <c r="X88" s="45">
        <f t="shared" si="46"/>
        <v>1.8786160507739957E-2</v>
      </c>
      <c r="Y88" s="45">
        <f t="shared" si="29"/>
        <v>9.1267818995198202E-3</v>
      </c>
      <c r="Z88" s="10">
        <f t="shared" si="47"/>
        <v>15.138859976269218</v>
      </c>
      <c r="AA88">
        <f t="shared" si="14"/>
        <v>4921057.773537714</v>
      </c>
      <c r="AB88" s="10">
        <f t="shared" si="15"/>
        <v>4.9210577735377141</v>
      </c>
      <c r="AC88" s="10">
        <f t="shared" si="16"/>
        <v>4.8200577735377141</v>
      </c>
      <c r="AD88" s="3">
        <f t="shared" si="17"/>
        <v>699.06566693802961</v>
      </c>
      <c r="AI88" s="100">
        <f t="shared" si="28"/>
        <v>1.1979890675846772</v>
      </c>
    </row>
    <row r="89" spans="2:35">
      <c r="B89" s="39">
        <f t="shared" si="30"/>
        <v>61</v>
      </c>
      <c r="C89" s="45">
        <f t="shared" si="31"/>
        <v>1.7919664268584246</v>
      </c>
      <c r="D89" s="10">
        <f t="shared" si="32"/>
        <v>22.70803357314162</v>
      </c>
      <c r="E89" s="40">
        <f t="shared" si="33"/>
        <v>23.58393285371676</v>
      </c>
      <c r="F89" s="40">
        <f t="shared" si="34"/>
        <v>69</v>
      </c>
      <c r="G89" s="3">
        <f t="shared" si="35"/>
        <v>445.66426858513296</v>
      </c>
      <c r="H89" s="3">
        <f t="shared" si="36"/>
        <v>221.47275588995251</v>
      </c>
      <c r="I89">
        <f t="shared" si="1"/>
        <v>2.214727558899525E-4</v>
      </c>
      <c r="J89" s="4">
        <f t="shared" si="37"/>
        <v>1115.4239551552942</v>
      </c>
      <c r="K89" s="40">
        <f t="shared" si="38"/>
        <v>5.0363935314442765</v>
      </c>
      <c r="L89" s="40">
        <f t="shared" si="4"/>
        <v>0.96360646855572352</v>
      </c>
      <c r="M89" s="10">
        <f t="shared" si="39"/>
        <v>4.9210577735377141</v>
      </c>
      <c r="N89" s="10">
        <f t="shared" si="5"/>
        <v>3.8408799049960156</v>
      </c>
      <c r="O89" s="10">
        <f t="shared" si="6"/>
        <v>0.68820000000000003</v>
      </c>
      <c r="P89" s="10">
        <f t="shared" si="40"/>
        <v>11.500199193179535</v>
      </c>
      <c r="Q89" s="45">
        <f t="shared" si="41"/>
        <v>0.18142920242114741</v>
      </c>
      <c r="R89" s="4">
        <f t="shared" si="42"/>
        <v>1471779.8253306765</v>
      </c>
      <c r="S89">
        <f t="shared" si="9"/>
        <v>1.4717798253306765E-3</v>
      </c>
      <c r="T89" s="44">
        <f t="shared" si="10"/>
        <v>6.0461656915132729E-4</v>
      </c>
      <c r="U89" s="45">
        <f t="shared" si="43"/>
        <v>2.6272005772065241</v>
      </c>
      <c r="V89" s="45">
        <f t="shared" si="44"/>
        <v>1.2197079282672714</v>
      </c>
      <c r="W89" s="45">
        <f t="shared" si="45"/>
        <v>1.2008475767711202</v>
      </c>
      <c r="X89" s="45">
        <f t="shared" si="46"/>
        <v>1.8860351496151173E-2</v>
      </c>
      <c r="Y89" s="45">
        <f t="shared" si="29"/>
        <v>9.1749594209527465E-3</v>
      </c>
      <c r="Z89" s="10">
        <f t="shared" si="47"/>
        <v>15.174839541415841</v>
      </c>
      <c r="AA89">
        <f t="shared" si="14"/>
        <v>4932513.2981244624</v>
      </c>
      <c r="AB89" s="10">
        <f t="shared" si="15"/>
        <v>4.9325132981244622</v>
      </c>
      <c r="AC89" s="10">
        <f t="shared" si="16"/>
        <v>4.8315132981244622</v>
      </c>
      <c r="AD89" s="3">
        <f t="shared" si="17"/>
        <v>700.72709182370738</v>
      </c>
      <c r="AI89" s="100">
        <f t="shared" si="28"/>
        <v>1.2008475767711202</v>
      </c>
    </row>
    <row r="90" spans="2:35">
      <c r="B90" s="39">
        <f t="shared" si="30"/>
        <v>62</v>
      </c>
      <c r="C90" s="45">
        <f t="shared" si="31"/>
        <v>1.8213429256593823</v>
      </c>
      <c r="D90" s="10">
        <f t="shared" si="32"/>
        <v>22.678657074340663</v>
      </c>
      <c r="E90" s="40">
        <f t="shared" si="33"/>
        <v>23.642685851318674</v>
      </c>
      <c r="F90" s="40">
        <f t="shared" si="34"/>
        <v>69</v>
      </c>
      <c r="G90" s="3">
        <f t="shared" si="35"/>
        <v>445.4292565947253</v>
      </c>
      <c r="H90" s="3">
        <f t="shared" si="36"/>
        <v>221.47275588995251</v>
      </c>
      <c r="I90">
        <f t="shared" si="1"/>
        <v>2.214727558899525E-4</v>
      </c>
      <c r="J90" s="4">
        <f t="shared" si="37"/>
        <v>1117.6032036926154</v>
      </c>
      <c r="K90" s="40">
        <f t="shared" si="38"/>
        <v>5.0462333355708129</v>
      </c>
      <c r="L90" s="40">
        <f t="shared" si="4"/>
        <v>0.95376666442918712</v>
      </c>
      <c r="M90" s="10">
        <f t="shared" si="39"/>
        <v>4.9325132981244622</v>
      </c>
      <c r="N90" s="10">
        <f t="shared" si="5"/>
        <v>3.8408799049960156</v>
      </c>
      <c r="O90" s="10">
        <f t="shared" si="6"/>
        <v>0.68820000000000003</v>
      </c>
      <c r="P90" s="10">
        <f t="shared" si="40"/>
        <v>11.518616200877782</v>
      </c>
      <c r="Q90" s="45">
        <f t="shared" si="41"/>
        <v>0.18397955207154371</v>
      </c>
      <c r="R90" s="4">
        <f t="shared" si="42"/>
        <v>1470033.0111093726</v>
      </c>
      <c r="S90">
        <f t="shared" si="9"/>
        <v>1.4700330111093727E-3</v>
      </c>
      <c r="T90" s="44">
        <f t="shared" si="10"/>
        <v>6.0636338337263112E-4</v>
      </c>
      <c r="U90" s="45">
        <f t="shared" si="43"/>
        <v>2.6240824264807854</v>
      </c>
      <c r="V90" s="45">
        <f t="shared" si="44"/>
        <v>1.222636560933597</v>
      </c>
      <c r="W90" s="45">
        <f t="shared" si="45"/>
        <v>1.2037015547910852</v>
      </c>
      <c r="X90" s="45">
        <f t="shared" si="46"/>
        <v>1.8935006142511757E-2</v>
      </c>
      <c r="Y90" s="45">
        <f t="shared" si="29"/>
        <v>9.2232503072485535E-3</v>
      </c>
      <c r="Z90" s="10">
        <f t="shared" si="47"/>
        <v>15.210763974480546</v>
      </c>
      <c r="AA90">
        <f t="shared" si="14"/>
        <v>4943951.2692216849</v>
      </c>
      <c r="AB90" s="10">
        <f t="shared" si="15"/>
        <v>4.9439512692216852</v>
      </c>
      <c r="AC90" s="10">
        <f t="shared" si="16"/>
        <v>4.8429512692216852</v>
      </c>
      <c r="AD90" s="3">
        <f t="shared" si="17"/>
        <v>702.38597088059248</v>
      </c>
      <c r="AI90" s="100">
        <f t="shared" si="28"/>
        <v>1.2037015547910852</v>
      </c>
    </row>
    <row r="91" spans="2:35">
      <c r="B91" s="39">
        <f t="shared" si="30"/>
        <v>63</v>
      </c>
      <c r="C91" s="45">
        <f t="shared" si="31"/>
        <v>1.85071942446034</v>
      </c>
      <c r="D91" s="10">
        <f t="shared" si="32"/>
        <v>22.649280575539706</v>
      </c>
      <c r="E91" s="40">
        <f t="shared" si="33"/>
        <v>23.701438848920588</v>
      </c>
      <c r="F91" s="40">
        <f t="shared" si="34"/>
        <v>69</v>
      </c>
      <c r="G91" s="3">
        <f t="shared" si="35"/>
        <v>445.19424460431765</v>
      </c>
      <c r="H91" s="3">
        <f t="shared" si="36"/>
        <v>221.47275588995251</v>
      </c>
      <c r="I91">
        <f t="shared" si="1"/>
        <v>2.214727558899525E-4</v>
      </c>
      <c r="J91" s="4">
        <f t="shared" si="37"/>
        <v>1119.7878744849099</v>
      </c>
      <c r="K91" s="40">
        <f t="shared" si="38"/>
        <v>5.0560976224151055</v>
      </c>
      <c r="L91" s="40">
        <f t="shared" si="4"/>
        <v>0.94390237758489448</v>
      </c>
      <c r="M91" s="10">
        <f t="shared" si="39"/>
        <v>4.9439512692216852</v>
      </c>
      <c r="N91" s="10">
        <f t="shared" si="5"/>
        <v>3.8408799049960156</v>
      </c>
      <c r="O91" s="10">
        <f t="shared" si="6"/>
        <v>0.68820000000000003</v>
      </c>
      <c r="P91" s="10">
        <f t="shared" si="40"/>
        <v>11.536991686810051</v>
      </c>
      <c r="Q91" s="45">
        <f t="shared" si="41"/>
        <v>0.18652583966526221</v>
      </c>
      <c r="R91" s="4">
        <f t="shared" si="42"/>
        <v>1468284.8072304341</v>
      </c>
      <c r="S91">
        <f t="shared" si="9"/>
        <v>1.4682848072304342E-3</v>
      </c>
      <c r="T91" s="44">
        <f t="shared" si="10"/>
        <v>6.0811158725156958E-4</v>
      </c>
      <c r="U91" s="45">
        <f t="shared" si="43"/>
        <v>2.6209617951466866</v>
      </c>
      <c r="V91" s="45">
        <f t="shared" si="44"/>
        <v>1.2255612216770615</v>
      </c>
      <c r="W91" s="45">
        <f t="shared" si="45"/>
        <v>1.2065511596133938</v>
      </c>
      <c r="X91" s="45">
        <f t="shared" si="46"/>
        <v>1.9010062063667732E-2</v>
      </c>
      <c r="Y91" s="45">
        <f t="shared" si="29"/>
        <v>9.2716553924370899E-3</v>
      </c>
      <c r="Z91" s="10">
        <f t="shared" si="47"/>
        <v>15.246634970962164</v>
      </c>
      <c r="AA91">
        <f t="shared" si="14"/>
        <v>4955372.226658823</v>
      </c>
      <c r="AB91" s="10">
        <f t="shared" si="15"/>
        <v>4.9553722266588229</v>
      </c>
      <c r="AC91" s="10">
        <f t="shared" si="16"/>
        <v>4.854372226658823</v>
      </c>
      <c r="AD91" s="3">
        <f t="shared" si="17"/>
        <v>704.04238240156974</v>
      </c>
      <c r="AI91" s="100">
        <f t="shared" si="28"/>
        <v>1.2065511596133938</v>
      </c>
    </row>
    <row r="92" spans="2:35">
      <c r="B92" s="39">
        <f t="shared" si="30"/>
        <v>64</v>
      </c>
      <c r="C92" s="45">
        <f t="shared" si="31"/>
        <v>1.8800959232612977</v>
      </c>
      <c r="D92" s="10">
        <f t="shared" si="32"/>
        <v>22.619904076738749</v>
      </c>
      <c r="E92" s="40">
        <f t="shared" si="33"/>
        <v>23.760191846522503</v>
      </c>
      <c r="F92" s="40">
        <f t="shared" si="34"/>
        <v>69</v>
      </c>
      <c r="G92" s="3">
        <f t="shared" si="35"/>
        <v>444.95923261390999</v>
      </c>
      <c r="H92" s="3">
        <f t="shared" si="36"/>
        <v>221.47275588995251</v>
      </c>
      <c r="I92">
        <f t="shared" ref="I92:I155" si="48">H92/1000^2</f>
        <v>2.214727558899525E-4</v>
      </c>
      <c r="J92" s="4">
        <f t="shared" si="37"/>
        <v>1121.9779675321788</v>
      </c>
      <c r="K92" s="40">
        <f t="shared" si="38"/>
        <v>5.0659863919771597</v>
      </c>
      <c r="L92" s="40">
        <f t="shared" ref="L92:L155" si="49">IF((gstar-K92)&lt;0,0,gstar-K92)</f>
        <v>0.93401360802284028</v>
      </c>
      <c r="M92" s="10">
        <f t="shared" si="39"/>
        <v>4.9553722266588229</v>
      </c>
      <c r="N92" s="10">
        <f t="shared" ref="N92:N155" si="50">IF(fueltype=1,VLOOKUP($M92,kndxbn_,4),IF(fueltype=2,VLOOKUP($M92,knsobn_,4),IF(fueltype=3,VLOOKUP($M92,knsbcobn_,4),IF(fueltype=4,VLOOKUP($M92,knsubn_,4),IF(fueltype=5,am_1,IF(fueltype=6,am_0,IF(fueltype=7,am_3,am_4)))))))</f>
        <v>3.8408799049960156</v>
      </c>
      <c r="O92" s="10">
        <f t="shared" ref="O92:O155" si="51">IF(fueltype=1,VLOOKUP($M92,kndxbn_,5),IF(fueltype=2,VLOOKUP($M92,knsobn_,5),IF(fueltype=3,VLOOKUP($M92,knsbcobn_,5),IF(fueltype=4,VLOOKUP($M92,knsubn_,5),IF(fueltype=5,nm_1,IF(fueltype=6,an_0,IF(fueltype=7,nm_3,nm_4)))))))</f>
        <v>0.68820000000000003</v>
      </c>
      <c r="P92" s="10">
        <f t="shared" si="40"/>
        <v>11.555326618714492</v>
      </c>
      <c r="Q92" s="45">
        <f t="shared" si="41"/>
        <v>0.18906808704348699</v>
      </c>
      <c r="R92" s="4">
        <f t="shared" si="42"/>
        <v>1466535.2175167461</v>
      </c>
      <c r="S92">
        <f t="shared" ref="S92:S155" si="52">R92/1000^3</f>
        <v>1.4665352175167461E-3</v>
      </c>
      <c r="T92" s="44">
        <f t="shared" ref="T92:T155" si="53">(vc/1000^3-S92)</f>
        <v>6.0986117696525772E-4</v>
      </c>
      <c r="U92" s="45">
        <f t="shared" si="43"/>
        <v>2.6178386900282677</v>
      </c>
      <c r="V92" s="45">
        <f t="shared" si="44"/>
        <v>1.228481990057029</v>
      </c>
      <c r="W92" s="45">
        <f t="shared" si="45"/>
        <v>1.2093965257287309</v>
      </c>
      <c r="X92" s="45">
        <f t="shared" si="46"/>
        <v>1.9085464328298052E-2</v>
      </c>
      <c r="Y92" s="45">
        <f t="shared" si="29"/>
        <v>9.3201753640879091E-3</v>
      </c>
      <c r="Z92" s="10">
        <f t="shared" si="47"/>
        <v>15.282453968403463</v>
      </c>
      <c r="AA92">
        <f t="shared" ref="AA92:AA155" si="54">Z92*rat*to+patm*1000000</f>
        <v>4966776.6281347526</v>
      </c>
      <c r="AB92" s="10">
        <f t="shared" ref="AB92:AB155" si="55">AA92/1000000</f>
        <v>4.9667766281347525</v>
      </c>
      <c r="AC92" s="10">
        <f t="shared" ref="AC92:AC155" si="56">AB92-patm</f>
        <v>4.8657766281347525</v>
      </c>
      <c r="AD92" s="3">
        <f t="shared" ref="AD92:AD155" si="57">AC92*1000000/6895</f>
        <v>705.6963927679119</v>
      </c>
      <c r="AI92" s="100">
        <f t="shared" si="28"/>
        <v>1.2093965257287309</v>
      </c>
    </row>
    <row r="93" spans="2:35">
      <c r="B93" s="39">
        <f t="shared" si="30"/>
        <v>65</v>
      </c>
      <c r="C93" s="45">
        <f t="shared" si="31"/>
        <v>1.9094724220622554</v>
      </c>
      <c r="D93" s="10">
        <f t="shared" si="32"/>
        <v>22.590527577937792</v>
      </c>
      <c r="E93" s="40">
        <f t="shared" si="33"/>
        <v>23.818944844124417</v>
      </c>
      <c r="F93" s="40">
        <f t="shared" si="34"/>
        <v>69</v>
      </c>
      <c r="G93" s="3">
        <f t="shared" si="35"/>
        <v>444.72422062350233</v>
      </c>
      <c r="H93" s="3">
        <f t="shared" si="36"/>
        <v>221.47275588995251</v>
      </c>
      <c r="I93">
        <f t="shared" si="48"/>
        <v>2.214727558899525E-4</v>
      </c>
      <c r="J93" s="4">
        <f t="shared" si="37"/>
        <v>1124.173482834422</v>
      </c>
      <c r="K93" s="40">
        <f t="shared" si="38"/>
        <v>5.0758996442569755</v>
      </c>
      <c r="L93" s="40">
        <f t="shared" si="49"/>
        <v>0.92410035574302452</v>
      </c>
      <c r="M93" s="10">
        <f t="shared" si="39"/>
        <v>4.9667766281347525</v>
      </c>
      <c r="N93" s="10">
        <f t="shared" si="50"/>
        <v>3.8408799049960156</v>
      </c>
      <c r="O93" s="10">
        <f t="shared" si="51"/>
        <v>0.68820000000000003</v>
      </c>
      <c r="P93" s="10">
        <f t="shared" si="40"/>
        <v>11.57362182946016</v>
      </c>
      <c r="Q93" s="45">
        <f t="shared" si="41"/>
        <v>0.19160631571847109</v>
      </c>
      <c r="R93" s="4">
        <f t="shared" si="42"/>
        <v>1464784.2457911929</v>
      </c>
      <c r="S93">
        <f t="shared" si="52"/>
        <v>1.464784245791193E-3</v>
      </c>
      <c r="T93" s="44">
        <f t="shared" si="53"/>
        <v>6.1161214869081084E-4</v>
      </c>
      <c r="U93" s="45">
        <f t="shared" si="43"/>
        <v>2.6147131179495688</v>
      </c>
      <c r="V93" s="45">
        <f t="shared" si="44"/>
        <v>1.231398931665793</v>
      </c>
      <c r="W93" s="45">
        <f t="shared" si="45"/>
        <v>1.2122377671661433</v>
      </c>
      <c r="X93" s="45">
        <f t="shared" si="46"/>
        <v>1.9161164499649663E-2</v>
      </c>
      <c r="Y93" s="45">
        <f t="shared" si="29"/>
        <v>9.3688107812670077E-3</v>
      </c>
      <c r="Z93" s="10">
        <f t="shared" si="47"/>
        <v>15.318222179401534</v>
      </c>
      <c r="AA93">
        <f t="shared" si="54"/>
        <v>4978164.8597279536</v>
      </c>
      <c r="AB93" s="10">
        <f t="shared" si="55"/>
        <v>4.9781648597279533</v>
      </c>
      <c r="AC93" s="10">
        <f t="shared" si="56"/>
        <v>4.8771648597279533</v>
      </c>
      <c r="AD93" s="3">
        <f t="shared" si="57"/>
        <v>707.34805797359729</v>
      </c>
      <c r="AI93" s="100">
        <f t="shared" ref="AI93:AI156" si="58">($M93-patm)*1000000*$I93/SQRT(rat*to)*SQRT(k)*(2/(k+1))^((k+1)/2/(k-1))</f>
        <v>1.2122377671661433</v>
      </c>
    </row>
    <row r="94" spans="2:35">
      <c r="B94" s="39">
        <f t="shared" si="30"/>
        <v>66</v>
      </c>
      <c r="C94" s="45">
        <f t="shared" si="31"/>
        <v>1.9388489208632131</v>
      </c>
      <c r="D94" s="10">
        <f t="shared" si="32"/>
        <v>22.561151079136835</v>
      </c>
      <c r="E94" s="40">
        <f t="shared" si="33"/>
        <v>23.877697841726331</v>
      </c>
      <c r="F94" s="40">
        <f t="shared" si="34"/>
        <v>69</v>
      </c>
      <c r="G94" s="3">
        <f t="shared" si="35"/>
        <v>444.48920863309468</v>
      </c>
      <c r="H94" s="3">
        <f t="shared" si="36"/>
        <v>221.47275588995251</v>
      </c>
      <c r="I94">
        <f t="shared" si="48"/>
        <v>2.214727558899525E-4</v>
      </c>
      <c r="J94" s="4">
        <f t="shared" si="37"/>
        <v>1126.3744203916381</v>
      </c>
      <c r="K94" s="40">
        <f t="shared" si="38"/>
        <v>5.0858373792545466</v>
      </c>
      <c r="L94" s="40">
        <f t="shared" si="49"/>
        <v>0.9141626207454534</v>
      </c>
      <c r="M94" s="10">
        <f t="shared" si="39"/>
        <v>4.9781648597279533</v>
      </c>
      <c r="N94" s="10">
        <f t="shared" si="50"/>
        <v>3.8408799049960156</v>
      </c>
      <c r="O94" s="10">
        <f t="shared" si="51"/>
        <v>0.68820000000000003</v>
      </c>
      <c r="P94" s="10">
        <f t="shared" si="40"/>
        <v>11.591878034393762</v>
      </c>
      <c r="Q94" s="45">
        <f t="shared" si="41"/>
        <v>0.19414054690290869</v>
      </c>
      <c r="R94" s="4">
        <f t="shared" si="42"/>
        <v>1463031.8958766602</v>
      </c>
      <c r="S94">
        <f t="shared" si="52"/>
        <v>1.4630318958766602E-3</v>
      </c>
      <c r="T94" s="44">
        <f t="shared" si="53"/>
        <v>6.1336449860534357E-4</v>
      </c>
      <c r="U94" s="45">
        <f t="shared" si="43"/>
        <v>2.6115850857346325</v>
      </c>
      <c r="V94" s="45">
        <f t="shared" si="44"/>
        <v>1.2343120999161994</v>
      </c>
      <c r="W94" s="45">
        <f t="shared" si="45"/>
        <v>1.2150749801114908</v>
      </c>
      <c r="X94" s="45">
        <f t="shared" si="46"/>
        <v>1.9237119804708547E-2</v>
      </c>
      <c r="Y94" s="45">
        <f t="shared" ref="Y94:Y157" si="59">IF((X94*(Q94-Q93)+Y93)&lt;0,0,X94*(Q94-Q93)+Y93)</f>
        <v>9.4175620901748615E-3</v>
      </c>
      <c r="Z94" s="10">
        <f t="shared" si="47"/>
        <v>15.35394062028098</v>
      </c>
      <c r="AA94">
        <f t="shared" si="54"/>
        <v>4989537.2450257558</v>
      </c>
      <c r="AB94" s="10">
        <f t="shared" si="55"/>
        <v>4.9895372450257556</v>
      </c>
      <c r="AC94" s="10">
        <f t="shared" si="56"/>
        <v>4.8885372450257556</v>
      </c>
      <c r="AD94" s="3">
        <f t="shared" si="57"/>
        <v>708.99742494934821</v>
      </c>
      <c r="AI94" s="100">
        <f t="shared" si="58"/>
        <v>1.2150749801114908</v>
      </c>
    </row>
    <row r="95" spans="2:35">
      <c r="B95" s="39">
        <f t="shared" si="30"/>
        <v>67</v>
      </c>
      <c r="C95" s="45">
        <f t="shared" si="31"/>
        <v>1.9682254196641709</v>
      </c>
      <c r="D95" s="10">
        <f t="shared" si="32"/>
        <v>22.531774580335878</v>
      </c>
      <c r="E95" s="40">
        <f t="shared" si="33"/>
        <v>23.936450839328245</v>
      </c>
      <c r="F95" s="40">
        <f t="shared" si="34"/>
        <v>69</v>
      </c>
      <c r="G95" s="3">
        <f t="shared" si="35"/>
        <v>444.25419664268702</v>
      </c>
      <c r="H95" s="3">
        <f t="shared" si="36"/>
        <v>221.47275588995251</v>
      </c>
      <c r="I95">
        <f t="shared" si="48"/>
        <v>2.214727558899525E-4</v>
      </c>
      <c r="J95" s="4">
        <f t="shared" si="37"/>
        <v>1128.5807802038289</v>
      </c>
      <c r="K95" s="40">
        <f t="shared" si="38"/>
        <v>5.0957995969698811</v>
      </c>
      <c r="L95" s="40">
        <f t="shared" si="49"/>
        <v>0.90420040303011895</v>
      </c>
      <c r="M95" s="10">
        <f t="shared" si="39"/>
        <v>4.9895372450257556</v>
      </c>
      <c r="N95" s="10">
        <f t="shared" si="50"/>
        <v>3.8408799049960156</v>
      </c>
      <c r="O95" s="10">
        <f t="shared" si="51"/>
        <v>0.68820000000000003</v>
      </c>
      <c r="P95" s="10">
        <f t="shared" si="40"/>
        <v>11.610095846396291</v>
      </c>
      <c r="Q95" s="45">
        <f t="shared" si="41"/>
        <v>0.19667080153556757</v>
      </c>
      <c r="R95" s="4">
        <f t="shared" si="42"/>
        <v>1461278.1715960319</v>
      </c>
      <c r="S95">
        <f t="shared" si="52"/>
        <v>1.461278171596032E-3</v>
      </c>
      <c r="T95" s="44">
        <f t="shared" si="53"/>
        <v>6.1511822288597183E-4</v>
      </c>
      <c r="U95" s="45">
        <f t="shared" si="43"/>
        <v>2.6084546002074971</v>
      </c>
      <c r="V95" s="45">
        <f t="shared" si="44"/>
        <v>1.2372215375990991</v>
      </c>
      <c r="W95" s="45">
        <f t="shared" si="45"/>
        <v>1.2179082451818697</v>
      </c>
      <c r="X95" s="45">
        <f t="shared" si="46"/>
        <v>1.9313292417229455E-2</v>
      </c>
      <c r="Y95" s="45">
        <f t="shared" si="59"/>
        <v>9.4664296377854514E-3</v>
      </c>
      <c r="Z95" s="10">
        <f t="shared" si="47"/>
        <v>15.389610136034452</v>
      </c>
      <c r="AA95">
        <f t="shared" si="54"/>
        <v>5000894.0530651566</v>
      </c>
      <c r="AB95" s="10">
        <f t="shared" si="55"/>
        <v>5.0008940530651564</v>
      </c>
      <c r="AC95" s="10">
        <f t="shared" si="56"/>
        <v>4.8998940530651565</v>
      </c>
      <c r="AD95" s="3">
        <f t="shared" si="57"/>
        <v>710.64453271430841</v>
      </c>
      <c r="AI95" s="100">
        <f t="shared" si="58"/>
        <v>1.2179082451818697</v>
      </c>
    </row>
    <row r="96" spans="2:35">
      <c r="B96" s="39">
        <f t="shared" si="30"/>
        <v>68</v>
      </c>
      <c r="C96" s="45">
        <f t="shared" si="31"/>
        <v>1.9976019184651286</v>
      </c>
      <c r="D96" s="10">
        <f t="shared" si="32"/>
        <v>22.50239808153492</v>
      </c>
      <c r="E96" s="40">
        <f t="shared" si="33"/>
        <v>23.995203836930159</v>
      </c>
      <c r="F96" s="40">
        <f t="shared" si="34"/>
        <v>69</v>
      </c>
      <c r="G96" s="3">
        <f t="shared" si="35"/>
        <v>444.01918465227936</v>
      </c>
      <c r="H96" s="3">
        <f t="shared" si="36"/>
        <v>221.47275588995251</v>
      </c>
      <c r="I96">
        <f t="shared" si="48"/>
        <v>2.214727558899525E-4</v>
      </c>
      <c r="J96" s="4">
        <f t="shared" si="37"/>
        <v>1130.7925622709936</v>
      </c>
      <c r="K96" s="40">
        <f t="shared" si="38"/>
        <v>5.1057862974029753</v>
      </c>
      <c r="L96" s="40">
        <f t="shared" si="49"/>
        <v>0.89421370259702471</v>
      </c>
      <c r="M96" s="10">
        <f t="shared" si="39"/>
        <v>5.0008940530651564</v>
      </c>
      <c r="N96" s="10">
        <f t="shared" si="50"/>
        <v>3.8408799049960156</v>
      </c>
      <c r="O96" s="10">
        <f t="shared" si="51"/>
        <v>0.68820000000000003</v>
      </c>
      <c r="P96" s="10">
        <f t="shared" si="40"/>
        <v>11.628275788969862</v>
      </c>
      <c r="Q96" s="45">
        <f t="shared" si="41"/>
        <v>0.19919710030368101</v>
      </c>
      <c r="R96" s="4">
        <f t="shared" si="42"/>
        <v>1459523.076772193</v>
      </c>
      <c r="S96">
        <f t="shared" si="52"/>
        <v>1.4595230767721929E-3</v>
      </c>
      <c r="T96" s="44">
        <f t="shared" si="53"/>
        <v>6.1687331770981092E-4</v>
      </c>
      <c r="U96" s="45">
        <f t="shared" si="43"/>
        <v>2.6053216681922033</v>
      </c>
      <c r="V96" s="45">
        <f t="shared" si="44"/>
        <v>1.2401272782289772</v>
      </c>
      <c r="W96" s="45">
        <f t="shared" si="45"/>
        <v>1.2207376294039511</v>
      </c>
      <c r="X96" s="45">
        <f t="shared" si="46"/>
        <v>1.9389648825026029E-2</v>
      </c>
      <c r="Y96" s="45">
        <f t="shared" si="59"/>
        <v>9.5154136837262669E-3</v>
      </c>
      <c r="Z96" s="10">
        <f t="shared" si="47"/>
        <v>15.425231421992709</v>
      </c>
      <c r="AA96">
        <f t="shared" si="54"/>
        <v>5012235.5052323379</v>
      </c>
      <c r="AB96" s="10">
        <f t="shared" si="55"/>
        <v>5.0122355052323382</v>
      </c>
      <c r="AC96" s="10">
        <f t="shared" si="56"/>
        <v>4.9112355052323382</v>
      </c>
      <c r="AD96" s="3">
        <f t="shared" si="57"/>
        <v>712.2894133766988</v>
      </c>
      <c r="AI96" s="100">
        <f t="shared" si="58"/>
        <v>1.2207376294039511</v>
      </c>
    </row>
    <row r="97" spans="2:35">
      <c r="B97" s="39">
        <f t="shared" si="30"/>
        <v>69</v>
      </c>
      <c r="C97" s="45">
        <f t="shared" si="31"/>
        <v>2.0269784172660863</v>
      </c>
      <c r="D97" s="10">
        <f t="shared" si="32"/>
        <v>22.473021582733963</v>
      </c>
      <c r="E97" s="40">
        <f t="shared" si="33"/>
        <v>24.053956834532073</v>
      </c>
      <c r="F97" s="40">
        <f t="shared" si="34"/>
        <v>69</v>
      </c>
      <c r="G97" s="3">
        <f t="shared" si="35"/>
        <v>443.78417266187171</v>
      </c>
      <c r="H97" s="3">
        <f t="shared" si="36"/>
        <v>221.47275588995251</v>
      </c>
      <c r="I97">
        <f t="shared" si="48"/>
        <v>2.214727558899525E-4</v>
      </c>
      <c r="J97" s="4">
        <f t="shared" si="37"/>
        <v>1133.0097665931321</v>
      </c>
      <c r="K97" s="40">
        <f t="shared" si="38"/>
        <v>5.1157974805538284</v>
      </c>
      <c r="L97" s="40">
        <f t="shared" si="49"/>
        <v>0.88420251944617156</v>
      </c>
      <c r="M97" s="10">
        <f t="shared" si="39"/>
        <v>5.0122355052323382</v>
      </c>
      <c r="N97" s="10">
        <f t="shared" si="50"/>
        <v>3.8408799049960156</v>
      </c>
      <c r="O97" s="10">
        <f t="shared" si="51"/>
        <v>0.68820000000000003</v>
      </c>
      <c r="P97" s="10">
        <f t="shared" si="40"/>
        <v>11.646418307600488</v>
      </c>
      <c r="Q97" s="45">
        <f t="shared" si="41"/>
        <v>0.20171946366253329</v>
      </c>
      <c r="R97" s="4">
        <f t="shared" si="42"/>
        <v>1457766.6152280285</v>
      </c>
      <c r="S97">
        <f t="shared" si="52"/>
        <v>1.4577666152280286E-3</v>
      </c>
      <c r="T97" s="44">
        <f t="shared" si="53"/>
        <v>6.1862977925397525E-4</v>
      </c>
      <c r="U97" s="45">
        <f t="shared" si="43"/>
        <v>2.6021862965127922</v>
      </c>
      <c r="V97" s="45">
        <f t="shared" si="44"/>
        <v>1.2430293472221168</v>
      </c>
      <c r="W97" s="45">
        <f t="shared" si="45"/>
        <v>1.2235631879328959</v>
      </c>
      <c r="X97" s="45">
        <f t="shared" si="46"/>
        <v>1.9466159289220908E-2</v>
      </c>
      <c r="Y97" s="45">
        <f t="shared" si="59"/>
        <v>9.5645144106549802E-3</v>
      </c>
      <c r="Z97" s="10">
        <f t="shared" si="47"/>
        <v>15.460805042701184</v>
      </c>
      <c r="AA97">
        <f t="shared" si="54"/>
        <v>5023561.7812727755</v>
      </c>
      <c r="AB97" s="10">
        <f t="shared" si="55"/>
        <v>5.0235617812727753</v>
      </c>
      <c r="AC97" s="10">
        <f t="shared" si="56"/>
        <v>4.9225617812727753</v>
      </c>
      <c r="AD97" s="3">
        <f t="shared" si="57"/>
        <v>713.93209300547869</v>
      </c>
      <c r="AI97" s="100">
        <f t="shared" si="58"/>
        <v>1.2235631879328959</v>
      </c>
    </row>
    <row r="98" spans="2:35">
      <c r="B98" s="39">
        <f t="shared" si="30"/>
        <v>70</v>
      </c>
      <c r="C98" s="45">
        <f t="shared" si="31"/>
        <v>2.0563549160670442</v>
      </c>
      <c r="D98" s="10">
        <f t="shared" si="32"/>
        <v>22.443645083933006</v>
      </c>
      <c r="E98" s="40">
        <f t="shared" si="33"/>
        <v>24.112709832133987</v>
      </c>
      <c r="F98" s="40">
        <f t="shared" si="34"/>
        <v>69</v>
      </c>
      <c r="G98" s="3">
        <f t="shared" si="35"/>
        <v>443.54916067146405</v>
      </c>
      <c r="H98" s="3">
        <f t="shared" si="36"/>
        <v>221.47275588995251</v>
      </c>
      <c r="I98">
        <f t="shared" si="48"/>
        <v>2.214727558899525E-4</v>
      </c>
      <c r="J98" s="4">
        <f t="shared" si="37"/>
        <v>1135.2323931702444</v>
      </c>
      <c r="K98" s="40">
        <f t="shared" si="38"/>
        <v>5.1258331464224405</v>
      </c>
      <c r="L98" s="40">
        <f t="shared" si="49"/>
        <v>0.87416685357755952</v>
      </c>
      <c r="M98" s="10">
        <f t="shared" si="39"/>
        <v>5.0235617812727753</v>
      </c>
      <c r="N98" s="10">
        <f t="shared" si="50"/>
        <v>3.8408799049960156</v>
      </c>
      <c r="O98" s="10">
        <f t="shared" si="51"/>
        <v>0.68820000000000003</v>
      </c>
      <c r="P98" s="10">
        <f t="shared" si="40"/>
        <v>11.664523779648746</v>
      </c>
      <c r="Q98" s="45">
        <f t="shared" si="41"/>
        <v>0.20423791185260956</v>
      </c>
      <c r="R98" s="4">
        <f t="shared" si="42"/>
        <v>1456008.7907864233</v>
      </c>
      <c r="S98">
        <f t="shared" si="52"/>
        <v>1.4560087907864233E-3</v>
      </c>
      <c r="T98" s="44">
        <f t="shared" si="53"/>
        <v>6.2038760369558053E-4</v>
      </c>
      <c r="U98" s="45">
        <f t="shared" si="43"/>
        <v>2.599048491993305</v>
      </c>
      <c r="V98" s="45">
        <f t="shared" si="44"/>
        <v>1.2459277629182335</v>
      </c>
      <c r="W98" s="45">
        <f t="shared" si="45"/>
        <v>1.226384965549685</v>
      </c>
      <c r="X98" s="45">
        <f t="shared" si="46"/>
        <v>1.954279736854847E-2</v>
      </c>
      <c r="Y98" s="45">
        <f t="shared" si="59"/>
        <v>9.6137319333168287E-3</v>
      </c>
      <c r="Z98" s="10">
        <f t="shared" si="47"/>
        <v>15.496331448354042</v>
      </c>
      <c r="AA98">
        <f t="shared" si="54"/>
        <v>5034873.0245236764</v>
      </c>
      <c r="AB98" s="10">
        <f t="shared" si="55"/>
        <v>5.0348730245236766</v>
      </c>
      <c r="AC98" s="10">
        <f t="shared" si="56"/>
        <v>4.9338730245236766</v>
      </c>
      <c r="AD98" s="3">
        <f t="shared" si="57"/>
        <v>715.57259238922063</v>
      </c>
      <c r="AI98" s="100">
        <f t="shared" si="58"/>
        <v>1.226384965549685</v>
      </c>
    </row>
    <row r="99" spans="2:35">
      <c r="B99" s="39">
        <f t="shared" si="30"/>
        <v>71</v>
      </c>
      <c r="C99" s="45">
        <f t="shared" si="31"/>
        <v>2.0857314148680022</v>
      </c>
      <c r="D99" s="10">
        <f t="shared" si="32"/>
        <v>22.414268585132049</v>
      </c>
      <c r="E99" s="40">
        <f t="shared" si="33"/>
        <v>24.171462829735901</v>
      </c>
      <c r="F99" s="40">
        <f t="shared" si="34"/>
        <v>69</v>
      </c>
      <c r="G99" s="3">
        <f t="shared" si="35"/>
        <v>443.31414868105639</v>
      </c>
      <c r="H99" s="3">
        <f t="shared" si="36"/>
        <v>221.47275588995251</v>
      </c>
      <c r="I99">
        <f t="shared" si="48"/>
        <v>2.214727558899525E-4</v>
      </c>
      <c r="J99" s="4">
        <f t="shared" si="37"/>
        <v>1137.4604420023311</v>
      </c>
      <c r="K99" s="40">
        <f t="shared" si="38"/>
        <v>5.135893295008815</v>
      </c>
      <c r="L99" s="40">
        <f t="shared" si="49"/>
        <v>0.86410670499118503</v>
      </c>
      <c r="M99" s="10">
        <f t="shared" si="39"/>
        <v>5.0348730245236766</v>
      </c>
      <c r="N99" s="10">
        <f t="shared" si="50"/>
        <v>3.8408799049960156</v>
      </c>
      <c r="O99" s="10">
        <f t="shared" si="51"/>
        <v>0.68820000000000003</v>
      </c>
      <c r="P99" s="10">
        <f t="shared" si="40"/>
        <v>11.682592522954444</v>
      </c>
      <c r="Q99" s="45">
        <f t="shared" si="41"/>
        <v>0.2067524649146322</v>
      </c>
      <c r="R99" s="4">
        <f t="shared" si="42"/>
        <v>1454249.6072702617</v>
      </c>
      <c r="S99">
        <f t="shared" si="52"/>
        <v>1.4542496072702618E-3</v>
      </c>
      <c r="T99" s="44">
        <f t="shared" si="53"/>
        <v>6.2214678721174204E-4</v>
      </c>
      <c r="U99" s="45">
        <f t="shared" si="43"/>
        <v>2.5959082614577809</v>
      </c>
      <c r="V99" s="45">
        <f t="shared" si="44"/>
        <v>1.248822537472416</v>
      </c>
      <c r="W99" s="45">
        <f t="shared" si="45"/>
        <v>1.2292029979647083</v>
      </c>
      <c r="X99" s="45">
        <f t="shared" si="46"/>
        <v>1.9619539507707673E-2</v>
      </c>
      <c r="Y99" s="45">
        <f t="shared" si="59"/>
        <v>9.6630663064614097E-3</v>
      </c>
      <c r="Z99" s="10">
        <f t="shared" si="47"/>
        <v>15.531810989120599</v>
      </c>
      <c r="AA99">
        <f t="shared" si="54"/>
        <v>5046169.34647536</v>
      </c>
      <c r="AB99" s="10">
        <f t="shared" si="55"/>
        <v>5.0461693464753603</v>
      </c>
      <c r="AC99" s="10">
        <f t="shared" si="56"/>
        <v>4.9451693464753603</v>
      </c>
      <c r="AD99" s="3">
        <f t="shared" si="57"/>
        <v>717.21092769765914</v>
      </c>
      <c r="AI99" s="100">
        <f t="shared" si="58"/>
        <v>1.2292029979647083</v>
      </c>
    </row>
    <row r="100" spans="2:35">
      <c r="B100" s="39">
        <f t="shared" si="30"/>
        <v>72</v>
      </c>
      <c r="C100" s="45">
        <f t="shared" si="31"/>
        <v>2.1151079136689601</v>
      </c>
      <c r="D100" s="10">
        <f t="shared" si="32"/>
        <v>22.384892086331092</v>
      </c>
      <c r="E100" s="40">
        <f t="shared" si="33"/>
        <v>24.230215827337815</v>
      </c>
      <c r="F100" s="40">
        <f t="shared" si="34"/>
        <v>69</v>
      </c>
      <c r="G100" s="3">
        <f t="shared" si="35"/>
        <v>443.07913669064874</v>
      </c>
      <c r="H100" s="3">
        <f t="shared" si="36"/>
        <v>221.47275588995251</v>
      </c>
      <c r="I100">
        <f t="shared" si="48"/>
        <v>2.214727558899525E-4</v>
      </c>
      <c r="J100" s="4">
        <f t="shared" si="37"/>
        <v>1139.6939130893907</v>
      </c>
      <c r="K100" s="40">
        <f t="shared" si="38"/>
        <v>5.1459779263129439</v>
      </c>
      <c r="L100" s="40">
        <f t="shared" si="49"/>
        <v>0.85402207368705607</v>
      </c>
      <c r="M100" s="10">
        <f t="shared" si="39"/>
        <v>5.0461693464753603</v>
      </c>
      <c r="N100" s="10">
        <f t="shared" si="50"/>
        <v>3.8408799049960156</v>
      </c>
      <c r="O100" s="10">
        <f t="shared" si="51"/>
        <v>0.68820000000000003</v>
      </c>
      <c r="P100" s="10">
        <f t="shared" si="40"/>
        <v>11.700624803332248</v>
      </c>
      <c r="Q100" s="45">
        <f t="shared" si="41"/>
        <v>0.20926314270276122</v>
      </c>
      <c r="R100" s="4">
        <f t="shared" si="42"/>
        <v>1452489.0685024294</v>
      </c>
      <c r="S100">
        <f t="shared" si="52"/>
        <v>1.4524890685024294E-3</v>
      </c>
      <c r="T100" s="44">
        <f t="shared" si="53"/>
        <v>6.2390732597957443E-4</v>
      </c>
      <c r="U100" s="45">
        <f t="shared" si="43"/>
        <v>2.5927656117302615</v>
      </c>
      <c r="V100" s="45">
        <f t="shared" si="44"/>
        <v>1.2517136776285607</v>
      </c>
      <c r="W100" s="45">
        <f t="shared" si="45"/>
        <v>1.2320173129541632</v>
      </c>
      <c r="X100" s="45">
        <f t="shared" si="46"/>
        <v>1.9696364674397504E-2</v>
      </c>
      <c r="Y100" s="45">
        <f t="shared" si="59"/>
        <v>9.7125175317563095E-3</v>
      </c>
      <c r="Z100" s="10">
        <f t="shared" si="47"/>
        <v>15.567243927625045</v>
      </c>
      <c r="AA100">
        <f t="shared" si="54"/>
        <v>5057450.8307446754</v>
      </c>
      <c r="AB100" s="10">
        <f t="shared" si="55"/>
        <v>5.0574508307446751</v>
      </c>
      <c r="AC100" s="10">
        <f t="shared" si="56"/>
        <v>4.9564508307446751</v>
      </c>
      <c r="AD100" s="3">
        <f t="shared" si="57"/>
        <v>718.847111057966</v>
      </c>
      <c r="AI100" s="100">
        <f t="shared" si="58"/>
        <v>1.2320173129541632</v>
      </c>
    </row>
    <row r="101" spans="2:35">
      <c r="B101" s="39">
        <f t="shared" si="30"/>
        <v>73</v>
      </c>
      <c r="C101" s="45">
        <f t="shared" si="31"/>
        <v>2.1444844124699181</v>
      </c>
      <c r="D101" s="10">
        <f t="shared" si="32"/>
        <v>22.355515587530135</v>
      </c>
      <c r="E101" s="40">
        <f t="shared" si="33"/>
        <v>24.28896882493973</v>
      </c>
      <c r="F101" s="40">
        <f t="shared" si="34"/>
        <v>69</v>
      </c>
      <c r="G101" s="3">
        <f t="shared" si="35"/>
        <v>442.84412470024108</v>
      </c>
      <c r="H101" s="3">
        <f t="shared" si="36"/>
        <v>221.47275588995251</v>
      </c>
      <c r="I101">
        <f t="shared" si="48"/>
        <v>2.214727558899525E-4</v>
      </c>
      <c r="J101" s="4">
        <f t="shared" si="37"/>
        <v>1141.9328064314254</v>
      </c>
      <c r="K101" s="40">
        <f t="shared" si="38"/>
        <v>5.1560870403348389</v>
      </c>
      <c r="L101" s="40">
        <f t="shared" si="49"/>
        <v>0.84391295966516111</v>
      </c>
      <c r="M101" s="10">
        <f t="shared" si="39"/>
        <v>5.0574508307446751</v>
      </c>
      <c r="N101" s="10">
        <f t="shared" si="50"/>
        <v>3.8408799049960156</v>
      </c>
      <c r="O101" s="10">
        <f t="shared" si="51"/>
        <v>0.68820000000000003</v>
      </c>
      <c r="P101" s="10">
        <f t="shared" si="40"/>
        <v>11.71862084109652</v>
      </c>
      <c r="Q101" s="45">
        <f t="shared" si="41"/>
        <v>0.21176996489620026</v>
      </c>
      <c r="R101" s="4">
        <f t="shared" si="42"/>
        <v>1450727.1783058101</v>
      </c>
      <c r="S101">
        <f t="shared" si="52"/>
        <v>1.4507271783058102E-3</v>
      </c>
      <c r="T101" s="44">
        <f t="shared" si="53"/>
        <v>6.2566921617619362E-4</v>
      </c>
      <c r="U101" s="45">
        <f t="shared" si="43"/>
        <v>2.5896205496347862</v>
      </c>
      <c r="V101" s="45">
        <f t="shared" si="44"/>
        <v>1.2546011853998966</v>
      </c>
      <c r="W101" s="45">
        <f t="shared" si="45"/>
        <v>1.2348279313499768</v>
      </c>
      <c r="X101" s="45">
        <f t="shared" si="46"/>
        <v>1.9773254049919808E-2</v>
      </c>
      <c r="Y101" s="45">
        <f t="shared" si="59"/>
        <v>9.7620855638451565E-3</v>
      </c>
      <c r="Z101" s="10">
        <f t="shared" si="47"/>
        <v>15.602630449851112</v>
      </c>
      <c r="AA101">
        <f t="shared" si="54"/>
        <v>5068717.5365469335</v>
      </c>
      <c r="AB101" s="10">
        <f t="shared" si="55"/>
        <v>5.0687175365469335</v>
      </c>
      <c r="AC101" s="10">
        <f t="shared" si="56"/>
        <v>4.9677175365469335</v>
      </c>
      <c r="AD101" s="3">
        <f t="shared" si="57"/>
        <v>720.48115105829345</v>
      </c>
      <c r="AI101" s="100">
        <f t="shared" si="58"/>
        <v>1.2348279313499768</v>
      </c>
    </row>
    <row r="102" spans="2:35">
      <c r="B102" s="39">
        <f t="shared" si="30"/>
        <v>74</v>
      </c>
      <c r="C102" s="45">
        <f t="shared" si="31"/>
        <v>2.173860911270876</v>
      </c>
      <c r="D102" s="10">
        <f t="shared" si="32"/>
        <v>22.326139088729178</v>
      </c>
      <c r="E102" s="40">
        <f t="shared" si="33"/>
        <v>24.347721822541644</v>
      </c>
      <c r="F102" s="40">
        <f t="shared" si="34"/>
        <v>69</v>
      </c>
      <c r="G102" s="3">
        <f t="shared" si="35"/>
        <v>442.60911270983343</v>
      </c>
      <c r="H102" s="3">
        <f t="shared" si="36"/>
        <v>221.47275588995251</v>
      </c>
      <c r="I102">
        <f t="shared" si="48"/>
        <v>2.214727558899525E-4</v>
      </c>
      <c r="J102" s="4">
        <f t="shared" si="37"/>
        <v>1144.1771220284336</v>
      </c>
      <c r="K102" s="40">
        <f t="shared" si="38"/>
        <v>5.166220637074491</v>
      </c>
      <c r="L102" s="40">
        <f t="shared" si="49"/>
        <v>0.83377936292550903</v>
      </c>
      <c r="M102" s="10">
        <f t="shared" si="39"/>
        <v>5.0687175365469335</v>
      </c>
      <c r="N102" s="10">
        <f t="shared" si="50"/>
        <v>3.8408799049960156</v>
      </c>
      <c r="O102" s="10">
        <f t="shared" si="51"/>
        <v>0.68820000000000003</v>
      </c>
      <c r="P102" s="10">
        <f t="shared" si="40"/>
        <v>11.736580816758284</v>
      </c>
      <c r="Q102" s="45">
        <f t="shared" si="41"/>
        <v>0.2142729510094141</v>
      </c>
      <c r="R102" s="4">
        <f t="shared" si="42"/>
        <v>1448963.9405032895</v>
      </c>
      <c r="S102">
        <f t="shared" si="52"/>
        <v>1.4489639405032896E-3</v>
      </c>
      <c r="T102" s="44">
        <f t="shared" si="53"/>
        <v>6.2743245397871425E-4</v>
      </c>
      <c r="U102" s="45">
        <f t="shared" si="43"/>
        <v>2.5864730819953969</v>
      </c>
      <c r="V102" s="45">
        <f t="shared" si="44"/>
        <v>1.257485058655746</v>
      </c>
      <c r="W102" s="45">
        <f t="shared" si="45"/>
        <v>1.2376348679047857</v>
      </c>
      <c r="X102" s="45">
        <f t="shared" si="46"/>
        <v>1.9850190750960284E-2</v>
      </c>
      <c r="Y102" s="45">
        <f t="shared" si="59"/>
        <v>9.8117703156394565E-3</v>
      </c>
      <c r="Z102" s="10">
        <f t="shared" si="47"/>
        <v>15.63797067464464</v>
      </c>
      <c r="AA102">
        <f t="shared" si="54"/>
        <v>5079969.5017214343</v>
      </c>
      <c r="AB102" s="10">
        <f t="shared" si="55"/>
        <v>5.0799695017214344</v>
      </c>
      <c r="AC102" s="10">
        <f t="shared" si="56"/>
        <v>4.9789695017214344</v>
      </c>
      <c r="AD102" s="3">
        <f t="shared" si="57"/>
        <v>722.11305318657492</v>
      </c>
      <c r="AI102" s="100">
        <f t="shared" si="58"/>
        <v>1.2376348679047857</v>
      </c>
    </row>
    <row r="103" spans="2:35">
      <c r="B103" s="39">
        <f t="shared" si="30"/>
        <v>75</v>
      </c>
      <c r="C103" s="45">
        <f t="shared" si="31"/>
        <v>2.2032374100718339</v>
      </c>
      <c r="D103" s="10">
        <f t="shared" si="32"/>
        <v>22.296762589928221</v>
      </c>
      <c r="E103" s="40">
        <f t="shared" si="33"/>
        <v>24.406474820143558</v>
      </c>
      <c r="F103" s="40">
        <f t="shared" si="34"/>
        <v>69</v>
      </c>
      <c r="G103" s="3">
        <f t="shared" si="35"/>
        <v>442.37410071942577</v>
      </c>
      <c r="H103" s="3">
        <f t="shared" si="36"/>
        <v>221.47275588995251</v>
      </c>
      <c r="I103">
        <f t="shared" si="48"/>
        <v>2.214727558899525E-4</v>
      </c>
      <c r="J103" s="4">
        <f t="shared" si="37"/>
        <v>1146.4268598804151</v>
      </c>
      <c r="K103" s="40">
        <f t="shared" si="38"/>
        <v>5.1763787165319002</v>
      </c>
      <c r="L103" s="40">
        <f t="shared" si="49"/>
        <v>0.82362128346809982</v>
      </c>
      <c r="M103" s="10">
        <f t="shared" si="39"/>
        <v>5.0799695017214344</v>
      </c>
      <c r="N103" s="10">
        <f t="shared" si="50"/>
        <v>3.8408799049960156</v>
      </c>
      <c r="O103" s="10">
        <f t="shared" si="51"/>
        <v>0.68820000000000003</v>
      </c>
      <c r="P103" s="10">
        <f t="shared" si="40"/>
        <v>11.754504875986273</v>
      </c>
      <c r="Q103" s="45">
        <f t="shared" si="41"/>
        <v>0.21677212040113999</v>
      </c>
      <c r="R103" s="4">
        <f t="shared" si="42"/>
        <v>1447199.358917752</v>
      </c>
      <c r="S103">
        <f t="shared" si="52"/>
        <v>1.447199358917752E-3</v>
      </c>
      <c r="T103" s="44">
        <f t="shared" si="53"/>
        <v>6.2919703556425181E-4</v>
      </c>
      <c r="U103" s="45">
        <f t="shared" si="43"/>
        <v>2.5833232156361334</v>
      </c>
      <c r="V103" s="45">
        <f t="shared" si="44"/>
        <v>1.2603652916412553</v>
      </c>
      <c r="W103" s="45">
        <f t="shared" si="45"/>
        <v>1.2404381320457041</v>
      </c>
      <c r="X103" s="45">
        <f t="shared" si="46"/>
        <v>1.9927159595551247E-2</v>
      </c>
      <c r="Y103" s="45">
        <f t="shared" si="59"/>
        <v>9.8615716629646948E-3</v>
      </c>
      <c r="Z103" s="10">
        <f t="shared" si="47"/>
        <v>15.673264662032343</v>
      </c>
      <c r="AA103">
        <f t="shared" si="54"/>
        <v>5091206.7453800663</v>
      </c>
      <c r="AB103" s="10">
        <f t="shared" si="55"/>
        <v>5.0912067453800667</v>
      </c>
      <c r="AC103" s="10">
        <f t="shared" si="56"/>
        <v>4.9902067453800667</v>
      </c>
      <c r="AD103" s="3">
        <f t="shared" si="57"/>
        <v>723.74282021465797</v>
      </c>
      <c r="AI103" s="100">
        <f t="shared" si="58"/>
        <v>1.2404381320457041</v>
      </c>
    </row>
    <row r="104" spans="2:35">
      <c r="B104" s="39">
        <f t="shared" ref="B104:B167" si="60">1+B103</f>
        <v>76</v>
      </c>
      <c r="C104" s="45">
        <f t="shared" ref="C104:C167" si="61">xincp+C103</f>
        <v>2.2326139088727919</v>
      </c>
      <c r="D104" s="10">
        <f t="shared" ref="D104:D167" si="62">(F104-E104)/2</f>
        <v>22.267386091127264</v>
      </c>
      <c r="E104" s="40">
        <f t="shared" ref="E104:E167" si="63">E103+ci*2*xincp</f>
        <v>24.465227817745472</v>
      </c>
      <c r="F104" s="40">
        <f t="shared" ref="F104:F167" si="64">F103-osi*2*xincp</f>
        <v>69</v>
      </c>
      <c r="G104" s="3">
        <f t="shared" ref="G104:G167" si="65">G103-ei*n*2*xincp</f>
        <v>442.13908872901811</v>
      </c>
      <c r="H104" s="3">
        <f t="shared" ref="H104:H167" si="66">PI()/4*(dto+erate*(two-D104)/two)^2</f>
        <v>221.47275588995251</v>
      </c>
      <c r="I104">
        <f t="shared" si="48"/>
        <v>2.214727558899525E-4</v>
      </c>
      <c r="J104" s="4">
        <f t="shared" ref="J104:J167" si="67">PI()/4*dc^2-PI()/4*(F104^2-E104^2)</f>
        <v>1148.6820199873714</v>
      </c>
      <c r="K104" s="40">
        <f t="shared" ref="K104:K167" si="68">J104/H104</f>
        <v>5.1865612787070727</v>
      </c>
      <c r="L104" s="40">
        <f t="shared" si="49"/>
        <v>0.81343872129292727</v>
      </c>
      <c r="M104" s="10">
        <f t="shared" ref="M104:M167" si="69">AB103</f>
        <v>5.0912067453800667</v>
      </c>
      <c r="N104" s="10">
        <f t="shared" si="50"/>
        <v>3.8408799049960156</v>
      </c>
      <c r="O104" s="10">
        <f t="shared" si="51"/>
        <v>0.68820000000000003</v>
      </c>
      <c r="P104" s="10">
        <f t="shared" ref="P104:P167" si="70">(1+kv*L104)*N104*M104^O104</f>
        <v>11.772393133946483</v>
      </c>
      <c r="Q104" s="45">
        <f t="shared" ref="Q104:Q167" si="71">xincp/P104+Q103</f>
        <v>0.21926749228234643</v>
      </c>
      <c r="R104" s="4">
        <f t="shared" ref="R104:R167" si="72">PI()/4*(F104^2-E104^2)*G104</f>
        <v>1445433.4373720824</v>
      </c>
      <c r="S104">
        <f t="shared" si="52"/>
        <v>1.4454334373720824E-3</v>
      </c>
      <c r="T104" s="44">
        <f t="shared" si="53"/>
        <v>6.3096295710992137E-4</v>
      </c>
      <c r="U104" s="45">
        <f t="shared" ref="U104:U167" si="73">rhopgrain*R104/1000^2</f>
        <v>2.5801709573810356</v>
      </c>
      <c r="V104" s="45">
        <f t="shared" ref="V104:V167" si="74">(U103-U104)/(Q104-Q103)</f>
        <v>1.2632418754249057</v>
      </c>
      <c r="W104" s="45">
        <f t="shared" ref="W104:W167" si="75">IF(V104&lt;AI104,IF(AB103&gt;pbd,AI104,0),AI104)</f>
        <v>1.2432377285341814</v>
      </c>
      <c r="X104" s="45">
        <f t="shared" ref="X104:X167" si="76">V104-W104</f>
        <v>2.0004146890724384E-2</v>
      </c>
      <c r="Y104" s="45">
        <f t="shared" si="59"/>
        <v>9.9114894486233319E-3</v>
      </c>
      <c r="Z104" s="10">
        <f t="shared" ref="Z104:Z167" si="77">Y104/T104</f>
        <v>15.708512420478957</v>
      </c>
      <c r="AA104">
        <f t="shared" si="54"/>
        <v>5102429.2702179132</v>
      </c>
      <c r="AB104" s="10">
        <f t="shared" si="55"/>
        <v>5.1024292702179128</v>
      </c>
      <c r="AC104" s="10">
        <f t="shared" si="56"/>
        <v>5.0014292702179128</v>
      </c>
      <c r="AD104" s="3">
        <f t="shared" si="57"/>
        <v>725.37045253341739</v>
      </c>
      <c r="AI104" s="100">
        <f t="shared" si="58"/>
        <v>1.2432377285341814</v>
      </c>
    </row>
    <row r="105" spans="2:35">
      <c r="B105" s="39">
        <f t="shared" si="60"/>
        <v>77</v>
      </c>
      <c r="C105" s="45">
        <f t="shared" si="61"/>
        <v>2.2619904076737498</v>
      </c>
      <c r="D105" s="10">
        <f t="shared" si="62"/>
        <v>22.238009592326307</v>
      </c>
      <c r="E105" s="40">
        <f t="shared" si="63"/>
        <v>24.523980815347386</v>
      </c>
      <c r="F105" s="40">
        <f t="shared" si="64"/>
        <v>69</v>
      </c>
      <c r="G105" s="3">
        <f t="shared" si="65"/>
        <v>441.90407673861046</v>
      </c>
      <c r="H105" s="3">
        <f t="shared" si="66"/>
        <v>221.47275588995251</v>
      </c>
      <c r="I105">
        <f t="shared" si="48"/>
        <v>2.214727558899525E-4</v>
      </c>
      <c r="J105" s="4">
        <f t="shared" si="67"/>
        <v>1150.9426023493006</v>
      </c>
      <c r="K105" s="40">
        <f t="shared" si="68"/>
        <v>5.1967683236000006</v>
      </c>
      <c r="L105" s="40">
        <f t="shared" si="49"/>
        <v>0.80323167639999937</v>
      </c>
      <c r="M105" s="10">
        <f t="shared" si="69"/>
        <v>5.1024292702179128</v>
      </c>
      <c r="N105" s="10">
        <f t="shared" si="50"/>
        <v>3.8408799049960156</v>
      </c>
      <c r="O105" s="10">
        <f t="shared" si="51"/>
        <v>0.68820000000000003</v>
      </c>
      <c r="P105" s="10">
        <f t="shared" si="70"/>
        <v>11.790245679085274</v>
      </c>
      <c r="Q105" s="45">
        <f t="shared" si="71"/>
        <v>0.22175908572327607</v>
      </c>
      <c r="R105" s="4">
        <f t="shared" si="72"/>
        <v>1443666.1796891659</v>
      </c>
      <c r="S105">
        <f t="shared" si="52"/>
        <v>1.4436661796891658E-3</v>
      </c>
      <c r="T105" s="44">
        <f t="shared" si="53"/>
        <v>6.32730214792838E-4</v>
      </c>
      <c r="U105" s="45">
        <f t="shared" si="73"/>
        <v>2.5770163140541453</v>
      </c>
      <c r="V105" s="45">
        <f t="shared" si="74"/>
        <v>1.266114798292804</v>
      </c>
      <c r="W105" s="45">
        <f t="shared" si="75"/>
        <v>1.2460336580416593</v>
      </c>
      <c r="X105" s="45">
        <f t="shared" si="76"/>
        <v>2.0081140251144713E-2</v>
      </c>
      <c r="Y105" s="45">
        <f t="shared" si="59"/>
        <v>9.9615234859594722E-3</v>
      </c>
      <c r="Z105" s="10">
        <f t="shared" si="77"/>
        <v>15.743713913237052</v>
      </c>
      <c r="AA105">
        <f t="shared" si="54"/>
        <v>5113637.0645349734</v>
      </c>
      <c r="AB105" s="10">
        <f t="shared" si="55"/>
        <v>5.1136370645349736</v>
      </c>
      <c r="AC105" s="10">
        <f t="shared" si="56"/>
        <v>5.0126370645349736</v>
      </c>
      <c r="AD105" s="3">
        <f t="shared" si="57"/>
        <v>726.99594844597152</v>
      </c>
      <c r="AI105" s="100">
        <f t="shared" si="58"/>
        <v>1.2460336580416593</v>
      </c>
    </row>
    <row r="106" spans="2:35">
      <c r="B106" s="39">
        <f t="shared" si="60"/>
        <v>78</v>
      </c>
      <c r="C106" s="45">
        <f t="shared" si="61"/>
        <v>2.2913669064747078</v>
      </c>
      <c r="D106" s="10">
        <f t="shared" si="62"/>
        <v>22.20863309352535</v>
      </c>
      <c r="E106" s="40">
        <f t="shared" si="63"/>
        <v>24.5827338129493</v>
      </c>
      <c r="F106" s="40">
        <f t="shared" si="64"/>
        <v>69</v>
      </c>
      <c r="G106" s="3">
        <f t="shared" si="65"/>
        <v>441.6690647482028</v>
      </c>
      <c r="H106" s="3">
        <f t="shared" si="66"/>
        <v>221.47275588995251</v>
      </c>
      <c r="I106">
        <f t="shared" si="48"/>
        <v>2.214727558899525E-4</v>
      </c>
      <c r="J106" s="4">
        <f t="shared" si="67"/>
        <v>1153.2086069662041</v>
      </c>
      <c r="K106" s="40">
        <f t="shared" si="68"/>
        <v>5.2069998512106901</v>
      </c>
      <c r="L106" s="40">
        <f t="shared" si="49"/>
        <v>0.79300014878930991</v>
      </c>
      <c r="M106" s="10">
        <f t="shared" si="69"/>
        <v>5.1136370645349736</v>
      </c>
      <c r="N106" s="10">
        <f t="shared" si="50"/>
        <v>3.8408799049960156</v>
      </c>
      <c r="O106" s="10">
        <f t="shared" si="51"/>
        <v>0.68820000000000003</v>
      </c>
      <c r="P106" s="10">
        <f t="shared" si="70"/>
        <v>11.808062576436996</v>
      </c>
      <c r="Q106" s="45">
        <f t="shared" si="71"/>
        <v>0.22424691965968988</v>
      </c>
      <c r="R106" s="4">
        <f t="shared" si="72"/>
        <v>1441897.5896918867</v>
      </c>
      <c r="S106">
        <f t="shared" si="52"/>
        <v>1.4418975896918866E-3</v>
      </c>
      <c r="T106" s="44">
        <f t="shared" si="53"/>
        <v>6.3449880479011719E-4</v>
      </c>
      <c r="U106" s="45">
        <f t="shared" si="73"/>
        <v>2.5738592924795025</v>
      </c>
      <c r="V106" s="45">
        <f t="shared" si="74"/>
        <v>1.2689840460949908</v>
      </c>
      <c r="W106" s="45">
        <f t="shared" si="75"/>
        <v>1.2488259176532515</v>
      </c>
      <c r="X106" s="45">
        <f t="shared" si="76"/>
        <v>2.0158128441739365E-2</v>
      </c>
      <c r="Y106" s="45">
        <f t="shared" si="59"/>
        <v>1.0011673561991419E-2</v>
      </c>
      <c r="Z106" s="10">
        <f t="shared" si="77"/>
        <v>15.778869063911213</v>
      </c>
      <c r="AA106">
        <f t="shared" si="54"/>
        <v>5124830.1040077265</v>
      </c>
      <c r="AB106" s="10">
        <f t="shared" si="55"/>
        <v>5.1248301040077262</v>
      </c>
      <c r="AC106" s="10">
        <f t="shared" si="56"/>
        <v>5.0238301040077262</v>
      </c>
      <c r="AD106" s="3">
        <f t="shared" si="57"/>
        <v>728.61930442461585</v>
      </c>
      <c r="AI106" s="100">
        <f t="shared" si="58"/>
        <v>1.2488259176532515</v>
      </c>
    </row>
    <row r="107" spans="2:35">
      <c r="B107" s="39">
        <f t="shared" si="60"/>
        <v>79</v>
      </c>
      <c r="C107" s="45">
        <f t="shared" si="61"/>
        <v>2.3207434052756657</v>
      </c>
      <c r="D107" s="10">
        <f t="shared" si="62"/>
        <v>22.179256594724393</v>
      </c>
      <c r="E107" s="40">
        <f t="shared" si="63"/>
        <v>24.641486810551214</v>
      </c>
      <c r="F107" s="40">
        <f t="shared" si="64"/>
        <v>69</v>
      </c>
      <c r="G107" s="3">
        <f t="shared" si="65"/>
        <v>441.43405275779514</v>
      </c>
      <c r="H107" s="3">
        <f t="shared" si="66"/>
        <v>221.47275588995251</v>
      </c>
      <c r="I107">
        <f t="shared" si="48"/>
        <v>2.214727558899525E-4</v>
      </c>
      <c r="J107" s="4">
        <f t="shared" si="67"/>
        <v>1155.4800338380819</v>
      </c>
      <c r="K107" s="40">
        <f t="shared" si="68"/>
        <v>5.2172558615391402</v>
      </c>
      <c r="L107" s="40">
        <f t="shared" si="49"/>
        <v>0.78274413846085977</v>
      </c>
      <c r="M107" s="10">
        <f t="shared" si="69"/>
        <v>5.1248301040077262</v>
      </c>
      <c r="N107" s="10">
        <f t="shared" si="50"/>
        <v>3.8408799049960156</v>
      </c>
      <c r="O107" s="10">
        <f t="shared" si="51"/>
        <v>0.68820000000000003</v>
      </c>
      <c r="P107" s="10">
        <f t="shared" si="70"/>
        <v>11.825843870519988</v>
      </c>
      <c r="Q107" s="45">
        <f t="shared" si="71"/>
        <v>0.22673101289841333</v>
      </c>
      <c r="R107" s="4">
        <f t="shared" si="72"/>
        <v>1440127.6712031297</v>
      </c>
      <c r="S107">
        <f t="shared" si="52"/>
        <v>1.4401276712031298E-3</v>
      </c>
      <c r="T107" s="44">
        <f t="shared" si="53"/>
        <v>6.3626872327887402E-4</v>
      </c>
      <c r="U107" s="45">
        <f t="shared" si="73"/>
        <v>2.5706998994811467</v>
      </c>
      <c r="V107" s="45">
        <f t="shared" si="74"/>
        <v>1.2718496025452528</v>
      </c>
      <c r="W107" s="45">
        <f t="shared" si="75"/>
        <v>1.2516145013091056</v>
      </c>
      <c r="X107" s="45">
        <f t="shared" si="76"/>
        <v>2.0235101236147246E-2</v>
      </c>
      <c r="Y107" s="45">
        <f t="shared" si="59"/>
        <v>1.0061939440157017E-2</v>
      </c>
      <c r="Z107" s="10">
        <f t="shared" si="77"/>
        <v>15.813977761322255</v>
      </c>
      <c r="AA107">
        <f t="shared" si="54"/>
        <v>5136008.3532378627</v>
      </c>
      <c r="AB107" s="10">
        <f t="shared" si="55"/>
        <v>5.1360083532378624</v>
      </c>
      <c r="AC107" s="10">
        <f t="shared" si="56"/>
        <v>5.0350083532378624</v>
      </c>
      <c r="AD107" s="3">
        <f t="shared" si="57"/>
        <v>730.24051533544059</v>
      </c>
      <c r="AI107" s="100">
        <f t="shared" si="58"/>
        <v>1.2516145013091056</v>
      </c>
    </row>
    <row r="108" spans="2:35">
      <c r="B108" s="39">
        <f t="shared" si="60"/>
        <v>80</v>
      </c>
      <c r="C108" s="45">
        <f t="shared" si="61"/>
        <v>2.3501199040766236</v>
      </c>
      <c r="D108" s="10">
        <f t="shared" si="62"/>
        <v>22.149880095923436</v>
      </c>
      <c r="E108" s="40">
        <f t="shared" si="63"/>
        <v>24.700239808153128</v>
      </c>
      <c r="F108" s="40">
        <f t="shared" si="64"/>
        <v>69</v>
      </c>
      <c r="G108" s="3">
        <f t="shared" si="65"/>
        <v>441.19904076738749</v>
      </c>
      <c r="H108" s="3">
        <f t="shared" si="66"/>
        <v>221.47275588995251</v>
      </c>
      <c r="I108">
        <f t="shared" si="48"/>
        <v>2.214727558899525E-4</v>
      </c>
      <c r="J108" s="4">
        <f t="shared" si="67"/>
        <v>1157.7568829649335</v>
      </c>
      <c r="K108" s="40">
        <f t="shared" si="68"/>
        <v>5.2275363545853502</v>
      </c>
      <c r="L108" s="40">
        <f t="shared" si="49"/>
        <v>0.77246364541464985</v>
      </c>
      <c r="M108" s="10">
        <f t="shared" si="69"/>
        <v>5.1360083532378624</v>
      </c>
      <c r="N108" s="10">
        <f t="shared" si="50"/>
        <v>3.8408799049960156</v>
      </c>
      <c r="O108" s="10">
        <f t="shared" si="51"/>
        <v>0.68820000000000003</v>
      </c>
      <c r="P108" s="10">
        <f t="shared" si="70"/>
        <v>11.843589587866482</v>
      </c>
      <c r="Q108" s="45">
        <f t="shared" si="71"/>
        <v>0.22921138412227382</v>
      </c>
      <c r="R108" s="4">
        <f t="shared" si="72"/>
        <v>1438356.4280457799</v>
      </c>
      <c r="S108">
        <f t="shared" si="52"/>
        <v>1.43835642804578E-3</v>
      </c>
      <c r="T108" s="44">
        <f t="shared" si="53"/>
        <v>6.3803996643622377E-4</v>
      </c>
      <c r="U108" s="45">
        <f t="shared" si="73"/>
        <v>2.5675381418831194</v>
      </c>
      <c r="V108" s="45">
        <f t="shared" si="74"/>
        <v>1.2747114494847169</v>
      </c>
      <c r="W108" s="45">
        <f t="shared" si="75"/>
        <v>1.2543994001902448</v>
      </c>
      <c r="X108" s="45">
        <f t="shared" si="76"/>
        <v>2.0312049294472168E-2</v>
      </c>
      <c r="Y108" s="45">
        <f t="shared" si="59"/>
        <v>1.0112320862724662E-2</v>
      </c>
      <c r="Z108" s="10">
        <f t="shared" si="77"/>
        <v>15.849039863767615</v>
      </c>
      <c r="AA108">
        <f t="shared" si="54"/>
        <v>5147171.7671087394</v>
      </c>
      <c r="AB108" s="10">
        <f t="shared" si="55"/>
        <v>5.1471717671087394</v>
      </c>
      <c r="AC108" s="10">
        <f t="shared" si="56"/>
        <v>5.0461717671087394</v>
      </c>
      <c r="AD108" s="3">
        <f t="shared" si="57"/>
        <v>731.85957463506008</v>
      </c>
      <c r="AI108" s="100">
        <f t="shared" si="58"/>
        <v>1.2543994001902448</v>
      </c>
    </row>
    <row r="109" spans="2:35">
      <c r="B109" s="39">
        <f t="shared" si="60"/>
        <v>81</v>
      </c>
      <c r="C109" s="45">
        <f t="shared" si="61"/>
        <v>2.3794964028775816</v>
      </c>
      <c r="D109" s="10">
        <f t="shared" si="62"/>
        <v>22.120503597122479</v>
      </c>
      <c r="E109" s="40">
        <f t="shared" si="63"/>
        <v>24.758992805755042</v>
      </c>
      <c r="F109" s="40">
        <f t="shared" si="64"/>
        <v>69</v>
      </c>
      <c r="G109" s="3">
        <f t="shared" si="65"/>
        <v>440.96402877697983</v>
      </c>
      <c r="H109" s="3">
        <f t="shared" si="66"/>
        <v>221.47275588995251</v>
      </c>
      <c r="I109">
        <f t="shared" si="48"/>
        <v>2.214727558899525E-4</v>
      </c>
      <c r="J109" s="4">
        <f t="shared" si="67"/>
        <v>1160.039154346759</v>
      </c>
      <c r="K109" s="40">
        <f t="shared" si="68"/>
        <v>5.2378413303493199</v>
      </c>
      <c r="L109" s="40">
        <f t="shared" si="49"/>
        <v>0.76215866965068013</v>
      </c>
      <c r="M109" s="10">
        <f t="shared" si="69"/>
        <v>5.1471717671087394</v>
      </c>
      <c r="N109" s="10">
        <f t="shared" si="50"/>
        <v>3.8408799049960156</v>
      </c>
      <c r="O109" s="10">
        <f t="shared" si="51"/>
        <v>0.68820000000000003</v>
      </c>
      <c r="P109" s="10">
        <f t="shared" si="70"/>
        <v>11.861299739236683</v>
      </c>
      <c r="Q109" s="45">
        <f t="shared" si="71"/>
        <v>0.23168805189450636</v>
      </c>
      <c r="R109" s="4">
        <f t="shared" si="72"/>
        <v>1436583.8640427222</v>
      </c>
      <c r="S109">
        <f t="shared" si="52"/>
        <v>1.4365838640427221E-3</v>
      </c>
      <c r="T109" s="44">
        <f t="shared" si="53"/>
        <v>6.3981253043928171E-4</v>
      </c>
      <c r="U109" s="45">
        <f t="shared" si="73"/>
        <v>2.5643740265094608</v>
      </c>
      <c r="V109" s="45">
        <f t="shared" si="74"/>
        <v>1.2775695671149068</v>
      </c>
      <c r="W109" s="45">
        <f t="shared" si="75"/>
        <v>1.2571806030565118</v>
      </c>
      <c r="X109" s="45">
        <f t="shared" si="76"/>
        <v>2.0388964058394965E-2</v>
      </c>
      <c r="Y109" s="45">
        <f t="shared" si="59"/>
        <v>1.0162817552917296E-2</v>
      </c>
      <c r="Z109" s="10">
        <f t="shared" si="77"/>
        <v>15.884055202763411</v>
      </c>
      <c r="AA109">
        <f t="shared" si="54"/>
        <v>5158320.2919768151</v>
      </c>
      <c r="AB109" s="10">
        <f t="shared" si="55"/>
        <v>5.158320291976815</v>
      </c>
      <c r="AC109" s="10">
        <f t="shared" si="56"/>
        <v>5.057320291976815</v>
      </c>
      <c r="AD109" s="3">
        <f t="shared" si="57"/>
        <v>733.4764745434104</v>
      </c>
      <c r="AI109" s="100">
        <f t="shared" si="58"/>
        <v>1.2571806030565118</v>
      </c>
    </row>
    <row r="110" spans="2:35">
      <c r="B110" s="39">
        <f t="shared" si="60"/>
        <v>82</v>
      </c>
      <c r="C110" s="45">
        <f t="shared" si="61"/>
        <v>2.4088729016785395</v>
      </c>
      <c r="D110" s="10">
        <f t="shared" si="62"/>
        <v>22.091127098321522</v>
      </c>
      <c r="E110" s="40">
        <f t="shared" si="63"/>
        <v>24.817745803356956</v>
      </c>
      <c r="F110" s="40">
        <f t="shared" si="64"/>
        <v>69</v>
      </c>
      <c r="G110" s="3">
        <f t="shared" si="65"/>
        <v>440.72901678657217</v>
      </c>
      <c r="H110" s="3">
        <f t="shared" si="66"/>
        <v>221.47275588995251</v>
      </c>
      <c r="I110">
        <f t="shared" si="48"/>
        <v>2.214727558899525E-4</v>
      </c>
      <c r="J110" s="4">
        <f t="shared" si="67"/>
        <v>1162.3268479835579</v>
      </c>
      <c r="K110" s="40">
        <f t="shared" si="68"/>
        <v>5.2481707888310467</v>
      </c>
      <c r="L110" s="40">
        <f t="shared" si="49"/>
        <v>0.75182921116895329</v>
      </c>
      <c r="M110" s="10">
        <f t="shared" si="69"/>
        <v>5.158320291976815</v>
      </c>
      <c r="N110" s="10">
        <f t="shared" si="50"/>
        <v>3.8408799049960156</v>
      </c>
      <c r="O110" s="10">
        <f t="shared" si="51"/>
        <v>0.68820000000000003</v>
      </c>
      <c r="P110" s="10">
        <f t="shared" si="70"/>
        <v>11.878974321561824</v>
      </c>
      <c r="Q110" s="45">
        <f t="shared" si="71"/>
        <v>0.23416103466269333</v>
      </c>
      <c r="R110" s="4">
        <f t="shared" si="72"/>
        <v>1434809.9830168413</v>
      </c>
      <c r="S110">
        <f t="shared" si="52"/>
        <v>1.4348099830168413E-3</v>
      </c>
      <c r="T110" s="44">
        <f t="shared" si="53"/>
        <v>6.4158641146516249E-4</v>
      </c>
      <c r="U110" s="45">
        <f t="shared" si="73"/>
        <v>2.5612075601842128</v>
      </c>
      <c r="V110" s="45">
        <f t="shared" si="74"/>
        <v>1.2804239341988704</v>
      </c>
      <c r="W110" s="45">
        <f t="shared" si="75"/>
        <v>1.259958096543395</v>
      </c>
      <c r="X110" s="45">
        <f t="shared" si="76"/>
        <v>2.0465837655475383E-2</v>
      </c>
      <c r="Y110" s="45">
        <f t="shared" si="59"/>
        <v>1.0213429216775798E-2</v>
      </c>
      <c r="Z110" s="10">
        <f t="shared" si="77"/>
        <v>15.91902358631917</v>
      </c>
      <c r="AA110">
        <f t="shared" si="54"/>
        <v>5169453.8667142913</v>
      </c>
      <c r="AB110" s="10">
        <f t="shared" si="55"/>
        <v>5.1694538667142913</v>
      </c>
      <c r="AC110" s="10">
        <f t="shared" si="56"/>
        <v>5.0684538667142913</v>
      </c>
      <c r="AD110" s="3">
        <f t="shared" si="57"/>
        <v>735.09120619496605</v>
      </c>
      <c r="AI110" s="100">
        <f t="shared" si="58"/>
        <v>1.259958096543395</v>
      </c>
    </row>
    <row r="111" spans="2:35">
      <c r="B111" s="39">
        <f t="shared" si="60"/>
        <v>83</v>
      </c>
      <c r="C111" s="45">
        <f t="shared" si="61"/>
        <v>2.4382494004794975</v>
      </c>
      <c r="D111" s="10">
        <f t="shared" si="62"/>
        <v>22.061750599520565</v>
      </c>
      <c r="E111" s="40">
        <f t="shared" si="63"/>
        <v>24.876498800958871</v>
      </c>
      <c r="F111" s="40">
        <f t="shared" si="64"/>
        <v>69</v>
      </c>
      <c r="G111" s="3">
        <f t="shared" si="65"/>
        <v>440.49400479616452</v>
      </c>
      <c r="H111" s="3">
        <f t="shared" si="66"/>
        <v>221.47275588995251</v>
      </c>
      <c r="I111">
        <f t="shared" si="48"/>
        <v>2.214727558899525E-4</v>
      </c>
      <c r="J111" s="4">
        <f t="shared" si="67"/>
        <v>1164.619963875331</v>
      </c>
      <c r="K111" s="40">
        <f t="shared" si="68"/>
        <v>5.2585247300305342</v>
      </c>
      <c r="L111" s="40">
        <f t="shared" si="49"/>
        <v>0.74147526996946578</v>
      </c>
      <c r="M111" s="10">
        <f t="shared" si="69"/>
        <v>5.1694538667142913</v>
      </c>
      <c r="N111" s="10">
        <f t="shared" si="50"/>
        <v>3.8408799049960156</v>
      </c>
      <c r="O111" s="10">
        <f t="shared" si="51"/>
        <v>0.68820000000000003</v>
      </c>
      <c r="P111" s="10">
        <f t="shared" si="70"/>
        <v>11.896613319643295</v>
      </c>
      <c r="Q111" s="45">
        <f t="shared" si="71"/>
        <v>0.23663035076229727</v>
      </c>
      <c r="R111" s="4">
        <f t="shared" si="72"/>
        <v>1433034.788791022</v>
      </c>
      <c r="S111">
        <f t="shared" si="52"/>
        <v>1.433034788791022E-3</v>
      </c>
      <c r="T111" s="44">
        <f t="shared" si="53"/>
        <v>6.4336160569098181E-4</v>
      </c>
      <c r="U111" s="45">
        <f t="shared" si="73"/>
        <v>2.5580387497314141</v>
      </c>
      <c r="V111" s="45">
        <f t="shared" si="74"/>
        <v>1.2832745282416329</v>
      </c>
      <c r="W111" s="45">
        <f t="shared" si="75"/>
        <v>1.2627318654217887</v>
      </c>
      <c r="X111" s="45">
        <f t="shared" si="76"/>
        <v>2.0542662819844182E-2</v>
      </c>
      <c r="Y111" s="45">
        <f t="shared" si="59"/>
        <v>1.0264155544805574E-2</v>
      </c>
      <c r="Z111" s="10">
        <f t="shared" si="77"/>
        <v>15.953944801822125</v>
      </c>
      <c r="AA111">
        <f t="shared" si="54"/>
        <v>5180572.4236274436</v>
      </c>
      <c r="AB111" s="10">
        <f t="shared" si="55"/>
        <v>5.180572423627444</v>
      </c>
      <c r="AC111" s="10">
        <f t="shared" si="56"/>
        <v>5.079572423627444</v>
      </c>
      <c r="AD111" s="3">
        <f t="shared" si="57"/>
        <v>736.70375977192805</v>
      </c>
      <c r="AI111" s="100">
        <f t="shared" si="58"/>
        <v>1.2627318654217887</v>
      </c>
    </row>
    <row r="112" spans="2:35">
      <c r="B112" s="39">
        <f t="shared" si="60"/>
        <v>84</v>
      </c>
      <c r="C112" s="45">
        <f t="shared" si="61"/>
        <v>2.4676258992804554</v>
      </c>
      <c r="D112" s="10">
        <f t="shared" si="62"/>
        <v>22.032374100719608</v>
      </c>
      <c r="E112" s="40">
        <f t="shared" si="63"/>
        <v>24.935251798560785</v>
      </c>
      <c r="F112" s="40">
        <f t="shared" si="64"/>
        <v>69</v>
      </c>
      <c r="G112" s="3">
        <f t="shared" si="65"/>
        <v>440.25899280575686</v>
      </c>
      <c r="H112" s="3">
        <f t="shared" si="66"/>
        <v>221.47275588995251</v>
      </c>
      <c r="I112">
        <f t="shared" si="48"/>
        <v>2.214727558899525E-4</v>
      </c>
      <c r="J112" s="4">
        <f t="shared" si="67"/>
        <v>1166.9185020220784</v>
      </c>
      <c r="K112" s="40">
        <f t="shared" si="68"/>
        <v>5.2689031539477842</v>
      </c>
      <c r="L112" s="40">
        <f t="shared" si="49"/>
        <v>0.73109684605221581</v>
      </c>
      <c r="M112" s="10">
        <f t="shared" si="69"/>
        <v>5.180572423627444</v>
      </c>
      <c r="N112" s="10">
        <f t="shared" si="50"/>
        <v>3.8408799049960156</v>
      </c>
      <c r="O112" s="10">
        <f t="shared" si="51"/>
        <v>0.68820000000000003</v>
      </c>
      <c r="P112" s="10">
        <f t="shared" si="70"/>
        <v>11.914216707647773</v>
      </c>
      <c r="Q112" s="45">
        <f t="shared" si="71"/>
        <v>0.23909601841983627</v>
      </c>
      <c r="R112" s="4">
        <f t="shared" si="72"/>
        <v>1431258.285188149</v>
      </c>
      <c r="S112">
        <f t="shared" si="52"/>
        <v>1.4312582851881491E-3</v>
      </c>
      <c r="T112" s="44">
        <f t="shared" si="53"/>
        <v>6.4513810929385474E-4</v>
      </c>
      <c r="U112" s="45">
        <f t="shared" si="73"/>
        <v>2.5548676019751051</v>
      </c>
      <c r="V112" s="45">
        <f t="shared" si="74"/>
        <v>1.2861213256429478</v>
      </c>
      <c r="W112" s="45">
        <f t="shared" si="75"/>
        <v>1.265501892826782</v>
      </c>
      <c r="X112" s="45">
        <f t="shared" si="76"/>
        <v>2.0619432816165739E-2</v>
      </c>
      <c r="Y112" s="45">
        <f t="shared" si="59"/>
        <v>1.0314996213417192E-2</v>
      </c>
      <c r="Z112" s="10">
        <f t="shared" si="77"/>
        <v>15.988818618555367</v>
      </c>
      <c r="AA112">
        <f t="shared" si="54"/>
        <v>5191675.8892583754</v>
      </c>
      <c r="AB112" s="10">
        <f t="shared" si="55"/>
        <v>5.1916758892583754</v>
      </c>
      <c r="AC112" s="10">
        <f t="shared" si="56"/>
        <v>5.0906758892583754</v>
      </c>
      <c r="AD112" s="3">
        <f t="shared" si="57"/>
        <v>738.314124620504</v>
      </c>
      <c r="AI112" s="100">
        <f t="shared" si="58"/>
        <v>1.265501892826782</v>
      </c>
    </row>
    <row r="113" spans="2:35">
      <c r="B113" s="39">
        <f t="shared" si="60"/>
        <v>85</v>
      </c>
      <c r="C113" s="45">
        <f t="shared" si="61"/>
        <v>2.4970023980814133</v>
      </c>
      <c r="D113" s="10">
        <f t="shared" si="62"/>
        <v>22.002997601918651</v>
      </c>
      <c r="E113" s="40">
        <f t="shared" si="63"/>
        <v>24.994004796162699</v>
      </c>
      <c r="F113" s="40">
        <f t="shared" si="64"/>
        <v>69</v>
      </c>
      <c r="G113" s="3">
        <f t="shared" si="65"/>
        <v>440.0239808153492</v>
      </c>
      <c r="H113" s="3">
        <f t="shared" si="66"/>
        <v>221.47275588995251</v>
      </c>
      <c r="I113">
        <f t="shared" si="48"/>
        <v>2.214727558899525E-4</v>
      </c>
      <c r="J113" s="4">
        <f t="shared" si="67"/>
        <v>1169.2224624237997</v>
      </c>
      <c r="K113" s="40">
        <f t="shared" si="68"/>
        <v>5.2793060605827931</v>
      </c>
      <c r="L113" s="40">
        <f t="shared" si="49"/>
        <v>0.72069393941720694</v>
      </c>
      <c r="M113" s="10">
        <f t="shared" si="69"/>
        <v>5.1916758892583754</v>
      </c>
      <c r="N113" s="10">
        <f t="shared" si="50"/>
        <v>3.8408799049960156</v>
      </c>
      <c r="O113" s="10">
        <f t="shared" si="51"/>
        <v>0.68820000000000003</v>
      </c>
      <c r="P113" s="10">
        <f t="shared" si="70"/>
        <v>11.93178445041162</v>
      </c>
      <c r="Q113" s="45">
        <f t="shared" si="71"/>
        <v>0.24155805575574746</v>
      </c>
      <c r="R113" s="4">
        <f t="shared" si="72"/>
        <v>1429480.4760311069</v>
      </c>
      <c r="S113">
        <f t="shared" si="52"/>
        <v>1.4294804760311068E-3</v>
      </c>
      <c r="T113" s="44">
        <f t="shared" si="53"/>
        <v>6.4691591845089701E-4</v>
      </c>
      <c r="U113" s="45">
        <f t="shared" si="73"/>
        <v>2.5516941237393271</v>
      </c>
      <c r="V113" s="45">
        <f t="shared" si="74"/>
        <v>1.2889643018364185</v>
      </c>
      <c r="W113" s="45">
        <f t="shared" si="75"/>
        <v>1.268268160457404</v>
      </c>
      <c r="X113" s="45">
        <f t="shared" si="76"/>
        <v>2.0696141379014543E-2</v>
      </c>
      <c r="Y113" s="45">
        <f t="shared" si="59"/>
        <v>1.0365950886201621E-2</v>
      </c>
      <c r="Z113" s="10">
        <f t="shared" si="77"/>
        <v>16.023644789919373</v>
      </c>
      <c r="AA113">
        <f t="shared" si="54"/>
        <v>5202764.1850923272</v>
      </c>
      <c r="AB113" s="10">
        <f t="shared" si="55"/>
        <v>5.2027641850923274</v>
      </c>
      <c r="AC113" s="10">
        <f t="shared" si="56"/>
        <v>5.1017641850923274</v>
      </c>
      <c r="AD113" s="3">
        <f t="shared" si="57"/>
        <v>739.92228935349203</v>
      </c>
      <c r="AI113" s="100">
        <f t="shared" si="58"/>
        <v>1.268268160457404</v>
      </c>
    </row>
    <row r="114" spans="2:35">
      <c r="B114" s="39">
        <f t="shared" si="60"/>
        <v>86</v>
      </c>
      <c r="C114" s="45">
        <f t="shared" si="61"/>
        <v>2.5263788968823713</v>
      </c>
      <c r="D114" s="10">
        <f t="shared" si="62"/>
        <v>21.973621103117694</v>
      </c>
      <c r="E114" s="40">
        <f t="shared" si="63"/>
        <v>25.052757793764613</v>
      </c>
      <c r="F114" s="40">
        <f t="shared" si="64"/>
        <v>69</v>
      </c>
      <c r="G114" s="3">
        <f t="shared" si="65"/>
        <v>439.78896882494155</v>
      </c>
      <c r="H114" s="3">
        <f t="shared" si="66"/>
        <v>221.47275588995251</v>
      </c>
      <c r="I114">
        <f t="shared" si="48"/>
        <v>2.214727558899525E-4</v>
      </c>
      <c r="J114" s="4">
        <f t="shared" si="67"/>
        <v>1171.5318450804943</v>
      </c>
      <c r="K114" s="40">
        <f t="shared" si="68"/>
        <v>5.2897334499355591</v>
      </c>
      <c r="L114" s="40">
        <f t="shared" si="49"/>
        <v>0.71026655006444095</v>
      </c>
      <c r="M114" s="10">
        <f t="shared" si="69"/>
        <v>5.2027641850923274</v>
      </c>
      <c r="N114" s="10">
        <f t="shared" si="50"/>
        <v>3.8408799049960156</v>
      </c>
      <c r="O114" s="10">
        <f t="shared" si="51"/>
        <v>0.68820000000000003</v>
      </c>
      <c r="P114" s="10">
        <f t="shared" si="70"/>
        <v>11.94931650459052</v>
      </c>
      <c r="Q114" s="45">
        <f t="shared" si="71"/>
        <v>0.24401648078697602</v>
      </c>
      <c r="R114" s="4">
        <f t="shared" si="72"/>
        <v>1427701.3651427813</v>
      </c>
      <c r="S114">
        <f t="shared" si="52"/>
        <v>1.4277013651427812E-3</v>
      </c>
      <c r="T114" s="44">
        <f t="shared" si="53"/>
        <v>6.4869502933922259E-4</v>
      </c>
      <c r="U114" s="45">
        <f t="shared" si="73"/>
        <v>2.548518321848122</v>
      </c>
      <c r="V114" s="45">
        <f t="shared" si="74"/>
        <v>1.2918034314099394</v>
      </c>
      <c r="W114" s="45">
        <f t="shared" si="75"/>
        <v>1.27103064875284</v>
      </c>
      <c r="X114" s="45">
        <f t="shared" si="76"/>
        <v>2.0772782657099365E-2</v>
      </c>
      <c r="Y114" s="45">
        <f t="shared" si="59"/>
        <v>1.0417019215054104E-2</v>
      </c>
      <c r="Z114" s="10">
        <f t="shared" si="77"/>
        <v>16.058423055384203</v>
      </c>
      <c r="AA114">
        <f t="shared" si="54"/>
        <v>5213837.2281792359</v>
      </c>
      <c r="AB114" s="10">
        <f t="shared" si="55"/>
        <v>5.2138372281792362</v>
      </c>
      <c r="AC114" s="10">
        <f t="shared" si="56"/>
        <v>5.1128372281792362</v>
      </c>
      <c r="AD114" s="3">
        <f t="shared" si="57"/>
        <v>741.5282419404258</v>
      </c>
      <c r="AI114" s="100">
        <f t="shared" si="58"/>
        <v>1.27103064875284</v>
      </c>
    </row>
    <row r="115" spans="2:35">
      <c r="B115" s="39">
        <f t="shared" si="60"/>
        <v>87</v>
      </c>
      <c r="C115" s="45">
        <f t="shared" si="61"/>
        <v>2.5557553956833292</v>
      </c>
      <c r="D115" s="10">
        <f t="shared" si="62"/>
        <v>21.944244604316737</v>
      </c>
      <c r="E115" s="40">
        <f t="shared" si="63"/>
        <v>25.111510791366527</v>
      </c>
      <c r="F115" s="40">
        <f t="shared" si="64"/>
        <v>69</v>
      </c>
      <c r="G115" s="3">
        <f t="shared" si="65"/>
        <v>439.55395683453389</v>
      </c>
      <c r="H115" s="3">
        <f t="shared" si="66"/>
        <v>221.47275588995251</v>
      </c>
      <c r="I115">
        <f t="shared" si="48"/>
        <v>2.214727558899525E-4</v>
      </c>
      <c r="J115" s="4">
        <f t="shared" si="67"/>
        <v>1173.8466499921628</v>
      </c>
      <c r="K115" s="40">
        <f t="shared" si="68"/>
        <v>5.3001853220060839</v>
      </c>
      <c r="L115" s="40">
        <f t="shared" si="49"/>
        <v>0.69981467799391606</v>
      </c>
      <c r="M115" s="10">
        <f t="shared" si="69"/>
        <v>5.2138372281792362</v>
      </c>
      <c r="N115" s="10">
        <f t="shared" si="50"/>
        <v>3.8408799049960156</v>
      </c>
      <c r="O115" s="10">
        <f t="shared" si="51"/>
        <v>0.68820000000000003</v>
      </c>
      <c r="P115" s="10">
        <f t="shared" si="70"/>
        <v>11.966812819668805</v>
      </c>
      <c r="Q115" s="45">
        <f t="shared" si="71"/>
        <v>0.24647131142932335</v>
      </c>
      <c r="R115" s="4">
        <f t="shared" si="72"/>
        <v>1425920.9563460562</v>
      </c>
      <c r="S115">
        <f t="shared" si="52"/>
        <v>1.4259209563460562E-3</v>
      </c>
      <c r="T115" s="44">
        <f t="shared" si="53"/>
        <v>6.5047543813594763E-4</v>
      </c>
      <c r="U115" s="45">
        <f t="shared" si="73"/>
        <v>2.5453402031255274</v>
      </c>
      <c r="V115" s="45">
        <f t="shared" si="74"/>
        <v>1.2946386882133747</v>
      </c>
      <c r="W115" s="45">
        <f t="shared" si="75"/>
        <v>1.2737893370472828</v>
      </c>
      <c r="X115" s="45">
        <f t="shared" si="76"/>
        <v>2.0849351166091878E-2</v>
      </c>
      <c r="Y115" s="45">
        <f t="shared" si="59"/>
        <v>1.0468200841169686E-2</v>
      </c>
      <c r="Z115" s="10">
        <f t="shared" si="77"/>
        <v>16.093153142212667</v>
      </c>
      <c r="AA115">
        <f t="shared" si="54"/>
        <v>5224894.931682379</v>
      </c>
      <c r="AB115" s="10">
        <f t="shared" si="55"/>
        <v>5.2248949316823792</v>
      </c>
      <c r="AC115" s="10">
        <f t="shared" si="56"/>
        <v>5.1238949316823792</v>
      </c>
      <c r="AD115" s="3">
        <f t="shared" si="57"/>
        <v>743.13196978714711</v>
      </c>
      <c r="AI115" s="100">
        <f t="shared" si="58"/>
        <v>1.2737893370472828</v>
      </c>
    </row>
    <row r="116" spans="2:35">
      <c r="B116" s="39">
        <f t="shared" si="60"/>
        <v>88</v>
      </c>
      <c r="C116" s="45">
        <f t="shared" si="61"/>
        <v>2.5851318944842872</v>
      </c>
      <c r="D116" s="10">
        <f t="shared" si="62"/>
        <v>21.914868105515779</v>
      </c>
      <c r="E116" s="40">
        <f t="shared" si="63"/>
        <v>25.170263788968441</v>
      </c>
      <c r="F116" s="40">
        <f t="shared" si="64"/>
        <v>69</v>
      </c>
      <c r="G116" s="3">
        <f t="shared" si="65"/>
        <v>439.31894484412624</v>
      </c>
      <c r="H116" s="3">
        <f t="shared" si="66"/>
        <v>221.47275588995251</v>
      </c>
      <c r="I116">
        <f t="shared" si="48"/>
        <v>2.214727558899525E-4</v>
      </c>
      <c r="J116" s="4">
        <f t="shared" si="67"/>
        <v>1176.1668771588061</v>
      </c>
      <c r="K116" s="40">
        <f t="shared" si="68"/>
        <v>5.3106616767943731</v>
      </c>
      <c r="L116" s="40">
        <f t="shared" si="49"/>
        <v>0.68933832320562693</v>
      </c>
      <c r="M116" s="10">
        <f t="shared" si="69"/>
        <v>5.2248949316823792</v>
      </c>
      <c r="N116" s="10">
        <f t="shared" si="50"/>
        <v>3.8408799049960156</v>
      </c>
      <c r="O116" s="10">
        <f t="shared" si="51"/>
        <v>0.68820000000000003</v>
      </c>
      <c r="P116" s="10">
        <f t="shared" si="70"/>
        <v>11.984273338849444</v>
      </c>
      <c r="Q116" s="45">
        <f t="shared" si="71"/>
        <v>0.24892256549958292</v>
      </c>
      <c r="R116" s="4">
        <f t="shared" si="72"/>
        <v>1424139.2534638166</v>
      </c>
      <c r="S116">
        <f t="shared" si="52"/>
        <v>1.4241392534638166E-3</v>
      </c>
      <c r="T116" s="44">
        <f t="shared" si="53"/>
        <v>6.522571410181872E-4</v>
      </c>
      <c r="U116" s="45">
        <f t="shared" si="73"/>
        <v>2.5421597743955862</v>
      </c>
      <c r="V116" s="45">
        <f t="shared" si="74"/>
        <v>1.2974700454467836</v>
      </c>
      <c r="W116" s="45">
        <f t="shared" si="75"/>
        <v>1.2765442037066208</v>
      </c>
      <c r="X116" s="45">
        <f t="shared" si="76"/>
        <v>2.0925841740162765E-2</v>
      </c>
      <c r="Y116" s="45">
        <f t="shared" si="59"/>
        <v>1.0519495395908868E-2</v>
      </c>
      <c r="Z116" s="10">
        <f t="shared" si="77"/>
        <v>16.127834766956653</v>
      </c>
      <c r="AA116">
        <f t="shared" si="54"/>
        <v>5235937.2053547828</v>
      </c>
      <c r="AB116" s="10">
        <f t="shared" si="55"/>
        <v>5.2359372053547828</v>
      </c>
      <c r="AC116" s="10">
        <f t="shared" si="56"/>
        <v>5.1349372053547828</v>
      </c>
      <c r="AD116" s="3">
        <f t="shared" si="57"/>
        <v>744.73345980489955</v>
      </c>
      <c r="AI116" s="100">
        <f t="shared" si="58"/>
        <v>1.2765442037066208</v>
      </c>
    </row>
    <row r="117" spans="2:35">
      <c r="B117" s="39">
        <f t="shared" si="60"/>
        <v>89</v>
      </c>
      <c r="C117" s="45">
        <f t="shared" si="61"/>
        <v>2.6145083932852451</v>
      </c>
      <c r="D117" s="10">
        <f t="shared" si="62"/>
        <v>21.885491606714822</v>
      </c>
      <c r="E117" s="40">
        <f t="shared" si="63"/>
        <v>25.229016786570355</v>
      </c>
      <c r="F117" s="40">
        <f t="shared" si="64"/>
        <v>69</v>
      </c>
      <c r="G117" s="3">
        <f t="shared" si="65"/>
        <v>439.08393285371858</v>
      </c>
      <c r="H117" s="3">
        <f t="shared" si="66"/>
        <v>221.47275588995251</v>
      </c>
      <c r="I117">
        <f t="shared" si="48"/>
        <v>2.214727558899525E-4</v>
      </c>
      <c r="J117" s="4">
        <f t="shared" si="67"/>
        <v>1178.4925265804231</v>
      </c>
      <c r="K117" s="40">
        <f t="shared" si="68"/>
        <v>5.3211625143004211</v>
      </c>
      <c r="L117" s="40">
        <f t="shared" si="49"/>
        <v>0.67883748569957891</v>
      </c>
      <c r="M117" s="10">
        <f t="shared" si="69"/>
        <v>5.2359372053547828</v>
      </c>
      <c r="N117" s="10">
        <f t="shared" si="50"/>
        <v>3.8408799049960156</v>
      </c>
      <c r="O117" s="10">
        <f t="shared" si="51"/>
        <v>0.68820000000000003</v>
      </c>
      <c r="P117" s="10">
        <f t="shared" si="70"/>
        <v>12.001697999826391</v>
      </c>
      <c r="Q117" s="45">
        <f t="shared" si="71"/>
        <v>0.25137026071749147</v>
      </c>
      <c r="R117" s="4">
        <f t="shared" si="72"/>
        <v>1422356.2603189473</v>
      </c>
      <c r="S117">
        <f t="shared" si="52"/>
        <v>1.4223562603189472E-3</v>
      </c>
      <c r="T117" s="44">
        <f t="shared" si="53"/>
        <v>6.5404013416305658E-4</v>
      </c>
      <c r="U117" s="45">
        <f t="shared" si="73"/>
        <v>2.5389770424823368</v>
      </c>
      <c r="V117" s="45">
        <f t="shared" si="74"/>
        <v>1.300297475748988</v>
      </c>
      <c r="W117" s="45">
        <f t="shared" si="75"/>
        <v>1.2792952262471282</v>
      </c>
      <c r="X117" s="45">
        <f t="shared" si="76"/>
        <v>2.1002249501859804E-2</v>
      </c>
      <c r="Y117" s="45">
        <f t="shared" si="59"/>
        <v>1.0570902501579892E-2</v>
      </c>
      <c r="Z117" s="10">
        <f t="shared" si="77"/>
        <v>16.162467636801775</v>
      </c>
      <c r="AA117">
        <f t="shared" si="54"/>
        <v>5246963.9559673499</v>
      </c>
      <c r="AB117" s="10">
        <f t="shared" si="55"/>
        <v>5.2469639559673498</v>
      </c>
      <c r="AC117" s="10">
        <f t="shared" si="56"/>
        <v>5.1459639559673498</v>
      </c>
      <c r="AD117" s="3">
        <f t="shared" si="57"/>
        <v>746.33269847242207</v>
      </c>
      <c r="AI117" s="100">
        <f t="shared" si="58"/>
        <v>1.2792952262471282</v>
      </c>
    </row>
    <row r="118" spans="2:35">
      <c r="B118" s="39">
        <f t="shared" si="60"/>
        <v>90</v>
      </c>
      <c r="C118" s="45">
        <f t="shared" si="61"/>
        <v>2.643884892086203</v>
      </c>
      <c r="D118" s="10">
        <f t="shared" si="62"/>
        <v>21.856115107913865</v>
      </c>
      <c r="E118" s="40">
        <f t="shared" si="63"/>
        <v>25.287769784172269</v>
      </c>
      <c r="F118" s="40">
        <f t="shared" si="64"/>
        <v>69</v>
      </c>
      <c r="G118" s="3">
        <f t="shared" si="65"/>
        <v>438.84892086331092</v>
      </c>
      <c r="H118" s="3">
        <f t="shared" si="66"/>
        <v>221.47275588995251</v>
      </c>
      <c r="I118">
        <f t="shared" si="48"/>
        <v>2.214727558899525E-4</v>
      </c>
      <c r="J118" s="4">
        <f t="shared" si="67"/>
        <v>1180.8235982570136</v>
      </c>
      <c r="K118" s="40">
        <f t="shared" si="68"/>
        <v>5.3316878345242271</v>
      </c>
      <c r="L118" s="40">
        <f t="shared" si="49"/>
        <v>0.66831216547577288</v>
      </c>
      <c r="M118" s="10">
        <f t="shared" si="69"/>
        <v>5.2469639559673498</v>
      </c>
      <c r="N118" s="10">
        <f t="shared" si="50"/>
        <v>3.8408799049960156</v>
      </c>
      <c r="O118" s="10">
        <f t="shared" si="51"/>
        <v>0.68820000000000003</v>
      </c>
      <c r="P118" s="10">
        <f t="shared" si="70"/>
        <v>12.019086735477547</v>
      </c>
      <c r="Q118" s="45">
        <f t="shared" si="71"/>
        <v>0.25381441470751515</v>
      </c>
      <c r="R118" s="4">
        <f t="shared" si="72"/>
        <v>1420571.9807343334</v>
      </c>
      <c r="S118">
        <f t="shared" si="52"/>
        <v>1.4205719807343334E-3</v>
      </c>
      <c r="T118" s="44">
        <f t="shared" si="53"/>
        <v>6.558244137476704E-4</v>
      </c>
      <c r="U118" s="45">
        <f t="shared" si="73"/>
        <v>2.535792014209822</v>
      </c>
      <c r="V118" s="45">
        <f t="shared" si="74"/>
        <v>1.3031209512637585</v>
      </c>
      <c r="W118" s="45">
        <f t="shared" si="75"/>
        <v>1.2820423814421253</v>
      </c>
      <c r="X118" s="45">
        <f t="shared" si="76"/>
        <v>2.1078569821633142E-2</v>
      </c>
      <c r="Y118" s="45">
        <f t="shared" si="59"/>
        <v>1.062242177211343E-2</v>
      </c>
      <c r="Z118" s="10">
        <f t="shared" si="77"/>
        <v>16.197051450726299</v>
      </c>
      <c r="AA118">
        <f t="shared" si="54"/>
        <v>5257975.0876778476</v>
      </c>
      <c r="AB118" s="10">
        <f t="shared" si="55"/>
        <v>5.2579750876778473</v>
      </c>
      <c r="AC118" s="10">
        <f t="shared" si="56"/>
        <v>5.1569750876778473</v>
      </c>
      <c r="AD118" s="3">
        <f t="shared" si="57"/>
        <v>747.92967188946307</v>
      </c>
      <c r="AI118" s="100">
        <f t="shared" si="58"/>
        <v>1.2820423814421253</v>
      </c>
    </row>
    <row r="119" spans="2:35">
      <c r="B119" s="39">
        <f t="shared" si="60"/>
        <v>91</v>
      </c>
      <c r="C119" s="45">
        <f t="shared" si="61"/>
        <v>2.673261390887161</v>
      </c>
      <c r="D119" s="10">
        <f t="shared" si="62"/>
        <v>21.826738609112908</v>
      </c>
      <c r="E119" s="40">
        <f t="shared" si="63"/>
        <v>25.346522781774183</v>
      </c>
      <c r="F119" s="40">
        <f t="shared" si="64"/>
        <v>69</v>
      </c>
      <c r="G119" s="3">
        <f t="shared" si="65"/>
        <v>438.61390887290327</v>
      </c>
      <c r="H119" s="3">
        <f t="shared" si="66"/>
        <v>221.47275588995251</v>
      </c>
      <c r="I119">
        <f t="shared" si="48"/>
        <v>2.214727558899525E-4</v>
      </c>
      <c r="J119" s="4">
        <f t="shared" si="67"/>
        <v>1183.1600921885779</v>
      </c>
      <c r="K119" s="40">
        <f t="shared" si="68"/>
        <v>5.3422376374657921</v>
      </c>
      <c r="L119" s="40">
        <f t="shared" si="49"/>
        <v>0.65776236253420794</v>
      </c>
      <c r="M119" s="10">
        <f t="shared" si="69"/>
        <v>5.2579750876778473</v>
      </c>
      <c r="N119" s="10">
        <f t="shared" si="50"/>
        <v>3.8408799049960156</v>
      </c>
      <c r="O119" s="10">
        <f t="shared" si="51"/>
        <v>0.68820000000000003</v>
      </c>
      <c r="P119" s="10">
        <f t="shared" si="70"/>
        <v>12.036439474461744</v>
      </c>
      <c r="Q119" s="45">
        <f t="shared" si="71"/>
        <v>0.25625504500049234</v>
      </c>
      <c r="R119" s="4">
        <f t="shared" si="72"/>
        <v>1418786.4185328595</v>
      </c>
      <c r="S119">
        <f t="shared" si="52"/>
        <v>1.4187864185328596E-3</v>
      </c>
      <c r="T119" s="44">
        <f t="shared" si="53"/>
        <v>6.5760997594914417E-4</v>
      </c>
      <c r="U119" s="45">
        <f t="shared" si="73"/>
        <v>2.532604696402081</v>
      </c>
      <c r="V119" s="45">
        <f t="shared" si="74"/>
        <v>1.305940443709326</v>
      </c>
      <c r="W119" s="45">
        <f t="shared" si="75"/>
        <v>1.2847856454139084</v>
      </c>
      <c r="X119" s="45">
        <f t="shared" si="76"/>
        <v>2.1154798295417665E-2</v>
      </c>
      <c r="Y119" s="45">
        <f t="shared" si="59"/>
        <v>1.0674052813675049E-2</v>
      </c>
      <c r="Z119" s="10">
        <f t="shared" si="77"/>
        <v>16.231585900546801</v>
      </c>
      <c r="AA119">
        <f t="shared" si="54"/>
        <v>5268970.5023638336</v>
      </c>
      <c r="AB119" s="10">
        <f t="shared" si="55"/>
        <v>5.2689705023638336</v>
      </c>
      <c r="AC119" s="10">
        <f t="shared" si="56"/>
        <v>5.1679705023638336</v>
      </c>
      <c r="AD119" s="3">
        <f t="shared" si="57"/>
        <v>749.52436582506652</v>
      </c>
      <c r="AI119" s="100">
        <f t="shared" si="58"/>
        <v>1.2847856454139084</v>
      </c>
    </row>
    <row r="120" spans="2:35">
      <c r="B120" s="39">
        <f t="shared" si="60"/>
        <v>92</v>
      </c>
      <c r="C120" s="45">
        <f t="shared" si="61"/>
        <v>2.7026378896881189</v>
      </c>
      <c r="D120" s="10">
        <f t="shared" si="62"/>
        <v>21.797362110311951</v>
      </c>
      <c r="E120" s="40">
        <f t="shared" si="63"/>
        <v>25.405275779376097</v>
      </c>
      <c r="F120" s="40">
        <f t="shared" si="64"/>
        <v>69</v>
      </c>
      <c r="G120" s="3">
        <f t="shared" si="65"/>
        <v>438.37889688249561</v>
      </c>
      <c r="H120" s="3">
        <f t="shared" si="66"/>
        <v>221.47275588995251</v>
      </c>
      <c r="I120">
        <f t="shared" si="48"/>
        <v>2.214727558899525E-4</v>
      </c>
      <c r="J120" s="4">
        <f t="shared" si="67"/>
        <v>1185.502008375116</v>
      </c>
      <c r="K120" s="40">
        <f t="shared" si="68"/>
        <v>5.3528119231251159</v>
      </c>
      <c r="L120" s="40">
        <f t="shared" si="49"/>
        <v>0.64718807687488411</v>
      </c>
      <c r="M120" s="10">
        <f t="shared" si="69"/>
        <v>5.2689705023638336</v>
      </c>
      <c r="N120" s="10">
        <f t="shared" si="50"/>
        <v>3.8408799049960156</v>
      </c>
      <c r="O120" s="10">
        <f t="shared" si="51"/>
        <v>0.68820000000000003</v>
      </c>
      <c r="P120" s="10">
        <f t="shared" si="70"/>
        <v>12.053756141756431</v>
      </c>
      <c r="Q120" s="45">
        <f t="shared" si="71"/>
        <v>0.25869216903514841</v>
      </c>
      <c r="R120" s="4">
        <f t="shared" si="72"/>
        <v>1416999.5775374104</v>
      </c>
      <c r="S120">
        <f t="shared" si="52"/>
        <v>1.4169995775374104E-3</v>
      </c>
      <c r="T120" s="44">
        <f t="shared" si="53"/>
        <v>6.5939681694459338E-4</v>
      </c>
      <c r="U120" s="45">
        <f t="shared" si="73"/>
        <v>2.5294150958831545</v>
      </c>
      <c r="V120" s="45">
        <f t="shared" si="74"/>
        <v>1.308755924429835</v>
      </c>
      <c r="W120" s="45">
        <f t="shared" si="75"/>
        <v>1.2875249937166922</v>
      </c>
      <c r="X120" s="45">
        <f t="shared" si="76"/>
        <v>2.1230930713142859E-2</v>
      </c>
      <c r="Y120" s="45">
        <f t="shared" si="59"/>
        <v>1.0725795225194167E-2</v>
      </c>
      <c r="Z120" s="10">
        <f t="shared" si="77"/>
        <v>16.266070671820387</v>
      </c>
      <c r="AA120">
        <f t="shared" si="54"/>
        <v>5279950.0999099147</v>
      </c>
      <c r="AB120" s="10">
        <f t="shared" si="55"/>
        <v>5.2799500999099145</v>
      </c>
      <c r="AC120" s="10">
        <f t="shared" si="56"/>
        <v>5.1789500999099145</v>
      </c>
      <c r="AD120" s="3">
        <f t="shared" si="57"/>
        <v>751.11676575923343</v>
      </c>
      <c r="AI120" s="100">
        <f t="shared" si="58"/>
        <v>1.2875249937166922</v>
      </c>
    </row>
    <row r="121" spans="2:35">
      <c r="B121" s="39">
        <f t="shared" si="60"/>
        <v>93</v>
      </c>
      <c r="C121" s="45">
        <f t="shared" si="61"/>
        <v>2.7320143884890769</v>
      </c>
      <c r="D121" s="10">
        <f t="shared" si="62"/>
        <v>21.767985611510994</v>
      </c>
      <c r="E121" s="40">
        <f t="shared" si="63"/>
        <v>25.464028776978012</v>
      </c>
      <c r="F121" s="40">
        <f t="shared" si="64"/>
        <v>69</v>
      </c>
      <c r="G121" s="3">
        <f t="shared" si="65"/>
        <v>438.14388489208795</v>
      </c>
      <c r="H121" s="3">
        <f t="shared" si="66"/>
        <v>221.47275588995251</v>
      </c>
      <c r="I121">
        <f t="shared" si="48"/>
        <v>2.214727558899525E-4</v>
      </c>
      <c r="J121" s="4">
        <f t="shared" si="67"/>
        <v>1187.8493468166284</v>
      </c>
      <c r="K121" s="40">
        <f t="shared" si="68"/>
        <v>5.3634106915022013</v>
      </c>
      <c r="L121" s="40">
        <f t="shared" si="49"/>
        <v>0.63658930849779871</v>
      </c>
      <c r="M121" s="10">
        <f t="shared" si="69"/>
        <v>5.2799500999099145</v>
      </c>
      <c r="N121" s="10">
        <f t="shared" si="50"/>
        <v>3.8408799049960156</v>
      </c>
      <c r="O121" s="10">
        <f t="shared" si="51"/>
        <v>0.68820000000000003</v>
      </c>
      <c r="P121" s="10">
        <f t="shared" si="70"/>
        <v>12.071036659121301</v>
      </c>
      <c r="Q121" s="45">
        <f t="shared" si="71"/>
        <v>0.26112580415949871</v>
      </c>
      <c r="R121" s="4">
        <f t="shared" si="72"/>
        <v>1415211.4615708708</v>
      </c>
      <c r="S121">
        <f t="shared" si="52"/>
        <v>1.4152114615708709E-3</v>
      </c>
      <c r="T121" s="44">
        <f t="shared" si="53"/>
        <v>6.6118493291113288E-4</v>
      </c>
      <c r="U121" s="45">
        <f t="shared" si="73"/>
        <v>2.5262232194770831</v>
      </c>
      <c r="V121" s="45">
        <f t="shared" si="74"/>
        <v>1.3115673644476862</v>
      </c>
      <c r="W121" s="45">
        <f t="shared" si="75"/>
        <v>1.2902604014081762</v>
      </c>
      <c r="X121" s="45">
        <f t="shared" si="76"/>
        <v>2.1306963039509963E-2</v>
      </c>
      <c r="Y121" s="45">
        <f t="shared" si="59"/>
        <v>1.0777648598840351E-2</v>
      </c>
      <c r="Z121" s="10">
        <f t="shared" si="77"/>
        <v>16.300505444652849</v>
      </c>
      <c r="AA121">
        <f t="shared" si="54"/>
        <v>5290913.7784650568</v>
      </c>
      <c r="AB121" s="10">
        <f t="shared" si="55"/>
        <v>5.2909137784650566</v>
      </c>
      <c r="AC121" s="10">
        <f t="shared" si="56"/>
        <v>5.1899137784650566</v>
      </c>
      <c r="AD121" s="3">
        <f t="shared" si="57"/>
        <v>752.70685692024028</v>
      </c>
      <c r="AI121" s="100">
        <f t="shared" si="58"/>
        <v>1.2902604014081762</v>
      </c>
    </row>
    <row r="122" spans="2:35">
      <c r="B122" s="39">
        <f t="shared" si="60"/>
        <v>94</v>
      </c>
      <c r="C122" s="45">
        <f t="shared" si="61"/>
        <v>2.7613908872900348</v>
      </c>
      <c r="D122" s="10">
        <f t="shared" si="62"/>
        <v>21.738609112710037</v>
      </c>
      <c r="E122" s="40">
        <f t="shared" si="63"/>
        <v>25.522781774579926</v>
      </c>
      <c r="F122" s="40">
        <f t="shared" si="64"/>
        <v>69</v>
      </c>
      <c r="G122" s="3">
        <f t="shared" si="65"/>
        <v>437.9088729016803</v>
      </c>
      <c r="H122" s="3">
        <f t="shared" si="66"/>
        <v>221.47275588995251</v>
      </c>
      <c r="I122">
        <f t="shared" si="48"/>
        <v>2.214727558899525E-4</v>
      </c>
      <c r="J122" s="4">
        <f t="shared" si="67"/>
        <v>1190.2021075131152</v>
      </c>
      <c r="K122" s="40">
        <f t="shared" si="68"/>
        <v>5.3740339425970483</v>
      </c>
      <c r="L122" s="40">
        <f t="shared" si="49"/>
        <v>0.62596605740295175</v>
      </c>
      <c r="M122" s="10">
        <f t="shared" si="69"/>
        <v>5.2909137784650566</v>
      </c>
      <c r="N122" s="10">
        <f t="shared" si="50"/>
        <v>3.8408799049960156</v>
      </c>
      <c r="O122" s="10">
        <f t="shared" si="51"/>
        <v>0.68820000000000003</v>
      </c>
      <c r="P122" s="10">
        <f t="shared" si="70"/>
        <v>12.088280945512969</v>
      </c>
      <c r="Q122" s="45">
        <f t="shared" si="71"/>
        <v>0.26355596763215211</v>
      </c>
      <c r="R122" s="4">
        <f t="shared" si="72"/>
        <v>1413422.0744561255</v>
      </c>
      <c r="S122">
        <f t="shared" si="52"/>
        <v>1.4134220744561254E-3</v>
      </c>
      <c r="T122" s="44">
        <f t="shared" si="53"/>
        <v>6.629743200258784E-4</v>
      </c>
      <c r="U122" s="45">
        <f t="shared" si="73"/>
        <v>2.5230290740079071</v>
      </c>
      <c r="V122" s="45">
        <f t="shared" si="74"/>
        <v>1.3143747345063965</v>
      </c>
      <c r="W122" s="45">
        <f t="shared" si="75"/>
        <v>1.2929918431136513</v>
      </c>
      <c r="X122" s="45">
        <f t="shared" si="76"/>
        <v>2.1382891392745185E-2</v>
      </c>
      <c r="Y122" s="45">
        <f t="shared" si="59"/>
        <v>1.0829612520442716E-2</v>
      </c>
      <c r="Z122" s="10">
        <f t="shared" si="77"/>
        <v>16.334889894407969</v>
      </c>
      <c r="AA122">
        <f t="shared" si="54"/>
        <v>5301861.4346684162</v>
      </c>
      <c r="AB122" s="10">
        <f t="shared" si="55"/>
        <v>5.3018614346684165</v>
      </c>
      <c r="AC122" s="10">
        <f t="shared" si="56"/>
        <v>5.2008614346684165</v>
      </c>
      <c r="AD122" s="3">
        <f t="shared" si="57"/>
        <v>754.29462431739171</v>
      </c>
      <c r="AI122" s="100">
        <f t="shared" si="58"/>
        <v>1.2929918431136513</v>
      </c>
    </row>
    <row r="123" spans="2:35">
      <c r="B123" s="39">
        <f t="shared" si="60"/>
        <v>95</v>
      </c>
      <c r="C123" s="45">
        <f t="shared" si="61"/>
        <v>2.7907673860909927</v>
      </c>
      <c r="D123" s="10">
        <f t="shared" si="62"/>
        <v>21.70923261390908</v>
      </c>
      <c r="E123" s="40">
        <f t="shared" si="63"/>
        <v>25.58153477218184</v>
      </c>
      <c r="F123" s="40">
        <f t="shared" si="64"/>
        <v>69</v>
      </c>
      <c r="G123" s="3">
        <f t="shared" si="65"/>
        <v>437.67386091127264</v>
      </c>
      <c r="H123" s="3">
        <f t="shared" si="66"/>
        <v>221.47275588995251</v>
      </c>
      <c r="I123">
        <f t="shared" si="48"/>
        <v>2.214727558899525E-4</v>
      </c>
      <c r="J123" s="4">
        <f t="shared" si="67"/>
        <v>1192.5602904645748</v>
      </c>
      <c r="K123" s="40">
        <f t="shared" si="68"/>
        <v>5.3846816764096506</v>
      </c>
      <c r="L123" s="40">
        <f t="shared" si="49"/>
        <v>0.61531832359034944</v>
      </c>
      <c r="M123" s="10">
        <f t="shared" si="69"/>
        <v>5.3018614346684165</v>
      </c>
      <c r="N123" s="10">
        <f t="shared" si="50"/>
        <v>3.8408799049960156</v>
      </c>
      <c r="O123" s="10">
        <f t="shared" si="51"/>
        <v>0.68820000000000003</v>
      </c>
      <c r="P123" s="10">
        <f t="shared" si="70"/>
        <v>12.105488917448422</v>
      </c>
      <c r="Q123" s="45">
        <f t="shared" si="71"/>
        <v>0.2659826766235267</v>
      </c>
      <c r="R123" s="4">
        <f t="shared" si="72"/>
        <v>1411631.4200160597</v>
      </c>
      <c r="S123">
        <f t="shared" si="52"/>
        <v>1.4116314200160597E-3</v>
      </c>
      <c r="T123" s="44">
        <f t="shared" si="53"/>
        <v>6.6476497446594411E-4</v>
      </c>
      <c r="U123" s="45">
        <f t="shared" si="73"/>
        <v>2.5198326662996671</v>
      </c>
      <c r="V123" s="45">
        <f t="shared" si="74"/>
        <v>1.3171780051094839</v>
      </c>
      <c r="W123" s="45">
        <f t="shared" si="75"/>
        <v>1.2957192930822599</v>
      </c>
      <c r="X123" s="45">
        <f t="shared" si="76"/>
        <v>2.1458712027224047E-2</v>
      </c>
      <c r="Y123" s="45">
        <f t="shared" si="59"/>
        <v>1.0881686569862499E-2</v>
      </c>
      <c r="Z123" s="10">
        <f t="shared" si="77"/>
        <v>16.369223692335144</v>
      </c>
      <c r="AA123">
        <f t="shared" si="54"/>
        <v>5312792.9638491711</v>
      </c>
      <c r="AB123" s="10">
        <f t="shared" si="55"/>
        <v>5.3127929638491711</v>
      </c>
      <c r="AC123" s="10">
        <f t="shared" si="56"/>
        <v>5.2117929638491711</v>
      </c>
      <c r="AD123" s="3">
        <f t="shared" si="57"/>
        <v>755.88005277000309</v>
      </c>
      <c r="AI123" s="100">
        <f t="shared" si="58"/>
        <v>1.2957192930822599</v>
      </c>
    </row>
    <row r="124" spans="2:35">
      <c r="B124" s="39">
        <f t="shared" si="60"/>
        <v>96</v>
      </c>
      <c r="C124" s="45">
        <f t="shared" si="61"/>
        <v>2.8201438848919507</v>
      </c>
      <c r="D124" s="10">
        <f t="shared" si="62"/>
        <v>21.679856115108123</v>
      </c>
      <c r="E124" s="40">
        <f t="shared" si="63"/>
        <v>25.640287769783754</v>
      </c>
      <c r="F124" s="40">
        <f t="shared" si="64"/>
        <v>69</v>
      </c>
      <c r="G124" s="3">
        <f t="shared" si="65"/>
        <v>437.43884892086498</v>
      </c>
      <c r="H124" s="3">
        <f t="shared" si="66"/>
        <v>221.47275588995251</v>
      </c>
      <c r="I124">
        <f t="shared" si="48"/>
        <v>2.214727558899525E-4</v>
      </c>
      <c r="J124" s="4">
        <f t="shared" si="67"/>
        <v>1194.9238956710092</v>
      </c>
      <c r="K124" s="40">
        <f t="shared" si="68"/>
        <v>5.3953538929400162</v>
      </c>
      <c r="L124" s="40">
        <f t="shared" si="49"/>
        <v>0.60464610705998378</v>
      </c>
      <c r="M124" s="10">
        <f t="shared" si="69"/>
        <v>5.3127929638491711</v>
      </c>
      <c r="N124" s="10">
        <f t="shared" si="50"/>
        <v>3.8408799049960156</v>
      </c>
      <c r="O124" s="10">
        <f t="shared" si="51"/>
        <v>0.68820000000000003</v>
      </c>
      <c r="P124" s="10">
        <f t="shared" si="70"/>
        <v>12.122660489326192</v>
      </c>
      <c r="Q124" s="45">
        <f t="shared" si="71"/>
        <v>0.26840594821698782</v>
      </c>
      <c r="R124" s="4">
        <f t="shared" si="72"/>
        <v>1409839.5020735573</v>
      </c>
      <c r="S124">
        <f t="shared" si="52"/>
        <v>1.4098395020735574E-3</v>
      </c>
      <c r="T124" s="44">
        <f t="shared" si="53"/>
        <v>6.6655689240844641E-4</v>
      </c>
      <c r="U124" s="45">
        <f t="shared" si="73"/>
        <v>2.5166340031764038</v>
      </c>
      <c r="V124" s="45">
        <f t="shared" si="74"/>
        <v>1.3199771465544341</v>
      </c>
      <c r="W124" s="45">
        <f t="shared" si="75"/>
        <v>1.2984427252367834</v>
      </c>
      <c r="X124" s="45">
        <f t="shared" si="76"/>
        <v>2.1534421317650709E-2</v>
      </c>
      <c r="Y124" s="45">
        <f t="shared" si="59"/>
        <v>1.0933870321323185E-2</v>
      </c>
      <c r="Z124" s="10">
        <f t="shared" si="77"/>
        <v>16.403506506123158</v>
      </c>
      <c r="AA124">
        <f t="shared" si="54"/>
        <v>5323708.260202839</v>
      </c>
      <c r="AB124" s="10">
        <f t="shared" si="55"/>
        <v>5.3237082602028387</v>
      </c>
      <c r="AC124" s="10">
        <f t="shared" si="56"/>
        <v>5.2227082602028387</v>
      </c>
      <c r="AD124" s="3">
        <f t="shared" si="57"/>
        <v>757.46312693297159</v>
      </c>
      <c r="AI124" s="100">
        <f t="shared" si="58"/>
        <v>1.2984427252367834</v>
      </c>
    </row>
    <row r="125" spans="2:35">
      <c r="B125" s="39">
        <f t="shared" si="60"/>
        <v>97</v>
      </c>
      <c r="C125" s="45">
        <f t="shared" si="61"/>
        <v>2.8495203836929086</v>
      </c>
      <c r="D125" s="10">
        <f t="shared" si="62"/>
        <v>21.650479616307166</v>
      </c>
      <c r="E125" s="40">
        <f t="shared" si="63"/>
        <v>25.699040767385668</v>
      </c>
      <c r="F125" s="40">
        <f t="shared" si="64"/>
        <v>69</v>
      </c>
      <c r="G125" s="3">
        <f t="shared" si="65"/>
        <v>437.20383693045733</v>
      </c>
      <c r="H125" s="3">
        <f t="shared" si="66"/>
        <v>221.47275588995251</v>
      </c>
      <c r="I125">
        <f t="shared" si="48"/>
        <v>2.214727558899525E-4</v>
      </c>
      <c r="J125" s="4">
        <f t="shared" si="67"/>
        <v>1197.2929231324169</v>
      </c>
      <c r="K125" s="40">
        <f t="shared" si="68"/>
        <v>5.406050592188139</v>
      </c>
      <c r="L125" s="40">
        <f t="shared" si="49"/>
        <v>0.59394940781186101</v>
      </c>
      <c r="M125" s="10">
        <f t="shared" si="69"/>
        <v>5.3237082602028387</v>
      </c>
      <c r="N125" s="10">
        <f t="shared" si="50"/>
        <v>3.8408799049960156</v>
      </c>
      <c r="O125" s="10">
        <f t="shared" si="51"/>
        <v>0.68820000000000003</v>
      </c>
      <c r="P125" s="10">
        <f t="shared" si="70"/>
        <v>12.139795573709351</v>
      </c>
      <c r="Q125" s="45">
        <f t="shared" si="71"/>
        <v>0.27082579940991708</v>
      </c>
      <c r="R125" s="4">
        <f t="shared" si="72"/>
        <v>1408046.3244515043</v>
      </c>
      <c r="S125">
        <f t="shared" si="52"/>
        <v>1.4080463244515043E-3</v>
      </c>
      <c r="T125" s="44">
        <f t="shared" si="53"/>
        <v>6.6835007003049948E-4</v>
      </c>
      <c r="U125" s="45">
        <f t="shared" si="73"/>
        <v>2.5134330914621579</v>
      </c>
      <c r="V125" s="45">
        <f t="shared" si="74"/>
        <v>1.3227721289635292</v>
      </c>
      <c r="W125" s="45">
        <f t="shared" si="75"/>
        <v>1.301162113217567</v>
      </c>
      <c r="X125" s="45">
        <f t="shared" si="76"/>
        <v>2.1610015745962219E-2</v>
      </c>
      <c r="Y125" s="45">
        <f t="shared" si="59"/>
        <v>1.0986163343705271E-2</v>
      </c>
      <c r="Z125" s="10">
        <f t="shared" si="77"/>
        <v>16.437738000392411</v>
      </c>
      <c r="AA125">
        <f t="shared" si="54"/>
        <v>5334607.2169479942</v>
      </c>
      <c r="AB125" s="10">
        <f t="shared" si="55"/>
        <v>5.3346072169479939</v>
      </c>
      <c r="AC125" s="10">
        <f t="shared" si="56"/>
        <v>5.2336072169479939</v>
      </c>
      <c r="AD125" s="3">
        <f t="shared" si="57"/>
        <v>759.04383131950601</v>
      </c>
      <c r="AI125" s="100">
        <f t="shared" si="58"/>
        <v>1.301162113217567</v>
      </c>
    </row>
    <row r="126" spans="2:35">
      <c r="B126" s="39">
        <f t="shared" si="60"/>
        <v>98</v>
      </c>
      <c r="C126" s="45">
        <f t="shared" si="61"/>
        <v>2.8788968824938665</v>
      </c>
      <c r="D126" s="10">
        <f t="shared" si="62"/>
        <v>21.621103117506209</v>
      </c>
      <c r="E126" s="40">
        <f t="shared" si="63"/>
        <v>25.757793764987582</v>
      </c>
      <c r="F126" s="40">
        <f t="shared" si="64"/>
        <v>69</v>
      </c>
      <c r="G126" s="3">
        <f t="shared" si="65"/>
        <v>436.96882494004967</v>
      </c>
      <c r="H126" s="3">
        <f t="shared" si="66"/>
        <v>221.47275588995251</v>
      </c>
      <c r="I126">
        <f t="shared" si="48"/>
        <v>2.214727558899525E-4</v>
      </c>
      <c r="J126" s="4">
        <f t="shared" si="67"/>
        <v>1199.667372848799</v>
      </c>
      <c r="K126" s="40">
        <f t="shared" si="68"/>
        <v>5.4167717741540233</v>
      </c>
      <c r="L126" s="40">
        <f t="shared" si="49"/>
        <v>0.58322822584597667</v>
      </c>
      <c r="M126" s="10">
        <f t="shared" si="69"/>
        <v>5.3346072169479939</v>
      </c>
      <c r="N126" s="10">
        <f t="shared" si="50"/>
        <v>3.8408799049960156</v>
      </c>
      <c r="O126" s="10">
        <f t="shared" si="51"/>
        <v>0.68820000000000003</v>
      </c>
      <c r="P126" s="10">
        <f t="shared" si="70"/>
        <v>12.156894081576572</v>
      </c>
      <c r="Q126" s="45">
        <f t="shared" si="71"/>
        <v>0.27324224711472</v>
      </c>
      <c r="R126" s="4">
        <f t="shared" si="72"/>
        <v>1406251.8909727845</v>
      </c>
      <c r="S126">
        <f t="shared" si="52"/>
        <v>1.4062518909727846E-3</v>
      </c>
      <c r="T126" s="44">
        <f t="shared" si="53"/>
        <v>6.7014450350921925E-4</v>
      </c>
      <c r="U126" s="45">
        <f t="shared" si="73"/>
        <v>2.5102299379809692</v>
      </c>
      <c r="V126" s="45">
        <f t="shared" si="74"/>
        <v>1.3255629223103538</v>
      </c>
      <c r="W126" s="45">
        <f t="shared" si="75"/>
        <v>1.3038774304215655</v>
      </c>
      <c r="X126" s="45">
        <f t="shared" si="76"/>
        <v>2.1685491888788322E-2</v>
      </c>
      <c r="Y126" s="45">
        <f t="shared" si="59"/>
        <v>1.1038565200807456E-2</v>
      </c>
      <c r="Z126" s="10">
        <f t="shared" si="77"/>
        <v>16.471917837128984</v>
      </c>
      <c r="AA126">
        <f t="shared" si="54"/>
        <v>5345489.7264644718</v>
      </c>
      <c r="AB126" s="10">
        <f t="shared" si="55"/>
        <v>5.3454897264644714</v>
      </c>
      <c r="AC126" s="10">
        <f t="shared" si="56"/>
        <v>5.2444897264644714</v>
      </c>
      <c r="AD126" s="3">
        <f t="shared" si="57"/>
        <v>760.62215032117069</v>
      </c>
      <c r="AI126" s="100">
        <f t="shared" si="58"/>
        <v>1.3038774304215655</v>
      </c>
    </row>
    <row r="127" spans="2:35">
      <c r="B127" s="39">
        <f t="shared" si="60"/>
        <v>99</v>
      </c>
      <c r="C127" s="45">
        <f t="shared" si="61"/>
        <v>2.9082733812948245</v>
      </c>
      <c r="D127" s="10">
        <f t="shared" si="62"/>
        <v>21.591726618705252</v>
      </c>
      <c r="E127" s="40">
        <f t="shared" si="63"/>
        <v>25.816546762589496</v>
      </c>
      <c r="F127" s="40">
        <f t="shared" si="64"/>
        <v>69</v>
      </c>
      <c r="G127" s="3">
        <f t="shared" si="65"/>
        <v>436.73381294964202</v>
      </c>
      <c r="H127" s="3">
        <f t="shared" si="66"/>
        <v>221.47275588995251</v>
      </c>
      <c r="I127">
        <f t="shared" si="48"/>
        <v>2.214727558899525E-4</v>
      </c>
      <c r="J127" s="4">
        <f t="shared" si="67"/>
        <v>1202.0472448201549</v>
      </c>
      <c r="K127" s="40">
        <f t="shared" si="68"/>
        <v>5.4275174388376675</v>
      </c>
      <c r="L127" s="40">
        <f t="shared" si="49"/>
        <v>0.57248256116233254</v>
      </c>
      <c r="M127" s="10">
        <f t="shared" si="69"/>
        <v>5.3454897264644714</v>
      </c>
      <c r="N127" s="10">
        <f t="shared" si="50"/>
        <v>3.8408799049960156</v>
      </c>
      <c r="O127" s="10">
        <f t="shared" si="51"/>
        <v>0.68820000000000003</v>
      </c>
      <c r="P127" s="10">
        <f t="shared" si="70"/>
        <v>12.173955922543197</v>
      </c>
      <c r="Q127" s="45">
        <f t="shared" si="71"/>
        <v>0.27565530815977929</v>
      </c>
      <c r="R127" s="4">
        <f t="shared" si="72"/>
        <v>1404456.2054602832</v>
      </c>
      <c r="S127">
        <f t="shared" si="52"/>
        <v>1.4044562054602832E-3</v>
      </c>
      <c r="T127" s="44">
        <f t="shared" si="53"/>
        <v>6.7194018902172058E-4</v>
      </c>
      <c r="U127" s="45">
        <f t="shared" si="73"/>
        <v>2.5070245495568786</v>
      </c>
      <c r="V127" s="45">
        <f t="shared" si="74"/>
        <v>1.328349496442939</v>
      </c>
      <c r="W127" s="45">
        <f t="shared" si="75"/>
        <v>1.3065886500367732</v>
      </c>
      <c r="X127" s="45">
        <f t="shared" si="76"/>
        <v>2.1760846406165824E-2</v>
      </c>
      <c r="Y127" s="45">
        <f t="shared" si="59"/>
        <v>1.1091075451577692E-2</v>
      </c>
      <c r="Z127" s="10">
        <f t="shared" si="77"/>
        <v>16.506045676067117</v>
      </c>
      <c r="AA127">
        <f t="shared" si="54"/>
        <v>5356355.6804151423</v>
      </c>
      <c r="AB127" s="10">
        <f t="shared" si="55"/>
        <v>5.3563556804151427</v>
      </c>
      <c r="AC127" s="10">
        <f t="shared" si="56"/>
        <v>5.2553556804151427</v>
      </c>
      <c r="AD127" s="3">
        <f t="shared" si="57"/>
        <v>762.19806822554642</v>
      </c>
      <c r="AI127" s="100">
        <f t="shared" si="58"/>
        <v>1.3065886500367732</v>
      </c>
    </row>
    <row r="128" spans="2:35">
      <c r="B128" s="39">
        <f t="shared" si="60"/>
        <v>100</v>
      </c>
      <c r="C128" s="45">
        <f t="shared" si="61"/>
        <v>2.9376498800957824</v>
      </c>
      <c r="D128" s="10">
        <f t="shared" si="62"/>
        <v>21.562350119904295</v>
      </c>
      <c r="E128" s="40">
        <f t="shared" si="63"/>
        <v>25.87529976019141</v>
      </c>
      <c r="F128" s="40">
        <f t="shared" si="64"/>
        <v>69</v>
      </c>
      <c r="G128" s="3">
        <f t="shared" si="65"/>
        <v>436.49880095923436</v>
      </c>
      <c r="H128" s="3">
        <f t="shared" si="66"/>
        <v>221.47275588995251</v>
      </c>
      <c r="I128">
        <f t="shared" si="48"/>
        <v>2.214727558899525E-4</v>
      </c>
      <c r="J128" s="4">
        <f t="shared" si="67"/>
        <v>1204.4325390464846</v>
      </c>
      <c r="K128" s="40">
        <f t="shared" si="68"/>
        <v>5.4382875862390705</v>
      </c>
      <c r="L128" s="40">
        <f t="shared" si="49"/>
        <v>0.56171241376092951</v>
      </c>
      <c r="M128" s="10">
        <f t="shared" si="69"/>
        <v>5.3563556804151427</v>
      </c>
      <c r="N128" s="10">
        <f t="shared" si="50"/>
        <v>3.8408799049960156</v>
      </c>
      <c r="O128" s="10">
        <f t="shared" si="51"/>
        <v>0.68820000000000003</v>
      </c>
      <c r="P128" s="10">
        <f t="shared" si="70"/>
        <v>12.190981005055656</v>
      </c>
      <c r="Q128" s="45">
        <f t="shared" si="71"/>
        <v>0.27806499929035977</v>
      </c>
      <c r="R128" s="4">
        <f t="shared" si="72"/>
        <v>1402659.2717368852</v>
      </c>
      <c r="S128">
        <f t="shared" si="52"/>
        <v>1.4026592717368853E-3</v>
      </c>
      <c r="T128" s="44">
        <f t="shared" si="53"/>
        <v>6.7373712274511853E-4</v>
      </c>
      <c r="U128" s="45">
        <f t="shared" si="73"/>
        <v>2.5038169330139266</v>
      </c>
      <c r="V128" s="45">
        <f t="shared" si="74"/>
        <v>1.3311318211057559</v>
      </c>
      <c r="W128" s="45">
        <f t="shared" si="75"/>
        <v>1.309295745072564</v>
      </c>
      <c r="X128" s="45">
        <f t="shared" si="76"/>
        <v>2.1836076033191931E-2</v>
      </c>
      <c r="Y128" s="45">
        <f t="shared" si="59"/>
        <v>1.1143693650321557E-2</v>
      </c>
      <c r="Z128" s="10">
        <f t="shared" si="77"/>
        <v>16.540121175031835</v>
      </c>
      <c r="AA128">
        <f t="shared" si="54"/>
        <v>5367204.9698550031</v>
      </c>
      <c r="AB128" s="10">
        <f t="shared" si="55"/>
        <v>5.3672049698550026</v>
      </c>
      <c r="AC128" s="10">
        <f t="shared" si="56"/>
        <v>5.2662049698550026</v>
      </c>
      <c r="AD128" s="3">
        <f t="shared" si="57"/>
        <v>763.77156923205268</v>
      </c>
      <c r="AI128" s="100">
        <f t="shared" si="58"/>
        <v>1.309295745072564</v>
      </c>
    </row>
    <row r="129" spans="2:35">
      <c r="B129" s="39">
        <f t="shared" si="60"/>
        <v>101</v>
      </c>
      <c r="C129" s="45">
        <f t="shared" si="61"/>
        <v>2.9670263788967404</v>
      </c>
      <c r="D129" s="10">
        <f t="shared" si="62"/>
        <v>21.532973621103338</v>
      </c>
      <c r="E129" s="40">
        <f t="shared" si="63"/>
        <v>25.934052757793324</v>
      </c>
      <c r="F129" s="40">
        <f t="shared" si="64"/>
        <v>69</v>
      </c>
      <c r="G129" s="3">
        <f t="shared" si="65"/>
        <v>436.2637889688267</v>
      </c>
      <c r="H129" s="3">
        <f t="shared" si="66"/>
        <v>221.47275588995251</v>
      </c>
      <c r="I129">
        <f t="shared" si="48"/>
        <v>2.214727558899525E-4</v>
      </c>
      <c r="J129" s="4">
        <f t="shared" si="67"/>
        <v>1206.8232555277882</v>
      </c>
      <c r="K129" s="40">
        <f t="shared" si="68"/>
        <v>5.4490822163582324</v>
      </c>
      <c r="L129" s="40">
        <f t="shared" si="49"/>
        <v>0.55091778364176758</v>
      </c>
      <c r="M129" s="10">
        <f t="shared" si="69"/>
        <v>5.3672049698550026</v>
      </c>
      <c r="N129" s="10">
        <f t="shared" si="50"/>
        <v>3.8408799049960156</v>
      </c>
      <c r="O129" s="10">
        <f t="shared" si="51"/>
        <v>0.68820000000000003</v>
      </c>
      <c r="P129" s="10">
        <f t="shared" si="70"/>
        <v>12.20796923656531</v>
      </c>
      <c r="Q129" s="45">
        <f t="shared" si="71"/>
        <v>0.28047133716946987</v>
      </c>
      <c r="R129" s="4">
        <f t="shared" si="72"/>
        <v>1400861.0936254752</v>
      </c>
      <c r="S129">
        <f t="shared" si="52"/>
        <v>1.4008610936254752E-3</v>
      </c>
      <c r="T129" s="44">
        <f t="shared" si="53"/>
        <v>6.755353008565286E-4</v>
      </c>
      <c r="U129" s="45">
        <f t="shared" si="73"/>
        <v>2.5006070951761545</v>
      </c>
      <c r="V129" s="45">
        <f t="shared" si="74"/>
        <v>1.333909865957442</v>
      </c>
      <c r="W129" s="45">
        <f t="shared" si="75"/>
        <v>1.3119986883868686</v>
      </c>
      <c r="X129" s="45">
        <f t="shared" si="76"/>
        <v>2.191117757057337E-2</v>
      </c>
      <c r="Y129" s="45">
        <f t="shared" si="59"/>
        <v>1.1196419346885535E-2</v>
      </c>
      <c r="Z129" s="10">
        <f t="shared" si="77"/>
        <v>16.574143990239008</v>
      </c>
      <c r="AA129">
        <f t="shared" si="54"/>
        <v>5378037.485326712</v>
      </c>
      <c r="AB129" s="10">
        <f t="shared" si="55"/>
        <v>5.3780374853267121</v>
      </c>
      <c r="AC129" s="10">
        <f t="shared" si="56"/>
        <v>5.2770374853267121</v>
      </c>
      <c r="AD129" s="3">
        <f t="shared" si="57"/>
        <v>765.34263746580302</v>
      </c>
      <c r="AI129" s="100">
        <f t="shared" si="58"/>
        <v>1.3119986883868686</v>
      </c>
    </row>
    <row r="130" spans="2:35">
      <c r="B130" s="39">
        <f t="shared" si="60"/>
        <v>102</v>
      </c>
      <c r="C130" s="45">
        <f t="shared" si="61"/>
        <v>2.9964028776976983</v>
      </c>
      <c r="D130" s="10">
        <f t="shared" si="62"/>
        <v>21.503597122302381</v>
      </c>
      <c r="E130" s="40">
        <f t="shared" si="63"/>
        <v>25.992805755395239</v>
      </c>
      <c r="F130" s="40">
        <f t="shared" si="64"/>
        <v>69</v>
      </c>
      <c r="G130" s="3">
        <f t="shared" si="65"/>
        <v>436.02877697841905</v>
      </c>
      <c r="H130" s="3">
        <f t="shared" si="66"/>
        <v>221.47275588995251</v>
      </c>
      <c r="I130">
        <f t="shared" si="48"/>
        <v>2.214727558899525E-4</v>
      </c>
      <c r="J130" s="4">
        <f t="shared" si="67"/>
        <v>1209.2193942640656</v>
      </c>
      <c r="K130" s="40">
        <f t="shared" si="68"/>
        <v>5.4599013291951541</v>
      </c>
      <c r="L130" s="40">
        <f t="shared" si="49"/>
        <v>0.54009867080484586</v>
      </c>
      <c r="M130" s="10">
        <f t="shared" si="69"/>
        <v>5.3780374853267121</v>
      </c>
      <c r="N130" s="10">
        <f t="shared" si="50"/>
        <v>3.8408799049960156</v>
      </c>
      <c r="O130" s="10">
        <f t="shared" si="51"/>
        <v>0.68820000000000003</v>
      </c>
      <c r="P130" s="10">
        <f t="shared" si="70"/>
        <v>12.224920523680323</v>
      </c>
      <c r="Q130" s="45">
        <f t="shared" si="71"/>
        <v>0.28287433837868459</v>
      </c>
      <c r="R130" s="4">
        <f t="shared" si="72"/>
        <v>1399061.6749489382</v>
      </c>
      <c r="S130">
        <f t="shared" si="52"/>
        <v>1.3990616749489382E-3</v>
      </c>
      <c r="T130" s="44">
        <f t="shared" si="53"/>
        <v>6.7733471953306565E-4</v>
      </c>
      <c r="U130" s="45">
        <f t="shared" si="73"/>
        <v>2.4973950428676024</v>
      </c>
      <c r="V130" s="45">
        <f t="shared" si="74"/>
        <v>1.3366836005887088</v>
      </c>
      <c r="W130" s="45">
        <f t="shared" si="75"/>
        <v>1.3146974527099755</v>
      </c>
      <c r="X130" s="45">
        <f t="shared" si="76"/>
        <v>2.198614787873332E-2</v>
      </c>
      <c r="Y130" s="45">
        <f t="shared" si="59"/>
        <v>1.1249252086824105E-2</v>
      </c>
      <c r="Z130" s="10">
        <f t="shared" si="77"/>
        <v>16.608113776566782</v>
      </c>
      <c r="AA130">
        <f t="shared" si="54"/>
        <v>5388853.1169470102</v>
      </c>
      <c r="AB130" s="10">
        <f t="shared" si="55"/>
        <v>5.3888531169470104</v>
      </c>
      <c r="AC130" s="10">
        <f t="shared" si="56"/>
        <v>5.2878531169470104</v>
      </c>
      <c r="AD130" s="3">
        <f t="shared" si="57"/>
        <v>766.91125699013924</v>
      </c>
      <c r="AI130" s="100">
        <f t="shared" si="58"/>
        <v>1.3146974527099755</v>
      </c>
    </row>
    <row r="131" spans="2:35">
      <c r="B131" s="39">
        <f t="shared" si="60"/>
        <v>103</v>
      </c>
      <c r="C131" s="45">
        <f t="shared" si="61"/>
        <v>3.0257793764986562</v>
      </c>
      <c r="D131" s="10">
        <f t="shared" si="62"/>
        <v>21.474220623501424</v>
      </c>
      <c r="E131" s="40">
        <f t="shared" si="63"/>
        <v>26.051558752997153</v>
      </c>
      <c r="F131" s="40">
        <f t="shared" si="64"/>
        <v>69</v>
      </c>
      <c r="G131" s="3">
        <f t="shared" si="65"/>
        <v>435.79376498801139</v>
      </c>
      <c r="H131" s="3">
        <f t="shared" si="66"/>
        <v>221.47275588995251</v>
      </c>
      <c r="I131">
        <f t="shared" si="48"/>
        <v>2.214727558899525E-4</v>
      </c>
      <c r="J131" s="4">
        <f t="shared" si="67"/>
        <v>1211.6209552553173</v>
      </c>
      <c r="K131" s="40">
        <f t="shared" si="68"/>
        <v>5.4707449247498374</v>
      </c>
      <c r="L131" s="40">
        <f t="shared" si="49"/>
        <v>0.52925507525016258</v>
      </c>
      <c r="M131" s="10">
        <f t="shared" si="69"/>
        <v>5.3888531169470104</v>
      </c>
      <c r="N131" s="10">
        <f t="shared" si="50"/>
        <v>3.8408799049960156</v>
      </c>
      <c r="O131" s="10">
        <f t="shared" si="51"/>
        <v>0.68820000000000003</v>
      </c>
      <c r="P131" s="10">
        <f t="shared" si="70"/>
        <v>12.241834772302736</v>
      </c>
      <c r="Q131" s="45">
        <f t="shared" si="71"/>
        <v>0.28527401941893377</v>
      </c>
      <c r="R131" s="4">
        <f t="shared" si="72"/>
        <v>1397261.0195301583</v>
      </c>
      <c r="S131">
        <f t="shared" si="52"/>
        <v>1.3972610195301582E-3</v>
      </c>
      <c r="T131" s="44">
        <f t="shared" si="53"/>
        <v>6.791353749518456E-4</v>
      </c>
      <c r="U131" s="45">
        <f t="shared" si="73"/>
        <v>2.4941807829123088</v>
      </c>
      <c r="V131" s="45">
        <f t="shared" si="74"/>
        <v>1.3394529945362235</v>
      </c>
      <c r="W131" s="45">
        <f t="shared" si="75"/>
        <v>1.3173920106660619</v>
      </c>
      <c r="X131" s="45">
        <f t="shared" si="76"/>
        <v>2.2060983870161532E-2</v>
      </c>
      <c r="Y131" s="45">
        <f t="shared" si="59"/>
        <v>1.1302191411546574E-2</v>
      </c>
      <c r="Z131" s="10">
        <f t="shared" si="77"/>
        <v>16.642030187792766</v>
      </c>
      <c r="AA131">
        <f t="shared" si="54"/>
        <v>5399651.7544822386</v>
      </c>
      <c r="AB131" s="10">
        <f t="shared" si="55"/>
        <v>5.3996517544822389</v>
      </c>
      <c r="AC131" s="10">
        <f t="shared" si="56"/>
        <v>5.2986517544822389</v>
      </c>
      <c r="AD131" s="3">
        <f t="shared" si="57"/>
        <v>768.47741181758352</v>
      </c>
      <c r="AI131" s="100">
        <f t="shared" si="58"/>
        <v>1.3173920106660619</v>
      </c>
    </row>
    <row r="132" spans="2:35">
      <c r="B132" s="39">
        <f t="shared" si="60"/>
        <v>104</v>
      </c>
      <c r="C132" s="45">
        <f t="shared" si="61"/>
        <v>3.0551558752996142</v>
      </c>
      <c r="D132" s="10">
        <f t="shared" si="62"/>
        <v>21.444844124700467</v>
      </c>
      <c r="E132" s="40">
        <f t="shared" si="63"/>
        <v>26.110311750599067</v>
      </c>
      <c r="F132" s="40">
        <f t="shared" si="64"/>
        <v>69</v>
      </c>
      <c r="G132" s="3">
        <f t="shared" si="65"/>
        <v>435.55875299760373</v>
      </c>
      <c r="H132" s="3">
        <f t="shared" si="66"/>
        <v>221.47275588995251</v>
      </c>
      <c r="I132">
        <f t="shared" si="48"/>
        <v>2.214727558899525E-4</v>
      </c>
      <c r="J132" s="4">
        <f t="shared" si="67"/>
        <v>1214.0279385015428</v>
      </c>
      <c r="K132" s="40">
        <f t="shared" si="68"/>
        <v>5.4816130030222796</v>
      </c>
      <c r="L132" s="40">
        <f t="shared" si="49"/>
        <v>0.51838699697772039</v>
      </c>
      <c r="M132" s="10">
        <f t="shared" si="69"/>
        <v>5.3996517544822389</v>
      </c>
      <c r="N132" s="10">
        <f t="shared" si="50"/>
        <v>3.8408799049960156</v>
      </c>
      <c r="O132" s="10">
        <f t="shared" si="51"/>
        <v>0.68820000000000003</v>
      </c>
      <c r="P132" s="10">
        <f t="shared" si="70"/>
        <v>12.258711887747959</v>
      </c>
      <c r="Q132" s="45">
        <f t="shared" si="71"/>
        <v>0.2876703967112591</v>
      </c>
      <c r="R132" s="4">
        <f t="shared" si="72"/>
        <v>1395459.1311920211</v>
      </c>
      <c r="S132">
        <f t="shared" si="52"/>
        <v>1.3954591311920212E-3</v>
      </c>
      <c r="T132" s="44">
        <f t="shared" si="53"/>
        <v>6.8093726328998265E-4</v>
      </c>
      <c r="U132" s="45">
        <f t="shared" si="73"/>
        <v>2.4909643221343174</v>
      </c>
      <c r="V132" s="45">
        <f t="shared" si="74"/>
        <v>1.3422180172932276</v>
      </c>
      <c r="W132" s="45">
        <f t="shared" si="75"/>
        <v>1.3200823347920096</v>
      </c>
      <c r="X132" s="45">
        <f t="shared" si="76"/>
        <v>2.2135682501218001E-2</v>
      </c>
      <c r="Y132" s="45">
        <f t="shared" si="59"/>
        <v>1.1355236858442617E-2</v>
      </c>
      <c r="Z132" s="10">
        <f t="shared" si="77"/>
        <v>16.675892876796343</v>
      </c>
      <c r="AA132">
        <f t="shared" si="54"/>
        <v>5410433.2874127524</v>
      </c>
      <c r="AB132" s="10">
        <f t="shared" si="55"/>
        <v>5.4104332874127525</v>
      </c>
      <c r="AC132" s="10">
        <f t="shared" si="56"/>
        <v>5.3094332874127526</v>
      </c>
      <c r="AD132" s="3">
        <f t="shared" si="57"/>
        <v>770.04108591918089</v>
      </c>
      <c r="AI132" s="100">
        <f t="shared" si="58"/>
        <v>1.3200823347920096</v>
      </c>
    </row>
    <row r="133" spans="2:35">
      <c r="B133" s="39">
        <f t="shared" si="60"/>
        <v>105</v>
      </c>
      <c r="C133" s="45">
        <f t="shared" si="61"/>
        <v>3.0845323741005721</v>
      </c>
      <c r="D133" s="10">
        <f t="shared" si="62"/>
        <v>21.41546762589951</v>
      </c>
      <c r="E133" s="40">
        <f t="shared" si="63"/>
        <v>26.169064748200981</v>
      </c>
      <c r="F133" s="40">
        <f t="shared" si="64"/>
        <v>69</v>
      </c>
      <c r="G133" s="3">
        <f t="shared" si="65"/>
        <v>435.32374100719608</v>
      </c>
      <c r="H133" s="3">
        <f t="shared" si="66"/>
        <v>221.47275588995251</v>
      </c>
      <c r="I133">
        <f t="shared" si="48"/>
        <v>2.214727558899525E-4</v>
      </c>
      <c r="J133" s="4">
        <f t="shared" si="67"/>
        <v>1216.4403440027418</v>
      </c>
      <c r="K133" s="40">
        <f t="shared" si="68"/>
        <v>5.4925055640124798</v>
      </c>
      <c r="L133" s="40">
        <f t="shared" si="49"/>
        <v>0.5074944359875202</v>
      </c>
      <c r="M133" s="10">
        <f t="shared" si="69"/>
        <v>5.4104332874127525</v>
      </c>
      <c r="N133" s="10">
        <f t="shared" si="50"/>
        <v>3.8408799049960156</v>
      </c>
      <c r="O133" s="10">
        <f t="shared" si="51"/>
        <v>0.68820000000000003</v>
      </c>
      <c r="P133" s="10">
        <f t="shared" si="70"/>
        <v>12.275551774846427</v>
      </c>
      <c r="Q133" s="45">
        <f t="shared" si="71"/>
        <v>0.2900634865975445</v>
      </c>
      <c r="R133" s="4">
        <f t="shared" si="72"/>
        <v>1393656.0137574112</v>
      </c>
      <c r="S133">
        <f t="shared" si="52"/>
        <v>1.3936560137574111E-3</v>
      </c>
      <c r="T133" s="44">
        <f t="shared" si="53"/>
        <v>6.8274038072459273E-4</v>
      </c>
      <c r="U133" s="45">
        <f t="shared" si="73"/>
        <v>2.4877456673576668</v>
      </c>
      <c r="V133" s="45">
        <f t="shared" si="74"/>
        <v>1.3449786383271574</v>
      </c>
      <c r="W133" s="45">
        <f t="shared" si="75"/>
        <v>1.3227683975534488</v>
      </c>
      <c r="X133" s="45">
        <f t="shared" si="76"/>
        <v>2.2210240773708589E-2</v>
      </c>
      <c r="Y133" s="45">
        <f t="shared" si="59"/>
        <v>1.1408387961010142E-2</v>
      </c>
      <c r="Z133" s="10">
        <f t="shared" si="77"/>
        <v>16.709701495760971</v>
      </c>
      <c r="AA133">
        <f t="shared" si="54"/>
        <v>5421197.6049973313</v>
      </c>
      <c r="AB133" s="10">
        <f t="shared" si="55"/>
        <v>5.4211976049973316</v>
      </c>
      <c r="AC133" s="10">
        <f t="shared" si="56"/>
        <v>5.3201976049973316</v>
      </c>
      <c r="AD133" s="3">
        <f t="shared" si="57"/>
        <v>771.60226323384063</v>
      </c>
      <c r="AI133" s="100">
        <f t="shared" si="58"/>
        <v>1.3227683975534488</v>
      </c>
    </row>
    <row r="134" spans="2:35">
      <c r="B134" s="39">
        <f t="shared" si="60"/>
        <v>106</v>
      </c>
      <c r="C134" s="45">
        <f t="shared" si="61"/>
        <v>3.1139088729015301</v>
      </c>
      <c r="D134" s="10">
        <f t="shared" si="62"/>
        <v>21.386091127098553</v>
      </c>
      <c r="E134" s="40">
        <f t="shared" si="63"/>
        <v>26.227817745802895</v>
      </c>
      <c r="F134" s="40">
        <f t="shared" si="64"/>
        <v>69</v>
      </c>
      <c r="G134" s="3">
        <f t="shared" si="65"/>
        <v>435.08872901678842</v>
      </c>
      <c r="H134" s="3">
        <f t="shared" si="66"/>
        <v>221.47275588995251</v>
      </c>
      <c r="I134">
        <f t="shared" si="48"/>
        <v>2.214727558899525E-4</v>
      </c>
      <c r="J134" s="4">
        <f t="shared" si="67"/>
        <v>1218.858171758915</v>
      </c>
      <c r="K134" s="40">
        <f t="shared" si="68"/>
        <v>5.5034226077204407</v>
      </c>
      <c r="L134" s="40">
        <f t="shared" si="49"/>
        <v>0.49657739227955933</v>
      </c>
      <c r="M134" s="10">
        <f t="shared" si="69"/>
        <v>5.4211976049973316</v>
      </c>
      <c r="N134" s="10">
        <f t="shared" si="50"/>
        <v>3.8408799049960156</v>
      </c>
      <c r="O134" s="10">
        <f t="shared" si="51"/>
        <v>0.68820000000000003</v>
      </c>
      <c r="P134" s="10">
        <f t="shared" si="70"/>
        <v>12.292354338044911</v>
      </c>
      <c r="Q134" s="45">
        <f t="shared" si="71"/>
        <v>0.29245330534121977</v>
      </c>
      <c r="R134" s="4">
        <f t="shared" si="72"/>
        <v>1391851.6710492133</v>
      </c>
      <c r="S134">
        <f t="shared" si="52"/>
        <v>1.3918516710492133E-3</v>
      </c>
      <c r="T134" s="44">
        <f t="shared" si="53"/>
        <v>6.8454472343279049E-4</v>
      </c>
      <c r="U134" s="45">
        <f t="shared" si="73"/>
        <v>2.4845248254063983</v>
      </c>
      <c r="V134" s="45">
        <f t="shared" si="74"/>
        <v>1.347734827083658</v>
      </c>
      <c r="W134" s="45">
        <f t="shared" si="75"/>
        <v>1.3254501713608089</v>
      </c>
      <c r="X134" s="45">
        <f t="shared" si="76"/>
        <v>2.22846557228491E-2</v>
      </c>
      <c r="Y134" s="45">
        <f t="shared" si="59"/>
        <v>1.1461644248952957E-2</v>
      </c>
      <c r="Z134" s="10">
        <f t="shared" si="77"/>
        <v>16.743455696329352</v>
      </c>
      <c r="AA134">
        <f t="shared" si="54"/>
        <v>5431944.596322583</v>
      </c>
      <c r="AB134" s="10">
        <f t="shared" si="55"/>
        <v>5.431944596322583</v>
      </c>
      <c r="AC134" s="10">
        <f t="shared" si="56"/>
        <v>5.330944596322583</v>
      </c>
      <c r="AD134" s="3">
        <f t="shared" si="57"/>
        <v>773.16092767550151</v>
      </c>
      <c r="AI134" s="100">
        <f t="shared" si="58"/>
        <v>1.3254501713608089</v>
      </c>
    </row>
    <row r="135" spans="2:35">
      <c r="B135" s="39">
        <f t="shared" si="60"/>
        <v>107</v>
      </c>
      <c r="C135" s="45">
        <f t="shared" si="61"/>
        <v>3.143285371702488</v>
      </c>
      <c r="D135" s="10">
        <f t="shared" si="62"/>
        <v>21.356714628297595</v>
      </c>
      <c r="E135" s="40">
        <f t="shared" si="63"/>
        <v>26.286570743404809</v>
      </c>
      <c r="F135" s="40">
        <f t="shared" si="64"/>
        <v>69</v>
      </c>
      <c r="G135" s="3">
        <f t="shared" si="65"/>
        <v>434.85371702638076</v>
      </c>
      <c r="H135" s="3">
        <f t="shared" si="66"/>
        <v>221.47275588995251</v>
      </c>
      <c r="I135">
        <f t="shared" si="48"/>
        <v>2.214727558899525E-4</v>
      </c>
      <c r="J135" s="4">
        <f t="shared" si="67"/>
        <v>1221.281421770062</v>
      </c>
      <c r="K135" s="40">
        <f t="shared" si="68"/>
        <v>5.5143641341461613</v>
      </c>
      <c r="L135" s="40">
        <f t="shared" si="49"/>
        <v>0.48563586585383867</v>
      </c>
      <c r="M135" s="10">
        <f t="shared" si="69"/>
        <v>5.431944596322583</v>
      </c>
      <c r="N135" s="10">
        <f t="shared" si="50"/>
        <v>3.8408799049960156</v>
      </c>
      <c r="O135" s="10">
        <f t="shared" si="51"/>
        <v>0.68820000000000003</v>
      </c>
      <c r="P135" s="10">
        <f t="shared" si="70"/>
        <v>12.309119481483966</v>
      </c>
      <c r="Q135" s="45">
        <f t="shared" si="71"/>
        <v>0.29483986912794291</v>
      </c>
      <c r="R135" s="4">
        <f t="shared" si="72"/>
        <v>1390046.1068903119</v>
      </c>
      <c r="S135">
        <f t="shared" si="52"/>
        <v>1.390046106890312E-3</v>
      </c>
      <c r="T135" s="44">
        <f t="shared" si="53"/>
        <v>6.8635028759169185E-4</v>
      </c>
      <c r="U135" s="45">
        <f t="shared" si="73"/>
        <v>2.4813018031045515</v>
      </c>
      <c r="V135" s="45">
        <f t="shared" si="74"/>
        <v>1.3504865530001802</v>
      </c>
      <c r="W135" s="45">
        <f t="shared" si="75"/>
        <v>1.3281276285816248</v>
      </c>
      <c r="X135" s="45">
        <f t="shared" si="76"/>
        <v>2.2358924418555359E-2</v>
      </c>
      <c r="Y135" s="45">
        <f t="shared" si="59"/>
        <v>1.1515005248280362E-2</v>
      </c>
      <c r="Z135" s="10">
        <f t="shared" si="77"/>
        <v>16.777155129758771</v>
      </c>
      <c r="AA135">
        <f t="shared" si="54"/>
        <v>5442674.1503524045</v>
      </c>
      <c r="AB135" s="10">
        <f t="shared" si="55"/>
        <v>5.4426741503524045</v>
      </c>
      <c r="AC135" s="10">
        <f t="shared" si="56"/>
        <v>5.3416741503524046</v>
      </c>
      <c r="AD135" s="3">
        <f t="shared" si="57"/>
        <v>774.71706314030519</v>
      </c>
      <c r="AI135" s="100">
        <f t="shared" si="58"/>
        <v>1.3281276285816248</v>
      </c>
    </row>
    <row r="136" spans="2:35">
      <c r="B136" s="39">
        <f t="shared" si="60"/>
        <v>108</v>
      </c>
      <c r="C136" s="45">
        <f t="shared" si="61"/>
        <v>3.1726618705034459</v>
      </c>
      <c r="D136" s="10">
        <f t="shared" si="62"/>
        <v>21.327338129496638</v>
      </c>
      <c r="E136" s="40">
        <f t="shared" si="63"/>
        <v>26.345323741006723</v>
      </c>
      <c r="F136" s="40">
        <f t="shared" si="64"/>
        <v>69</v>
      </c>
      <c r="G136" s="3">
        <f t="shared" si="65"/>
        <v>434.61870503597311</v>
      </c>
      <c r="H136" s="3">
        <f t="shared" si="66"/>
        <v>221.47275588995251</v>
      </c>
      <c r="I136">
        <f t="shared" si="48"/>
        <v>2.214727558899525E-4</v>
      </c>
      <c r="J136" s="4">
        <f t="shared" si="67"/>
        <v>1223.7100940361834</v>
      </c>
      <c r="K136" s="40">
        <f t="shared" si="68"/>
        <v>5.5253301432896427</v>
      </c>
      <c r="L136" s="40">
        <f t="shared" si="49"/>
        <v>0.47466985671035733</v>
      </c>
      <c r="M136" s="10">
        <f t="shared" si="69"/>
        <v>5.4426741503524045</v>
      </c>
      <c r="N136" s="10">
        <f t="shared" si="50"/>
        <v>3.8408799049960156</v>
      </c>
      <c r="O136" s="10">
        <f t="shared" si="51"/>
        <v>0.68820000000000003</v>
      </c>
      <c r="P136" s="10">
        <f t="shared" si="70"/>
        <v>12.325847109075218</v>
      </c>
      <c r="Q136" s="45">
        <f t="shared" si="71"/>
        <v>0.29722319406626124</v>
      </c>
      <c r="R136" s="4">
        <f t="shared" si="72"/>
        <v>1388239.3251035924</v>
      </c>
      <c r="S136">
        <f t="shared" si="52"/>
        <v>1.3882393251035924E-3</v>
      </c>
      <c r="T136" s="44">
        <f t="shared" si="53"/>
        <v>6.8815706937841144E-4</v>
      </c>
      <c r="U136" s="45">
        <f t="shared" si="73"/>
        <v>2.4780766072761677</v>
      </c>
      <c r="V136" s="45">
        <f t="shared" si="74"/>
        <v>1.3532337855112004</v>
      </c>
      <c r="W136" s="45">
        <f t="shared" si="75"/>
        <v>1.3308007415528602</v>
      </c>
      <c r="X136" s="45">
        <f t="shared" si="76"/>
        <v>2.2433043958340226E-2</v>
      </c>
      <c r="Y136" s="45">
        <f t="shared" si="59"/>
        <v>1.1568470481388666E-2</v>
      </c>
      <c r="Z136" s="10">
        <f t="shared" si="77"/>
        <v>16.810799447047845</v>
      </c>
      <c r="AA136">
        <f t="shared" si="54"/>
        <v>5453386.1559683345</v>
      </c>
      <c r="AB136" s="10">
        <f t="shared" si="55"/>
        <v>5.4533861559683343</v>
      </c>
      <c r="AC136" s="10">
        <f t="shared" si="56"/>
        <v>5.3523861559683343</v>
      </c>
      <c r="AD136" s="3">
        <f t="shared" si="57"/>
        <v>776.2706535124488</v>
      </c>
      <c r="AI136" s="100">
        <f t="shared" si="58"/>
        <v>1.3308007415528602</v>
      </c>
    </row>
    <row r="137" spans="2:35">
      <c r="B137" s="39">
        <f t="shared" si="60"/>
        <v>109</v>
      </c>
      <c r="C137" s="45">
        <f t="shared" si="61"/>
        <v>3.2020383693044039</v>
      </c>
      <c r="D137" s="10">
        <f t="shared" si="62"/>
        <v>21.297961630695681</v>
      </c>
      <c r="E137" s="40">
        <f t="shared" si="63"/>
        <v>26.404076738608637</v>
      </c>
      <c r="F137" s="40">
        <f t="shared" si="64"/>
        <v>69</v>
      </c>
      <c r="G137" s="3">
        <f t="shared" si="65"/>
        <v>434.38369304556545</v>
      </c>
      <c r="H137" s="3">
        <f t="shared" si="66"/>
        <v>221.47275588995251</v>
      </c>
      <c r="I137">
        <f t="shared" si="48"/>
        <v>2.214727558899525E-4</v>
      </c>
      <c r="J137" s="4">
        <f t="shared" si="67"/>
        <v>1226.1441885572781</v>
      </c>
      <c r="K137" s="40">
        <f t="shared" si="68"/>
        <v>5.536320635150882</v>
      </c>
      <c r="L137" s="40">
        <f t="shared" si="49"/>
        <v>0.46367936484911798</v>
      </c>
      <c r="M137" s="10">
        <f t="shared" si="69"/>
        <v>5.4533861559683343</v>
      </c>
      <c r="N137" s="10">
        <f t="shared" si="50"/>
        <v>3.8408799049960156</v>
      </c>
      <c r="O137" s="10">
        <f t="shared" si="51"/>
        <v>0.68820000000000003</v>
      </c>
      <c r="P137" s="10">
        <f t="shared" si="70"/>
        <v>12.342537124564155</v>
      </c>
      <c r="Q137" s="45">
        <f t="shared" si="71"/>
        <v>0.29960329618825465</v>
      </c>
      <c r="R137" s="4">
        <f t="shared" si="72"/>
        <v>1386431.3295119393</v>
      </c>
      <c r="S137">
        <f t="shared" si="52"/>
        <v>1.3864313295119393E-3</v>
      </c>
      <c r="T137" s="44">
        <f t="shared" si="53"/>
        <v>6.8996506497006455E-4</v>
      </c>
      <c r="U137" s="45">
        <f t="shared" si="73"/>
        <v>2.474849244745287</v>
      </c>
      <c r="V137" s="45">
        <f t="shared" si="74"/>
        <v>1.3559764940580457</v>
      </c>
      <c r="W137" s="45">
        <f t="shared" si="75"/>
        <v>1.3334694825909592</v>
      </c>
      <c r="X137" s="45">
        <f t="shared" si="76"/>
        <v>2.2507011467086446E-2</v>
      </c>
      <c r="Y137" s="45">
        <f t="shared" si="59"/>
        <v>1.1622039467141208E-2</v>
      </c>
      <c r="Z137" s="10">
        <f t="shared" si="77"/>
        <v>16.844388299058956</v>
      </c>
      <c r="AA137">
        <f t="shared" si="54"/>
        <v>5464080.502008535</v>
      </c>
      <c r="AB137" s="10">
        <f t="shared" si="55"/>
        <v>5.4640805020085352</v>
      </c>
      <c r="AC137" s="10">
        <f t="shared" si="56"/>
        <v>5.3630805020085353</v>
      </c>
      <c r="AD137" s="3">
        <f t="shared" si="57"/>
        <v>777.82168266983831</v>
      </c>
      <c r="AI137" s="100">
        <f t="shared" si="58"/>
        <v>1.3334694825909592</v>
      </c>
    </row>
    <row r="138" spans="2:35">
      <c r="B138" s="39">
        <f t="shared" si="60"/>
        <v>110</v>
      </c>
      <c r="C138" s="45">
        <f t="shared" si="61"/>
        <v>3.2314148681053618</v>
      </c>
      <c r="D138" s="10">
        <f t="shared" si="62"/>
        <v>21.268585131894724</v>
      </c>
      <c r="E138" s="40">
        <f t="shared" si="63"/>
        <v>26.462829736210551</v>
      </c>
      <c r="F138" s="40">
        <f t="shared" si="64"/>
        <v>69</v>
      </c>
      <c r="G138" s="3">
        <f t="shared" si="65"/>
        <v>434.14868105515779</v>
      </c>
      <c r="H138" s="3">
        <f t="shared" si="66"/>
        <v>221.47275588995251</v>
      </c>
      <c r="I138">
        <f t="shared" si="48"/>
        <v>2.214727558899525E-4</v>
      </c>
      <c r="J138" s="4">
        <f t="shared" si="67"/>
        <v>1228.5837053333466</v>
      </c>
      <c r="K138" s="40">
        <f t="shared" si="68"/>
        <v>5.5473356097298803</v>
      </c>
      <c r="L138" s="40">
        <f t="shared" si="49"/>
        <v>0.45266439027011973</v>
      </c>
      <c r="M138" s="10">
        <f t="shared" si="69"/>
        <v>5.4640805020085352</v>
      </c>
      <c r="N138" s="10">
        <f t="shared" si="50"/>
        <v>3.8408799049960156</v>
      </c>
      <c r="O138" s="10">
        <f t="shared" si="51"/>
        <v>0.68820000000000003</v>
      </c>
      <c r="P138" s="10">
        <f t="shared" si="70"/>
        <v>12.359189431590547</v>
      </c>
      <c r="Q138" s="45">
        <f t="shared" si="71"/>
        <v>0.30198019145016158</v>
      </c>
      <c r="R138" s="4">
        <f t="shared" si="72"/>
        <v>1384622.1239382373</v>
      </c>
      <c r="S138">
        <f t="shared" si="52"/>
        <v>1.3846221239382373E-3</v>
      </c>
      <c r="T138" s="44">
        <f t="shared" si="53"/>
        <v>6.9177427054376646E-4</v>
      </c>
      <c r="U138" s="45">
        <f t="shared" si="73"/>
        <v>2.4716197223359506</v>
      </c>
      <c r="V138" s="45">
        <f t="shared" si="74"/>
        <v>1.3587146480932477</v>
      </c>
      <c r="W138" s="45">
        <f t="shared" si="75"/>
        <v>1.3361338240015603</v>
      </c>
      <c r="X138" s="45">
        <f t="shared" si="76"/>
        <v>2.2580824091687379E-2</v>
      </c>
      <c r="Y138" s="45">
        <f t="shared" si="59"/>
        <v>1.1675711720934694E-2</v>
      </c>
      <c r="Z138" s="10">
        <f t="shared" si="77"/>
        <v>16.877921336619018</v>
      </c>
      <c r="AA138">
        <f t="shared" si="54"/>
        <v>5474757.0772998761</v>
      </c>
      <c r="AB138" s="10">
        <f t="shared" si="55"/>
        <v>5.4747570772998762</v>
      </c>
      <c r="AC138" s="10">
        <f t="shared" si="56"/>
        <v>5.3737570772998762</v>
      </c>
      <c r="AD138" s="3">
        <f t="shared" si="57"/>
        <v>779.370134488742</v>
      </c>
      <c r="AI138" s="100">
        <f t="shared" si="58"/>
        <v>1.3361338240015603</v>
      </c>
    </row>
    <row r="139" spans="2:35">
      <c r="B139" s="39">
        <f t="shared" si="60"/>
        <v>111</v>
      </c>
      <c r="C139" s="45">
        <f t="shared" si="61"/>
        <v>3.2607913669063198</v>
      </c>
      <c r="D139" s="10">
        <f t="shared" si="62"/>
        <v>21.239208633093767</v>
      </c>
      <c r="E139" s="40">
        <f t="shared" si="63"/>
        <v>26.521582733812465</v>
      </c>
      <c r="F139" s="40">
        <f t="shared" si="64"/>
        <v>69</v>
      </c>
      <c r="G139" s="3">
        <f t="shared" si="65"/>
        <v>433.91366906475014</v>
      </c>
      <c r="H139" s="3">
        <f t="shared" si="66"/>
        <v>221.47275588995251</v>
      </c>
      <c r="I139">
        <f t="shared" si="48"/>
        <v>2.214727558899525E-4</v>
      </c>
      <c r="J139" s="4">
        <f t="shared" si="67"/>
        <v>1231.0286443643895</v>
      </c>
      <c r="K139" s="40">
        <f t="shared" si="68"/>
        <v>5.5583750670266401</v>
      </c>
      <c r="L139" s="40">
        <f t="shared" si="49"/>
        <v>0.44162493297335992</v>
      </c>
      <c r="M139" s="10">
        <f t="shared" si="69"/>
        <v>5.4747570772998762</v>
      </c>
      <c r="N139" s="10">
        <f t="shared" si="50"/>
        <v>3.8408799049960156</v>
      </c>
      <c r="O139" s="10">
        <f t="shared" si="51"/>
        <v>0.68820000000000003</v>
      </c>
      <c r="P139" s="10">
        <f t="shared" si="70"/>
        <v>12.375803933737892</v>
      </c>
      <c r="Q139" s="45">
        <f t="shared" si="71"/>
        <v>0.30435389573298993</v>
      </c>
      <c r="R139" s="4">
        <f t="shared" si="72"/>
        <v>1382811.7122053714</v>
      </c>
      <c r="S139">
        <f t="shared" si="52"/>
        <v>1.3828117122053714E-3</v>
      </c>
      <c r="T139" s="44">
        <f t="shared" si="53"/>
        <v>6.9358468227663245E-4</v>
      </c>
      <c r="U139" s="45">
        <f t="shared" si="73"/>
        <v>2.4683880468721981</v>
      </c>
      <c r="V139" s="45">
        <f t="shared" si="74"/>
        <v>1.3614482170887017</v>
      </c>
      <c r="W139" s="45">
        <f t="shared" si="75"/>
        <v>1.3387937380874886</v>
      </c>
      <c r="X139" s="45">
        <f t="shared" si="76"/>
        <v>2.265447900121309E-2</v>
      </c>
      <c r="Y139" s="45">
        <f t="shared" si="59"/>
        <v>1.1729486754765117E-2</v>
      </c>
      <c r="Z139" s="10">
        <f t="shared" si="77"/>
        <v>16.911398210618032</v>
      </c>
      <c r="AA139">
        <f t="shared" si="54"/>
        <v>5485415.7706893142</v>
      </c>
      <c r="AB139" s="10">
        <f t="shared" si="55"/>
        <v>5.4854157706893139</v>
      </c>
      <c r="AC139" s="10">
        <f t="shared" si="56"/>
        <v>5.3844157706893139</v>
      </c>
      <c r="AD139" s="3">
        <f t="shared" si="57"/>
        <v>780.91599284834149</v>
      </c>
      <c r="AI139" s="100">
        <f t="shared" si="58"/>
        <v>1.3387937380874886</v>
      </c>
    </row>
    <row r="140" spans="2:35">
      <c r="B140" s="39">
        <f t="shared" si="60"/>
        <v>112</v>
      </c>
      <c r="C140" s="45">
        <f t="shared" si="61"/>
        <v>3.2901678657072777</v>
      </c>
      <c r="D140" s="10">
        <f t="shared" si="62"/>
        <v>21.20983213429281</v>
      </c>
      <c r="E140" s="40">
        <f t="shared" si="63"/>
        <v>26.58033573141438</v>
      </c>
      <c r="F140" s="40">
        <f t="shared" si="64"/>
        <v>69</v>
      </c>
      <c r="G140" s="3">
        <f t="shared" si="65"/>
        <v>433.67865707434248</v>
      </c>
      <c r="H140" s="3">
        <f t="shared" si="66"/>
        <v>221.47275588995251</v>
      </c>
      <c r="I140">
        <f t="shared" si="48"/>
        <v>2.214727558899525E-4</v>
      </c>
      <c r="J140" s="4">
        <f t="shared" si="67"/>
        <v>1233.4790056504062</v>
      </c>
      <c r="K140" s="40">
        <f t="shared" si="68"/>
        <v>5.5694390070411597</v>
      </c>
      <c r="L140" s="40">
        <f t="shared" si="49"/>
        <v>0.43056099295884032</v>
      </c>
      <c r="M140" s="10">
        <f t="shared" si="69"/>
        <v>5.4854157706893139</v>
      </c>
      <c r="N140" s="10">
        <f t="shared" si="50"/>
        <v>3.8408799049960156</v>
      </c>
      <c r="O140" s="10">
        <f t="shared" si="51"/>
        <v>0.68820000000000003</v>
      </c>
      <c r="P140" s="10">
        <f t="shared" si="70"/>
        <v>12.392380534581594</v>
      </c>
      <c r="Q140" s="45">
        <f t="shared" si="71"/>
        <v>0.3067244248431138</v>
      </c>
      <c r="R140" s="4">
        <f t="shared" si="72"/>
        <v>1381000.0981362264</v>
      </c>
      <c r="S140">
        <f t="shared" si="52"/>
        <v>1.3810000981362264E-3</v>
      </c>
      <c r="T140" s="44">
        <f t="shared" si="53"/>
        <v>6.9539629634577738E-4</v>
      </c>
      <c r="U140" s="45">
        <f t="shared" si="73"/>
        <v>2.4651542251780709</v>
      </c>
      <c r="V140" s="45">
        <f t="shared" si="74"/>
        <v>1.3641771705382064</v>
      </c>
      <c r="W140" s="45">
        <f t="shared" si="75"/>
        <v>1.3414491971565734</v>
      </c>
      <c r="X140" s="45">
        <f t="shared" si="76"/>
        <v>2.2727973381633015E-2</v>
      </c>
      <c r="Y140" s="45">
        <f t="shared" si="59"/>
        <v>1.1783364077280398E-2</v>
      </c>
      <c r="Z140" s="10">
        <f t="shared" si="77"/>
        <v>16.944818572086934</v>
      </c>
      <c r="AA140">
        <f t="shared" si="54"/>
        <v>5496056.4710686784</v>
      </c>
      <c r="AB140" s="10">
        <f t="shared" si="55"/>
        <v>5.4960564710686786</v>
      </c>
      <c r="AC140" s="10">
        <f t="shared" si="56"/>
        <v>5.3950564710686786</v>
      </c>
      <c r="AD140" s="3">
        <f t="shared" si="57"/>
        <v>782.45924163432608</v>
      </c>
      <c r="AI140" s="100">
        <f t="shared" si="58"/>
        <v>1.3414491971565734</v>
      </c>
    </row>
    <row r="141" spans="2:35">
      <c r="B141" s="39">
        <f t="shared" si="60"/>
        <v>113</v>
      </c>
      <c r="C141" s="45">
        <f t="shared" si="61"/>
        <v>3.3195443645082356</v>
      </c>
      <c r="D141" s="10">
        <f t="shared" si="62"/>
        <v>21.180455635491853</v>
      </c>
      <c r="E141" s="40">
        <f t="shared" si="63"/>
        <v>26.639088729016294</v>
      </c>
      <c r="F141" s="40">
        <f t="shared" si="64"/>
        <v>69</v>
      </c>
      <c r="G141" s="3">
        <f t="shared" si="65"/>
        <v>433.44364508393483</v>
      </c>
      <c r="H141" s="3">
        <f t="shared" si="66"/>
        <v>221.47275588995251</v>
      </c>
      <c r="I141">
        <f t="shared" si="48"/>
        <v>2.214727558899525E-4</v>
      </c>
      <c r="J141" s="4">
        <f t="shared" si="67"/>
        <v>1235.9347891913967</v>
      </c>
      <c r="K141" s="40">
        <f t="shared" si="68"/>
        <v>5.5805274297734382</v>
      </c>
      <c r="L141" s="40">
        <f t="shared" si="49"/>
        <v>0.41947257022656181</v>
      </c>
      <c r="M141" s="10">
        <f t="shared" si="69"/>
        <v>5.4960564710686786</v>
      </c>
      <c r="N141" s="10">
        <f t="shared" si="50"/>
        <v>3.8408799049960156</v>
      </c>
      <c r="O141" s="10">
        <f t="shared" si="51"/>
        <v>0.68820000000000003</v>
      </c>
      <c r="P141" s="10">
        <f t="shared" si="70"/>
        <v>12.408919137726736</v>
      </c>
      <c r="Q141" s="45">
        <f t="shared" si="71"/>
        <v>0.30909179451285762</v>
      </c>
      <c r="R141" s="4">
        <f t="shared" si="72"/>
        <v>1379187.2855536868</v>
      </c>
      <c r="S141">
        <f t="shared" si="52"/>
        <v>1.3791872855536869E-3</v>
      </c>
      <c r="T141" s="44">
        <f t="shared" si="53"/>
        <v>6.9720910892831695E-4</v>
      </c>
      <c r="U141" s="45">
        <f t="shared" si="73"/>
        <v>2.4619182640776085</v>
      </c>
      <c r="V141" s="45">
        <f t="shared" si="74"/>
        <v>1.3669014779650333</v>
      </c>
      <c r="W141" s="45">
        <f t="shared" si="75"/>
        <v>1.3441001735278231</v>
      </c>
      <c r="X141" s="45">
        <f t="shared" si="76"/>
        <v>2.2801304437210179E-2</v>
      </c>
      <c r="Y141" s="45">
        <f t="shared" si="59"/>
        <v>1.1837343193835646E-2</v>
      </c>
      <c r="Z141" s="10">
        <f t="shared" si="77"/>
        <v>16.978182072277963</v>
      </c>
      <c r="AA141">
        <f t="shared" si="54"/>
        <v>5506679.0674002562</v>
      </c>
      <c r="AB141" s="10">
        <f t="shared" si="55"/>
        <v>5.5066790674002561</v>
      </c>
      <c r="AC141" s="10">
        <f t="shared" si="56"/>
        <v>5.4056790674002562</v>
      </c>
      <c r="AD141" s="3">
        <f t="shared" si="57"/>
        <v>783.99986474260425</v>
      </c>
      <c r="AI141" s="100">
        <f t="shared" si="58"/>
        <v>1.3441001735278231</v>
      </c>
    </row>
    <row r="142" spans="2:35">
      <c r="B142" s="39">
        <f t="shared" si="60"/>
        <v>114</v>
      </c>
      <c r="C142" s="45">
        <f t="shared" si="61"/>
        <v>3.3489208633091936</v>
      </c>
      <c r="D142" s="10">
        <f t="shared" si="62"/>
        <v>21.151079136690896</v>
      </c>
      <c r="E142" s="40">
        <f t="shared" si="63"/>
        <v>26.697841726618208</v>
      </c>
      <c r="F142" s="40">
        <f t="shared" si="64"/>
        <v>69</v>
      </c>
      <c r="G142" s="3">
        <f t="shared" si="65"/>
        <v>433.20863309352717</v>
      </c>
      <c r="H142" s="3">
        <f t="shared" si="66"/>
        <v>221.47275588995251</v>
      </c>
      <c r="I142">
        <f t="shared" si="48"/>
        <v>2.214727558899525E-4</v>
      </c>
      <c r="J142" s="4">
        <f t="shared" si="67"/>
        <v>1238.3959949873615</v>
      </c>
      <c r="K142" s="40">
        <f t="shared" si="68"/>
        <v>5.5916403352234783</v>
      </c>
      <c r="L142" s="40">
        <f t="shared" si="49"/>
        <v>0.40835966477652175</v>
      </c>
      <c r="M142" s="10">
        <f t="shared" si="69"/>
        <v>5.5066790674002561</v>
      </c>
      <c r="N142" s="10">
        <f t="shared" si="50"/>
        <v>3.8408799049960156</v>
      </c>
      <c r="O142" s="10">
        <f t="shared" si="51"/>
        <v>0.68820000000000003</v>
      </c>
      <c r="P142" s="10">
        <f t="shared" si="70"/>
        <v>12.425419646846905</v>
      </c>
      <c r="Q142" s="45">
        <f t="shared" si="71"/>
        <v>0.31145602040106835</v>
      </c>
      <c r="R142" s="4">
        <f t="shared" si="72"/>
        <v>1377373.2782806377</v>
      </c>
      <c r="S142">
        <f t="shared" si="52"/>
        <v>1.3773732782806378E-3</v>
      </c>
      <c r="T142" s="44">
        <f t="shared" si="53"/>
        <v>6.9902311620136603E-4</v>
      </c>
      <c r="U142" s="45">
        <f t="shared" si="73"/>
        <v>2.4586801703948522</v>
      </c>
      <c r="V142" s="45">
        <f t="shared" si="74"/>
        <v>1.3696211089232775</v>
      </c>
      <c r="W142" s="45">
        <f t="shared" si="75"/>
        <v>1.3467466395378</v>
      </c>
      <c r="X142" s="45">
        <f t="shared" si="76"/>
        <v>2.2874469385477436E-2</v>
      </c>
      <c r="Y142" s="45">
        <f t="shared" si="59"/>
        <v>1.1891423606535875E-2</v>
      </c>
      <c r="Z142" s="10">
        <f t="shared" si="77"/>
        <v>17.011488362725817</v>
      </c>
      <c r="AA142">
        <f t="shared" si="54"/>
        <v>5517283.4487362709</v>
      </c>
      <c r="AB142" s="10">
        <f t="shared" si="55"/>
        <v>5.5172834487362712</v>
      </c>
      <c r="AC142" s="10">
        <f t="shared" si="56"/>
        <v>5.4162834487362712</v>
      </c>
      <c r="AD142" s="3">
        <f t="shared" si="57"/>
        <v>785.53784608212777</v>
      </c>
      <c r="AI142" s="100">
        <f t="shared" si="58"/>
        <v>1.3467466395378</v>
      </c>
    </row>
    <row r="143" spans="2:35">
      <c r="B143" s="39">
        <f t="shared" si="60"/>
        <v>115</v>
      </c>
      <c r="C143" s="45">
        <f t="shared" si="61"/>
        <v>3.3782973621101515</v>
      </c>
      <c r="D143" s="10">
        <f t="shared" si="62"/>
        <v>21.121702637889939</v>
      </c>
      <c r="E143" s="40">
        <f t="shared" si="63"/>
        <v>26.756594724220122</v>
      </c>
      <c r="F143" s="40">
        <f t="shared" si="64"/>
        <v>69</v>
      </c>
      <c r="G143" s="3">
        <f t="shared" si="65"/>
        <v>432.97362110311951</v>
      </c>
      <c r="H143" s="3">
        <f t="shared" si="66"/>
        <v>221.47275588995251</v>
      </c>
      <c r="I143">
        <f t="shared" si="48"/>
        <v>2.214727558899525E-4</v>
      </c>
      <c r="J143" s="4">
        <f t="shared" si="67"/>
        <v>1240.8626230382997</v>
      </c>
      <c r="K143" s="40">
        <f t="shared" si="68"/>
        <v>5.6027777233912754</v>
      </c>
      <c r="L143" s="40">
        <f t="shared" si="49"/>
        <v>0.39722227660872456</v>
      </c>
      <c r="M143" s="10">
        <f t="shared" si="69"/>
        <v>5.5172834487362712</v>
      </c>
      <c r="N143" s="10">
        <f t="shared" si="50"/>
        <v>3.8408799049960156</v>
      </c>
      <c r="O143" s="10">
        <f t="shared" si="51"/>
        <v>0.68820000000000003</v>
      </c>
      <c r="P143" s="10">
        <f t="shared" si="70"/>
        <v>12.441881965713455</v>
      </c>
      <c r="Q143" s="45">
        <f t="shared" si="71"/>
        <v>0.31381711809367718</v>
      </c>
      <c r="R143" s="4">
        <f t="shared" si="72"/>
        <v>1375558.0801399639</v>
      </c>
      <c r="S143">
        <f t="shared" si="52"/>
        <v>1.3755580801399639E-3</v>
      </c>
      <c r="T143" s="44">
        <f t="shared" si="53"/>
        <v>7.0083831434203988E-4</v>
      </c>
      <c r="U143" s="45">
        <f t="shared" si="73"/>
        <v>2.4554399509538425</v>
      </c>
      <c r="V143" s="45">
        <f t="shared" si="74"/>
        <v>1.3723360330040031</v>
      </c>
      <c r="W143" s="45">
        <f t="shared" si="75"/>
        <v>1.3493885675454729</v>
      </c>
      <c r="X143" s="45">
        <f t="shared" si="76"/>
        <v>2.2947465458530214E-2</v>
      </c>
      <c r="Y143" s="45">
        <f t="shared" si="59"/>
        <v>1.1945604814281231E-2</v>
      </c>
      <c r="Z143" s="10">
        <f t="shared" si="77"/>
        <v>17.044737095311334</v>
      </c>
      <c r="AA143">
        <f t="shared" si="54"/>
        <v>5527869.5042391494</v>
      </c>
      <c r="AB143" s="10">
        <f t="shared" si="55"/>
        <v>5.527869504239149</v>
      </c>
      <c r="AC143" s="10">
        <f t="shared" si="56"/>
        <v>5.426869504239149</v>
      </c>
      <c r="AD143" s="3">
        <f t="shared" si="57"/>
        <v>787.07316957783166</v>
      </c>
      <c r="AI143" s="100">
        <f t="shared" si="58"/>
        <v>1.3493885675454729</v>
      </c>
    </row>
    <row r="144" spans="2:35">
      <c r="B144" s="39">
        <f t="shared" si="60"/>
        <v>116</v>
      </c>
      <c r="C144" s="45">
        <f t="shared" si="61"/>
        <v>3.4076738609111095</v>
      </c>
      <c r="D144" s="10">
        <f t="shared" si="62"/>
        <v>21.092326139088982</v>
      </c>
      <c r="E144" s="40">
        <f t="shared" si="63"/>
        <v>26.815347721822036</v>
      </c>
      <c r="F144" s="40">
        <f t="shared" si="64"/>
        <v>69</v>
      </c>
      <c r="G144" s="3">
        <f t="shared" si="65"/>
        <v>432.73860911271186</v>
      </c>
      <c r="H144" s="3">
        <f t="shared" si="66"/>
        <v>221.47275588995251</v>
      </c>
      <c r="I144">
        <f t="shared" si="48"/>
        <v>2.214727558899525E-4</v>
      </c>
      <c r="J144" s="4">
        <f t="shared" si="67"/>
        <v>1243.3346733442118</v>
      </c>
      <c r="K144" s="40">
        <f t="shared" si="68"/>
        <v>5.6139395942768315</v>
      </c>
      <c r="L144" s="40">
        <f t="shared" si="49"/>
        <v>0.38606040572316846</v>
      </c>
      <c r="M144" s="10">
        <f t="shared" si="69"/>
        <v>5.527869504239149</v>
      </c>
      <c r="N144" s="10">
        <f t="shared" si="50"/>
        <v>3.8408799049960156</v>
      </c>
      <c r="O144" s="10">
        <f t="shared" si="51"/>
        <v>0.68820000000000003</v>
      </c>
      <c r="P144" s="10">
        <f t="shared" si="70"/>
        <v>12.458305998225837</v>
      </c>
      <c r="Q144" s="45">
        <f t="shared" si="71"/>
        <v>0.31617510310425095</v>
      </c>
      <c r="R144" s="4">
        <f t="shared" si="72"/>
        <v>1373741.6949545501</v>
      </c>
      <c r="S144">
        <f t="shared" si="52"/>
        <v>1.3737416949545502E-3</v>
      </c>
      <c r="T144" s="44">
        <f t="shared" si="53"/>
        <v>7.0265469952745358E-4</v>
      </c>
      <c r="U144" s="45">
        <f t="shared" si="73"/>
        <v>2.4521976125786198</v>
      </c>
      <c r="V144" s="45">
        <f t="shared" si="74"/>
        <v>1.3750462198373925</v>
      </c>
      <c r="W144" s="45">
        <f t="shared" si="75"/>
        <v>1.3520259299372654</v>
      </c>
      <c r="X144" s="45">
        <f t="shared" si="76"/>
        <v>2.3020289900127056E-2</v>
      </c>
      <c r="Y144" s="45">
        <f t="shared" si="59"/>
        <v>1.1999886312804794E-2</v>
      </c>
      <c r="Z144" s="10">
        <f t="shared" si="77"/>
        <v>17.077927922313631</v>
      </c>
      <c r="AA144">
        <f t="shared" si="54"/>
        <v>5538437.1231981302</v>
      </c>
      <c r="AB144" s="10">
        <f t="shared" si="55"/>
        <v>5.53843712319813</v>
      </c>
      <c r="AC144" s="10">
        <f t="shared" si="56"/>
        <v>5.43743712319813</v>
      </c>
      <c r="AD144" s="3">
        <f t="shared" si="57"/>
        <v>788.60581917304285</v>
      </c>
      <c r="AI144" s="100">
        <f t="shared" si="58"/>
        <v>1.3520259299372654</v>
      </c>
    </row>
    <row r="145" spans="2:35">
      <c r="B145" s="39">
        <f t="shared" si="60"/>
        <v>117</v>
      </c>
      <c r="C145" s="45">
        <f t="shared" si="61"/>
        <v>3.4370503597120674</v>
      </c>
      <c r="D145" s="10">
        <f t="shared" si="62"/>
        <v>21.062949640288025</v>
      </c>
      <c r="E145" s="40">
        <f t="shared" si="63"/>
        <v>26.87410071942395</v>
      </c>
      <c r="F145" s="40">
        <f t="shared" si="64"/>
        <v>69</v>
      </c>
      <c r="G145" s="3">
        <f t="shared" si="65"/>
        <v>432.5035971223042</v>
      </c>
      <c r="H145" s="3">
        <f t="shared" si="66"/>
        <v>221.47275588995251</v>
      </c>
      <c r="I145">
        <f t="shared" si="48"/>
        <v>2.214727558899525E-4</v>
      </c>
      <c r="J145" s="4">
        <f t="shared" si="67"/>
        <v>1245.8121459050981</v>
      </c>
      <c r="K145" s="40">
        <f t="shared" si="68"/>
        <v>5.6251259478801492</v>
      </c>
      <c r="L145" s="40">
        <f t="shared" si="49"/>
        <v>0.37487405211985081</v>
      </c>
      <c r="M145" s="10">
        <f t="shared" si="69"/>
        <v>5.53843712319813</v>
      </c>
      <c r="N145" s="10">
        <f t="shared" si="50"/>
        <v>3.8408799049960156</v>
      </c>
      <c r="O145" s="10">
        <f t="shared" si="51"/>
        <v>0.68820000000000003</v>
      </c>
      <c r="P145" s="10">
        <f t="shared" si="70"/>
        <v>12.474691648436194</v>
      </c>
      <c r="Q145" s="45">
        <f t="shared" si="71"/>
        <v>0.31852999087453426</v>
      </c>
      <c r="R145" s="4">
        <f t="shared" si="72"/>
        <v>1371924.1265472812</v>
      </c>
      <c r="S145">
        <f t="shared" si="52"/>
        <v>1.3719241265472812E-3</v>
      </c>
      <c r="T145" s="44">
        <f t="shared" si="53"/>
        <v>7.0447226793472263E-4</v>
      </c>
      <c r="U145" s="45">
        <f t="shared" si="73"/>
        <v>2.4489531620932246</v>
      </c>
      <c r="V145" s="45">
        <f t="shared" si="74"/>
        <v>1.3777516390961189</v>
      </c>
      <c r="W145" s="45">
        <f t="shared" si="75"/>
        <v>1.3546586991311953</v>
      </c>
      <c r="X145" s="45">
        <f t="shared" si="76"/>
        <v>2.3092939964923564E-2</v>
      </c>
      <c r="Y145" s="45">
        <f t="shared" si="59"/>
        <v>1.2054267594708078E-2</v>
      </c>
      <c r="Z145" s="10">
        <f t="shared" si="77"/>
        <v>17.111060496458101</v>
      </c>
      <c r="AA145">
        <f t="shared" si="54"/>
        <v>5548986.1950445371</v>
      </c>
      <c r="AB145" s="10">
        <f t="shared" si="55"/>
        <v>5.5489861950445372</v>
      </c>
      <c r="AC145" s="10">
        <f t="shared" si="56"/>
        <v>5.4479861950445372</v>
      </c>
      <c r="AD145" s="3">
        <f t="shared" si="57"/>
        <v>790.13577883169501</v>
      </c>
      <c r="AI145" s="100">
        <f t="shared" si="58"/>
        <v>1.3546586991311953</v>
      </c>
    </row>
    <row r="146" spans="2:35">
      <c r="B146" s="39">
        <f t="shared" si="60"/>
        <v>118</v>
      </c>
      <c r="C146" s="45">
        <f t="shared" si="61"/>
        <v>3.4664268585130253</v>
      </c>
      <c r="D146" s="10">
        <f t="shared" si="62"/>
        <v>21.033573141487068</v>
      </c>
      <c r="E146" s="40">
        <f t="shared" si="63"/>
        <v>26.932853717025864</v>
      </c>
      <c r="F146" s="40">
        <f t="shared" si="64"/>
        <v>69</v>
      </c>
      <c r="G146" s="3">
        <f t="shared" si="65"/>
        <v>432.26858513189654</v>
      </c>
      <c r="H146" s="3">
        <f t="shared" si="66"/>
        <v>221.47275588995251</v>
      </c>
      <c r="I146">
        <f t="shared" si="48"/>
        <v>2.214727558899525E-4</v>
      </c>
      <c r="J146" s="4">
        <f t="shared" si="67"/>
        <v>1248.2950407209582</v>
      </c>
      <c r="K146" s="40">
        <f t="shared" si="68"/>
        <v>5.6363367842012266</v>
      </c>
      <c r="L146" s="40">
        <f t="shared" si="49"/>
        <v>0.36366321579877336</v>
      </c>
      <c r="M146" s="10">
        <f t="shared" si="69"/>
        <v>5.5489861950445372</v>
      </c>
      <c r="N146" s="10">
        <f t="shared" si="50"/>
        <v>3.8408799049960156</v>
      </c>
      <c r="O146" s="10">
        <f t="shared" si="51"/>
        <v>0.68820000000000003</v>
      </c>
      <c r="P146" s="10">
        <f t="shared" si="70"/>
        <v>12.491038820571774</v>
      </c>
      <c r="Q146" s="45">
        <f t="shared" si="71"/>
        <v>0.32088179677498324</v>
      </c>
      <c r="R146" s="4">
        <f t="shared" si="72"/>
        <v>1370105.3787410418</v>
      </c>
      <c r="S146">
        <f t="shared" si="52"/>
        <v>1.3701053787410417E-3</v>
      </c>
      <c r="T146" s="44">
        <f t="shared" si="53"/>
        <v>7.0629101574096209E-4</v>
      </c>
      <c r="U146" s="45">
        <f t="shared" si="73"/>
        <v>2.4457066063216968</v>
      </c>
      <c r="V146" s="45">
        <f t="shared" si="74"/>
        <v>1.380452260498189</v>
      </c>
      <c r="W146" s="45">
        <f t="shared" si="75"/>
        <v>1.3572868475806787</v>
      </c>
      <c r="X146" s="45">
        <f t="shared" si="76"/>
        <v>2.3165412917510286E-2</v>
      </c>
      <c r="Y146" s="45">
        <f t="shared" si="59"/>
        <v>1.2108748149493816E-2</v>
      </c>
      <c r="Z146" s="10">
        <f t="shared" si="77"/>
        <v>17.144134470959767</v>
      </c>
      <c r="AA146">
        <f t="shared" si="54"/>
        <v>5559516.6093655918</v>
      </c>
      <c r="AB146" s="10">
        <f t="shared" si="55"/>
        <v>5.5595166093655921</v>
      </c>
      <c r="AC146" s="10">
        <f t="shared" si="56"/>
        <v>5.4585166093655921</v>
      </c>
      <c r="AD146" s="3">
        <f t="shared" si="57"/>
        <v>791.66303254033244</v>
      </c>
      <c r="AI146" s="100">
        <f t="shared" si="58"/>
        <v>1.3572868475806787</v>
      </c>
    </row>
    <row r="147" spans="2:35">
      <c r="B147" s="39">
        <f t="shared" si="60"/>
        <v>119</v>
      </c>
      <c r="C147" s="45">
        <f t="shared" si="61"/>
        <v>3.4958033573139833</v>
      </c>
      <c r="D147" s="10">
        <f t="shared" si="62"/>
        <v>21.004196642686111</v>
      </c>
      <c r="E147" s="40">
        <f t="shared" si="63"/>
        <v>26.991606714627778</v>
      </c>
      <c r="F147" s="40">
        <f t="shared" si="64"/>
        <v>69</v>
      </c>
      <c r="G147" s="3">
        <f t="shared" si="65"/>
        <v>432.03357314148889</v>
      </c>
      <c r="H147" s="3">
        <f t="shared" si="66"/>
        <v>221.47275588995251</v>
      </c>
      <c r="I147">
        <f t="shared" si="48"/>
        <v>2.214727558899525E-4</v>
      </c>
      <c r="J147" s="4">
        <f t="shared" si="67"/>
        <v>1250.7833577917922</v>
      </c>
      <c r="K147" s="40">
        <f t="shared" si="68"/>
        <v>5.6475721032400639</v>
      </c>
      <c r="L147" s="40">
        <f t="shared" si="49"/>
        <v>0.35242789675993613</v>
      </c>
      <c r="M147" s="10">
        <f t="shared" si="69"/>
        <v>5.5595166093655921</v>
      </c>
      <c r="N147" s="10">
        <f t="shared" si="50"/>
        <v>3.8408799049960156</v>
      </c>
      <c r="O147" s="10">
        <f t="shared" si="51"/>
        <v>0.68820000000000003</v>
      </c>
      <c r="P147" s="10">
        <f t="shared" si="70"/>
        <v>12.507347419054994</v>
      </c>
      <c r="Q147" s="45">
        <f t="shared" si="71"/>
        <v>0.32323053610529101</v>
      </c>
      <c r="R147" s="4">
        <f t="shared" si="72"/>
        <v>1368285.4553587169</v>
      </c>
      <c r="S147">
        <f t="shared" si="52"/>
        <v>1.368285455358717E-3</v>
      </c>
      <c r="T147" s="44">
        <f t="shared" si="53"/>
        <v>7.0811093912328681E-4</v>
      </c>
      <c r="U147" s="45">
        <f t="shared" si="73"/>
        <v>2.4424579520880774</v>
      </c>
      <c r="V147" s="45">
        <f t="shared" si="74"/>
        <v>1.3831480538088183</v>
      </c>
      <c r="W147" s="45">
        <f t="shared" si="75"/>
        <v>1.3599103477779704</v>
      </c>
      <c r="X147" s="45">
        <f t="shared" si="76"/>
        <v>2.323770603084796E-2</v>
      </c>
      <c r="Y147" s="45">
        <f t="shared" si="59"/>
        <v>1.2163327463594598E-2</v>
      </c>
      <c r="Z147" s="10">
        <f t="shared" si="77"/>
        <v>17.177149499560098</v>
      </c>
      <c r="AA147">
        <f t="shared" si="54"/>
        <v>5570028.2559161279</v>
      </c>
      <c r="AB147" s="10">
        <f t="shared" si="55"/>
        <v>5.570028255916128</v>
      </c>
      <c r="AC147" s="10">
        <f t="shared" si="56"/>
        <v>5.4690282559161281</v>
      </c>
      <c r="AD147" s="3">
        <f t="shared" si="57"/>
        <v>793.18756430980829</v>
      </c>
      <c r="AI147" s="100">
        <f t="shared" si="58"/>
        <v>1.3599103477779704</v>
      </c>
    </row>
    <row r="148" spans="2:35">
      <c r="B148" s="39">
        <f t="shared" si="60"/>
        <v>120</v>
      </c>
      <c r="C148" s="45">
        <f t="shared" si="61"/>
        <v>3.5251798561149412</v>
      </c>
      <c r="D148" s="10">
        <f t="shared" si="62"/>
        <v>20.974820143885154</v>
      </c>
      <c r="E148" s="40">
        <f t="shared" si="63"/>
        <v>27.050359712229692</v>
      </c>
      <c r="F148" s="40">
        <f t="shared" si="64"/>
        <v>69</v>
      </c>
      <c r="G148" s="3">
        <f t="shared" si="65"/>
        <v>431.79856115108123</v>
      </c>
      <c r="H148" s="3">
        <f t="shared" si="66"/>
        <v>221.47275588995251</v>
      </c>
      <c r="I148">
        <f t="shared" si="48"/>
        <v>2.214727558899525E-4</v>
      </c>
      <c r="J148" s="4">
        <f t="shared" si="67"/>
        <v>1253.2770971176005</v>
      </c>
      <c r="K148" s="40">
        <f t="shared" si="68"/>
        <v>5.6588319049966618</v>
      </c>
      <c r="L148" s="40">
        <f t="shared" si="49"/>
        <v>0.34116809500333822</v>
      </c>
      <c r="M148" s="10">
        <f t="shared" si="69"/>
        <v>5.570028255916128</v>
      </c>
      <c r="N148" s="10">
        <f t="shared" si="50"/>
        <v>3.8408799049960156</v>
      </c>
      <c r="O148" s="10">
        <f t="shared" si="51"/>
        <v>0.68820000000000003</v>
      </c>
      <c r="P148" s="10">
        <f t="shared" si="70"/>
        <v>12.523617348520228</v>
      </c>
      <c r="Q148" s="45">
        <f t="shared" si="71"/>
        <v>0.325576224094906</v>
      </c>
      <c r="R148" s="4">
        <f t="shared" si="72"/>
        <v>1366464.3602231911</v>
      </c>
      <c r="S148">
        <f t="shared" si="52"/>
        <v>1.3664643602231911E-3</v>
      </c>
      <c r="T148" s="44">
        <f t="shared" si="53"/>
        <v>7.0993203425881272E-4</v>
      </c>
      <c r="U148" s="45">
        <f t="shared" si="73"/>
        <v>2.4392072062164076</v>
      </c>
      <c r="V148" s="45">
        <f t="shared" si="74"/>
        <v>1.3858389888432274</v>
      </c>
      <c r="W148" s="45">
        <f t="shared" si="75"/>
        <v>1.3625291722570847</v>
      </c>
      <c r="X148" s="45">
        <f t="shared" si="76"/>
        <v>2.3309816586142729E-2</v>
      </c>
      <c r="Y148" s="45">
        <f t="shared" si="59"/>
        <v>1.2218005020400841E-2</v>
      </c>
      <c r="Z148" s="10">
        <f t="shared" si="77"/>
        <v>17.210105236562189</v>
      </c>
      <c r="AA148">
        <f t="shared" si="54"/>
        <v>5580521.024629795</v>
      </c>
      <c r="AB148" s="10">
        <f t="shared" si="55"/>
        <v>5.5805210246297952</v>
      </c>
      <c r="AC148" s="10">
        <f t="shared" si="56"/>
        <v>5.4795210246297952</v>
      </c>
      <c r="AD148" s="3">
        <f t="shared" si="57"/>
        <v>794.70935817691009</v>
      </c>
      <c r="AI148" s="100">
        <f t="shared" si="58"/>
        <v>1.3625291722570847</v>
      </c>
    </row>
    <row r="149" spans="2:35">
      <c r="B149" s="39">
        <f t="shared" si="60"/>
        <v>121</v>
      </c>
      <c r="C149" s="45">
        <f t="shared" si="61"/>
        <v>3.5545563549158992</v>
      </c>
      <c r="D149" s="10">
        <f t="shared" si="62"/>
        <v>20.945443645084197</v>
      </c>
      <c r="E149" s="40">
        <f t="shared" si="63"/>
        <v>27.109112709831606</v>
      </c>
      <c r="F149" s="40">
        <f t="shared" si="64"/>
        <v>69</v>
      </c>
      <c r="G149" s="3">
        <f t="shared" si="65"/>
        <v>431.56354916067357</v>
      </c>
      <c r="H149" s="3">
        <f t="shared" si="66"/>
        <v>221.47275588995251</v>
      </c>
      <c r="I149">
        <f t="shared" si="48"/>
        <v>2.214727558899525E-4</v>
      </c>
      <c r="J149" s="4">
        <f t="shared" si="67"/>
        <v>1255.7762586983818</v>
      </c>
      <c r="K149" s="40">
        <f t="shared" si="68"/>
        <v>5.670116189471015</v>
      </c>
      <c r="L149" s="40">
        <f t="shared" si="49"/>
        <v>0.32988381052898497</v>
      </c>
      <c r="M149" s="10">
        <f t="shared" si="69"/>
        <v>5.5805210246297952</v>
      </c>
      <c r="N149" s="10">
        <f t="shared" si="50"/>
        <v>3.8408799049960156</v>
      </c>
      <c r="O149" s="10">
        <f t="shared" si="51"/>
        <v>0.68820000000000003</v>
      </c>
      <c r="P149" s="10">
        <f t="shared" si="70"/>
        <v>12.539848513829703</v>
      </c>
      <c r="Q149" s="45">
        <f t="shared" si="71"/>
        <v>0.32791887590354307</v>
      </c>
      <c r="R149" s="4">
        <f t="shared" si="72"/>
        <v>1364642.0971573498</v>
      </c>
      <c r="S149">
        <f t="shared" si="52"/>
        <v>1.3646420971573498E-3</v>
      </c>
      <c r="T149" s="44">
        <f t="shared" si="53"/>
        <v>7.1175429732465404E-4</v>
      </c>
      <c r="U149" s="45">
        <f t="shared" si="73"/>
        <v>2.4359543755307271</v>
      </c>
      <c r="V149" s="45">
        <f t="shared" si="74"/>
        <v>1.3885250354695058</v>
      </c>
      <c r="W149" s="45">
        <f t="shared" si="75"/>
        <v>1.3651432935965848</v>
      </c>
      <c r="X149" s="45">
        <f t="shared" si="76"/>
        <v>2.3381741872920969E-2</v>
      </c>
      <c r="Y149" s="45">
        <f t="shared" si="59"/>
        <v>1.2272780300288525E-2</v>
      </c>
      <c r="Z149" s="10">
        <f t="shared" si="77"/>
        <v>17.243001336865152</v>
      </c>
      <c r="AA149">
        <f t="shared" si="54"/>
        <v>5590994.8056300106</v>
      </c>
      <c r="AB149" s="10">
        <f t="shared" si="55"/>
        <v>5.5909948056300109</v>
      </c>
      <c r="AC149" s="10">
        <f t="shared" si="56"/>
        <v>5.489994805630011</v>
      </c>
      <c r="AD149" s="3">
        <f t="shared" si="57"/>
        <v>796.22839820594788</v>
      </c>
      <c r="AI149" s="100">
        <f t="shared" si="58"/>
        <v>1.3651432935965848</v>
      </c>
    </row>
    <row r="150" spans="2:35">
      <c r="B150" s="39">
        <f t="shared" si="60"/>
        <v>122</v>
      </c>
      <c r="C150" s="45">
        <f t="shared" si="61"/>
        <v>3.5839328537168571</v>
      </c>
      <c r="D150" s="10">
        <f t="shared" si="62"/>
        <v>20.91606714628324</v>
      </c>
      <c r="E150" s="40">
        <f t="shared" si="63"/>
        <v>27.167865707433521</v>
      </c>
      <c r="F150" s="40">
        <f t="shared" si="64"/>
        <v>69</v>
      </c>
      <c r="G150" s="3">
        <f t="shared" si="65"/>
        <v>431.32853717026592</v>
      </c>
      <c r="H150" s="3">
        <f t="shared" si="66"/>
        <v>221.47275588995251</v>
      </c>
      <c r="I150">
        <f t="shared" si="48"/>
        <v>2.214727558899525E-4</v>
      </c>
      <c r="J150" s="4">
        <f t="shared" si="67"/>
        <v>1258.2808425341377</v>
      </c>
      <c r="K150" s="40">
        <f t="shared" si="68"/>
        <v>5.6814249566631316</v>
      </c>
      <c r="L150" s="40">
        <f t="shared" si="49"/>
        <v>0.31857504333686837</v>
      </c>
      <c r="M150" s="10">
        <f t="shared" si="69"/>
        <v>5.5909948056300109</v>
      </c>
      <c r="N150" s="10">
        <f t="shared" si="50"/>
        <v>3.8408799049960156</v>
      </c>
      <c r="O150" s="10">
        <f t="shared" si="51"/>
        <v>0.68820000000000003</v>
      </c>
      <c r="P150" s="10">
        <f t="shared" si="70"/>
        <v>12.556040820088993</v>
      </c>
      <c r="Q150" s="45">
        <f t="shared" si="71"/>
        <v>0.33025850662168765</v>
      </c>
      <c r="R150" s="4">
        <f t="shared" si="72"/>
        <v>1362818.6699840769</v>
      </c>
      <c r="S150">
        <f t="shared" si="52"/>
        <v>1.3628186699840769E-3</v>
      </c>
      <c r="T150" s="44">
        <f t="shared" si="53"/>
        <v>7.1357772449792689E-4</v>
      </c>
      <c r="U150" s="45">
        <f t="shared" si="73"/>
        <v>2.4326994668550768</v>
      </c>
      <c r="V150" s="45">
        <f t="shared" si="74"/>
        <v>1.391206163608435</v>
      </c>
      <c r="W150" s="45">
        <f t="shared" si="75"/>
        <v>1.3677526844223109</v>
      </c>
      <c r="X150" s="45">
        <f t="shared" si="76"/>
        <v>2.345347918612406E-2</v>
      </c>
      <c r="Y150" s="45">
        <f t="shared" si="59"/>
        <v>1.2327652780639745E-2</v>
      </c>
      <c r="Z150" s="10">
        <f t="shared" si="77"/>
        <v>17.275837455987684</v>
      </c>
      <c r="AA150">
        <f t="shared" si="54"/>
        <v>5601449.4892374603</v>
      </c>
      <c r="AB150" s="10">
        <f t="shared" si="55"/>
        <v>5.60144948923746</v>
      </c>
      <c r="AC150" s="10">
        <f t="shared" si="56"/>
        <v>5.50044948923746</v>
      </c>
      <c r="AD150" s="3">
        <f t="shared" si="57"/>
        <v>797.74466848984196</v>
      </c>
      <c r="AI150" s="100">
        <f t="shared" si="58"/>
        <v>1.3677526844223109</v>
      </c>
    </row>
    <row r="151" spans="2:35">
      <c r="B151" s="39">
        <f t="shared" si="60"/>
        <v>123</v>
      </c>
      <c r="C151" s="45">
        <f t="shared" si="61"/>
        <v>3.613309352517815</v>
      </c>
      <c r="D151" s="10">
        <f t="shared" si="62"/>
        <v>20.886690647482283</v>
      </c>
      <c r="E151" s="40">
        <f t="shared" si="63"/>
        <v>27.226618705035435</v>
      </c>
      <c r="F151" s="40">
        <f t="shared" si="64"/>
        <v>69</v>
      </c>
      <c r="G151" s="3">
        <f t="shared" si="65"/>
        <v>431.09352517985826</v>
      </c>
      <c r="H151" s="3">
        <f t="shared" si="66"/>
        <v>221.47275588995251</v>
      </c>
      <c r="I151">
        <f t="shared" si="48"/>
        <v>2.214727558899525E-4</v>
      </c>
      <c r="J151" s="4">
        <f t="shared" si="67"/>
        <v>1260.7908486248675</v>
      </c>
      <c r="K151" s="40">
        <f t="shared" si="68"/>
        <v>5.6927582065730071</v>
      </c>
      <c r="L151" s="40">
        <f t="shared" si="49"/>
        <v>0.30724179342699287</v>
      </c>
      <c r="M151" s="10">
        <f t="shared" si="69"/>
        <v>5.60144948923746</v>
      </c>
      <c r="N151" s="10">
        <f t="shared" si="50"/>
        <v>3.8408799049960156</v>
      </c>
      <c r="O151" s="10">
        <f t="shared" si="51"/>
        <v>0.68820000000000003</v>
      </c>
      <c r="P151" s="10">
        <f t="shared" si="70"/>
        <v>12.572194172657102</v>
      </c>
      <c r="Q151" s="45">
        <f t="shared" si="71"/>
        <v>0.33259513127109436</v>
      </c>
      <c r="R151" s="4">
        <f t="shared" si="72"/>
        <v>1360994.0825262577</v>
      </c>
      <c r="S151">
        <f t="shared" si="52"/>
        <v>1.3609940825262577E-3</v>
      </c>
      <c r="T151" s="44">
        <f t="shared" si="53"/>
        <v>7.1540231195574614E-4</v>
      </c>
      <c r="U151" s="45">
        <f t="shared" si="73"/>
        <v>2.4294424870134965</v>
      </c>
      <c r="V151" s="45">
        <f t="shared" si="74"/>
        <v>1.3938823432369538</v>
      </c>
      <c r="W151" s="45">
        <f t="shared" si="75"/>
        <v>1.3703573174092514</v>
      </c>
      <c r="X151" s="45">
        <f t="shared" si="76"/>
        <v>2.3525025827702439E-2</v>
      </c>
      <c r="Y151" s="45">
        <f t="shared" si="59"/>
        <v>1.2382621935866684E-2</v>
      </c>
      <c r="Z151" s="10">
        <f t="shared" si="77"/>
        <v>17.308613250096201</v>
      </c>
      <c r="AA151">
        <f t="shared" si="54"/>
        <v>5611884.9659790555</v>
      </c>
      <c r="AB151" s="10">
        <f t="shared" si="55"/>
        <v>5.6118849659790557</v>
      </c>
      <c r="AC151" s="10">
        <f t="shared" si="56"/>
        <v>5.5108849659790557</v>
      </c>
      <c r="AD151" s="3">
        <f t="shared" si="57"/>
        <v>799.25815315142211</v>
      </c>
      <c r="AI151" s="100">
        <f t="shared" si="58"/>
        <v>1.3703573174092514</v>
      </c>
    </row>
    <row r="152" spans="2:35">
      <c r="B152" s="39">
        <f t="shared" si="60"/>
        <v>124</v>
      </c>
      <c r="C152" s="45">
        <f t="shared" si="61"/>
        <v>3.642685851318773</v>
      </c>
      <c r="D152" s="10">
        <f t="shared" si="62"/>
        <v>20.857314148681326</v>
      </c>
      <c r="E152" s="40">
        <f t="shared" si="63"/>
        <v>27.285371702637349</v>
      </c>
      <c r="F152" s="40">
        <f t="shared" si="64"/>
        <v>69</v>
      </c>
      <c r="G152" s="3">
        <f t="shared" si="65"/>
        <v>430.8585131894506</v>
      </c>
      <c r="H152" s="3">
        <f t="shared" si="66"/>
        <v>221.47275588995251</v>
      </c>
      <c r="I152">
        <f t="shared" si="48"/>
        <v>2.214727558899525E-4</v>
      </c>
      <c r="J152" s="4">
        <f t="shared" si="67"/>
        <v>1263.3062769705712</v>
      </c>
      <c r="K152" s="40">
        <f t="shared" si="68"/>
        <v>5.7041159392006424</v>
      </c>
      <c r="L152" s="40">
        <f t="shared" si="49"/>
        <v>0.29588406079935758</v>
      </c>
      <c r="M152" s="10">
        <f t="shared" si="69"/>
        <v>5.6118849659790557</v>
      </c>
      <c r="N152" s="10">
        <f t="shared" si="50"/>
        <v>3.8408799049960156</v>
      </c>
      <c r="O152" s="10">
        <f t="shared" si="51"/>
        <v>0.68820000000000003</v>
      </c>
      <c r="P152" s="10">
        <f t="shared" si="70"/>
        <v>12.588308477158783</v>
      </c>
      <c r="Q152" s="45">
        <f t="shared" si="71"/>
        <v>0.33492876480527894</v>
      </c>
      <c r="R152" s="4">
        <f t="shared" si="72"/>
        <v>1359168.3386067769</v>
      </c>
      <c r="S152">
        <f t="shared" si="52"/>
        <v>1.359168338606777E-3</v>
      </c>
      <c r="T152" s="44">
        <f t="shared" si="53"/>
        <v>7.1722805587522685E-4</v>
      </c>
      <c r="U152" s="45">
        <f t="shared" si="73"/>
        <v>2.4261834428300273</v>
      </c>
      <c r="V152" s="45">
        <f t="shared" si="74"/>
        <v>1.3965535443884494</v>
      </c>
      <c r="W152" s="45">
        <f t="shared" si="75"/>
        <v>1.3729571652837713</v>
      </c>
      <c r="X152" s="45">
        <f t="shared" si="76"/>
        <v>2.3596379104678045E-2</v>
      </c>
      <c r="Y152" s="45">
        <f t="shared" si="59"/>
        <v>1.2437687237430694E-2</v>
      </c>
      <c r="Z152" s="10">
        <f t="shared" si="77"/>
        <v>17.34132837602553</v>
      </c>
      <c r="AA152">
        <f t="shared" si="54"/>
        <v>5622301.1265945258</v>
      </c>
      <c r="AB152" s="10">
        <f t="shared" si="55"/>
        <v>5.6223011265945262</v>
      </c>
      <c r="AC152" s="10">
        <f t="shared" si="56"/>
        <v>5.5213011265945262</v>
      </c>
      <c r="AD152" s="3">
        <f t="shared" si="57"/>
        <v>800.76883634438377</v>
      </c>
      <c r="AI152" s="100">
        <f t="shared" si="58"/>
        <v>1.3729571652837713</v>
      </c>
    </row>
    <row r="153" spans="2:35">
      <c r="B153" s="39">
        <f t="shared" si="60"/>
        <v>125</v>
      </c>
      <c r="C153" s="45">
        <f t="shared" si="61"/>
        <v>3.6720623501197309</v>
      </c>
      <c r="D153" s="10">
        <f t="shared" si="62"/>
        <v>20.827937649880369</v>
      </c>
      <c r="E153" s="40">
        <f t="shared" si="63"/>
        <v>27.344124700239263</v>
      </c>
      <c r="F153" s="40">
        <f t="shared" si="64"/>
        <v>69</v>
      </c>
      <c r="G153" s="3">
        <f t="shared" si="65"/>
        <v>430.62350119904295</v>
      </c>
      <c r="H153" s="3">
        <f t="shared" si="66"/>
        <v>221.47275588995251</v>
      </c>
      <c r="I153">
        <f t="shared" si="48"/>
        <v>2.214727558899525E-4</v>
      </c>
      <c r="J153" s="4">
        <f t="shared" si="67"/>
        <v>1265.8271275712486</v>
      </c>
      <c r="K153" s="40">
        <f t="shared" si="68"/>
        <v>5.7154981545460375</v>
      </c>
      <c r="L153" s="40">
        <f t="shared" si="49"/>
        <v>0.28450184545396251</v>
      </c>
      <c r="M153" s="10">
        <f t="shared" si="69"/>
        <v>5.6223011265945262</v>
      </c>
      <c r="N153" s="10">
        <f t="shared" si="50"/>
        <v>3.8408799049960156</v>
      </c>
      <c r="O153" s="10">
        <f t="shared" si="51"/>
        <v>0.68820000000000003</v>
      </c>
      <c r="P153" s="10">
        <f t="shared" si="70"/>
        <v>12.604383639493157</v>
      </c>
      <c r="Q153" s="45">
        <f t="shared" si="71"/>
        <v>0.33725942211000526</v>
      </c>
      <c r="R153" s="4">
        <f t="shared" si="72"/>
        <v>1357341.4420485194</v>
      </c>
      <c r="S153">
        <f t="shared" si="52"/>
        <v>1.3573414420485193E-3</v>
      </c>
      <c r="T153" s="44">
        <f t="shared" si="53"/>
        <v>7.1905495243348451E-4</v>
      </c>
      <c r="U153" s="45">
        <f t="shared" si="73"/>
        <v>2.4229223411287095</v>
      </c>
      <c r="V153" s="45">
        <f t="shared" si="74"/>
        <v>1.3992197371551016</v>
      </c>
      <c r="W153" s="45">
        <f t="shared" si="75"/>
        <v>1.3755522008252572</v>
      </c>
      <c r="X153" s="45">
        <f t="shared" si="76"/>
        <v>2.3667536329844419E-2</v>
      </c>
      <c r="Y153" s="45">
        <f t="shared" si="59"/>
        <v>1.2492848153862722E-2</v>
      </c>
      <c r="Z153" s="10">
        <f t="shared" si="77"/>
        <v>17.373982491301124</v>
      </c>
      <c r="AA153">
        <f t="shared" si="54"/>
        <v>5632697.862043486</v>
      </c>
      <c r="AB153" s="10">
        <f t="shared" si="55"/>
        <v>5.6326978620434858</v>
      </c>
      <c r="AC153" s="10">
        <f t="shared" si="56"/>
        <v>5.5316978620434858</v>
      </c>
      <c r="AD153" s="3">
        <f t="shared" si="57"/>
        <v>802.27670225431268</v>
      </c>
      <c r="AI153" s="100">
        <f t="shared" si="58"/>
        <v>1.3755522008252572</v>
      </c>
    </row>
    <row r="154" spans="2:35">
      <c r="B154" s="39">
        <f t="shared" si="60"/>
        <v>126</v>
      </c>
      <c r="C154" s="45">
        <f t="shared" si="61"/>
        <v>3.7014388489206889</v>
      </c>
      <c r="D154" s="10">
        <f t="shared" si="62"/>
        <v>20.798561151079412</v>
      </c>
      <c r="E154" s="40">
        <f t="shared" si="63"/>
        <v>27.402877697841177</v>
      </c>
      <c r="F154" s="40">
        <f t="shared" si="64"/>
        <v>69</v>
      </c>
      <c r="G154" s="3">
        <f t="shared" si="65"/>
        <v>430.38848920863529</v>
      </c>
      <c r="H154" s="3">
        <f t="shared" si="66"/>
        <v>221.47275588995251</v>
      </c>
      <c r="I154">
        <f t="shared" si="48"/>
        <v>2.214727558899525E-4</v>
      </c>
      <c r="J154" s="4">
        <f t="shared" si="67"/>
        <v>1268.3534004269</v>
      </c>
      <c r="K154" s="40">
        <f t="shared" si="68"/>
        <v>5.7269048526091915</v>
      </c>
      <c r="L154" s="40">
        <f t="shared" si="49"/>
        <v>0.27309514739080853</v>
      </c>
      <c r="M154" s="10">
        <f t="shared" si="69"/>
        <v>5.6326978620434858</v>
      </c>
      <c r="N154" s="10">
        <f t="shared" si="50"/>
        <v>3.8408799049960156</v>
      </c>
      <c r="O154" s="10">
        <f t="shared" si="51"/>
        <v>0.68820000000000003</v>
      </c>
      <c r="P154" s="10">
        <f t="shared" si="70"/>
        <v>12.62041956584304</v>
      </c>
      <c r="Q154" s="45">
        <f t="shared" si="71"/>
        <v>0.33958711800376656</v>
      </c>
      <c r="R154" s="4">
        <f t="shared" si="72"/>
        <v>1355513.3966743702</v>
      </c>
      <c r="S154">
        <f t="shared" si="52"/>
        <v>1.3555133966743702E-3</v>
      </c>
      <c r="T154" s="44">
        <f t="shared" si="53"/>
        <v>7.2088299780763356E-4</v>
      </c>
      <c r="U154" s="45">
        <f t="shared" si="73"/>
        <v>2.4196591887335845</v>
      </c>
      <c r="V154" s="45">
        <f t="shared" si="74"/>
        <v>1.4018808916881651</v>
      </c>
      <c r="W154" s="45">
        <f t="shared" si="75"/>
        <v>1.3781423968678768</v>
      </c>
      <c r="X154" s="45">
        <f t="shared" si="76"/>
        <v>2.3738494820288336E-2</v>
      </c>
      <c r="Y154" s="45">
        <f t="shared" si="59"/>
        <v>1.2548104150779981E-2</v>
      </c>
      <c r="Z154" s="10">
        <f t="shared" si="77"/>
        <v>17.406575254155769</v>
      </c>
      <c r="AA154">
        <f t="shared" si="54"/>
        <v>5643075.0635107597</v>
      </c>
      <c r="AB154" s="10">
        <f t="shared" si="55"/>
        <v>5.6430750635107598</v>
      </c>
      <c r="AC154" s="10">
        <f t="shared" si="56"/>
        <v>5.5420750635107598</v>
      </c>
      <c r="AD154" s="3">
        <f t="shared" si="57"/>
        <v>803.78173509945759</v>
      </c>
      <c r="AI154" s="100">
        <f t="shared" si="58"/>
        <v>1.3781423968678768</v>
      </c>
    </row>
    <row r="155" spans="2:35">
      <c r="B155" s="39">
        <f t="shared" si="60"/>
        <v>127</v>
      </c>
      <c r="C155" s="45">
        <f t="shared" si="61"/>
        <v>3.7308153477216468</v>
      </c>
      <c r="D155" s="10">
        <f t="shared" si="62"/>
        <v>20.769184652278454</v>
      </c>
      <c r="E155" s="40">
        <f t="shared" si="63"/>
        <v>27.461630695443091</v>
      </c>
      <c r="F155" s="40">
        <f t="shared" si="64"/>
        <v>69</v>
      </c>
      <c r="G155" s="3">
        <f t="shared" si="65"/>
        <v>430.15347721822764</v>
      </c>
      <c r="H155" s="3">
        <f t="shared" si="66"/>
        <v>221.47275588995251</v>
      </c>
      <c r="I155">
        <f t="shared" si="48"/>
        <v>2.214727558899525E-4</v>
      </c>
      <c r="J155" s="4">
        <f t="shared" si="67"/>
        <v>1270.8850955375251</v>
      </c>
      <c r="K155" s="40">
        <f t="shared" si="68"/>
        <v>5.7383360333901052</v>
      </c>
      <c r="L155" s="40">
        <f t="shared" si="49"/>
        <v>0.26166396660989477</v>
      </c>
      <c r="M155" s="10">
        <f t="shared" si="69"/>
        <v>5.6430750635107598</v>
      </c>
      <c r="N155" s="10">
        <f t="shared" si="50"/>
        <v>3.8408799049960156</v>
      </c>
      <c r="O155" s="10">
        <f t="shared" si="51"/>
        <v>0.68820000000000003</v>
      </c>
      <c r="P155" s="10">
        <f t="shared" si="70"/>
        <v>12.636416162681579</v>
      </c>
      <c r="Q155" s="45">
        <f t="shared" si="71"/>
        <v>0.34191186723826184</v>
      </c>
      <c r="R155" s="4">
        <f t="shared" si="72"/>
        <v>1353684.2063072135</v>
      </c>
      <c r="S155">
        <f t="shared" si="52"/>
        <v>1.3536842063072135E-3</v>
      </c>
      <c r="T155" s="44">
        <f t="shared" si="53"/>
        <v>7.2271218817479034E-4</v>
      </c>
      <c r="U155" s="45">
        <f t="shared" si="73"/>
        <v>2.4163939924686915</v>
      </c>
      <c r="V155" s="45">
        <f t="shared" si="74"/>
        <v>1.4045369782010007</v>
      </c>
      <c r="W155" s="45">
        <f t="shared" si="75"/>
        <v>1.3807277263019047</v>
      </c>
      <c r="X155" s="45">
        <f t="shared" si="76"/>
        <v>2.3809251899095996E-2</v>
      </c>
      <c r="Y155" s="45">
        <f t="shared" si="59"/>
        <v>1.260345469090631E-2</v>
      </c>
      <c r="Z155" s="10">
        <f t="shared" si="77"/>
        <v>17.43910632355092</v>
      </c>
      <c r="AA155">
        <f t="shared" si="54"/>
        <v>5653432.6224131733</v>
      </c>
      <c r="AB155" s="10">
        <f t="shared" si="55"/>
        <v>5.653432622413173</v>
      </c>
      <c r="AC155" s="10">
        <f t="shared" si="56"/>
        <v>5.552432622413173</v>
      </c>
      <c r="AD155" s="3">
        <f t="shared" si="57"/>
        <v>805.28391913171481</v>
      </c>
      <c r="AI155" s="100">
        <f t="shared" si="58"/>
        <v>1.3807277263019047</v>
      </c>
    </row>
    <row r="156" spans="2:35">
      <c r="B156" s="39">
        <f t="shared" si="60"/>
        <v>128</v>
      </c>
      <c r="C156" s="45">
        <f t="shared" si="61"/>
        <v>3.7601918465226047</v>
      </c>
      <c r="D156" s="10">
        <f t="shared" si="62"/>
        <v>20.739808153477497</v>
      </c>
      <c r="E156" s="40">
        <f t="shared" si="63"/>
        <v>27.520383693045005</v>
      </c>
      <c r="F156" s="40">
        <f t="shared" si="64"/>
        <v>69</v>
      </c>
      <c r="G156" s="3">
        <f t="shared" si="65"/>
        <v>429.91846522781998</v>
      </c>
      <c r="H156" s="3">
        <f t="shared" si="66"/>
        <v>221.47275588995251</v>
      </c>
      <c r="I156">
        <f t="shared" ref="I156:I219" si="78">H156/1000^2</f>
        <v>2.214727558899525E-4</v>
      </c>
      <c r="J156" s="4">
        <f t="shared" si="67"/>
        <v>1273.4222129031245</v>
      </c>
      <c r="K156" s="40">
        <f t="shared" si="68"/>
        <v>5.7497916968887797</v>
      </c>
      <c r="L156" s="40">
        <f t="shared" ref="L156:L219" si="79">IF((gstar-K156)&lt;0,0,gstar-K156)</f>
        <v>0.25020830311122033</v>
      </c>
      <c r="M156" s="10">
        <f t="shared" si="69"/>
        <v>5.653432622413173</v>
      </c>
      <c r="N156" s="10">
        <f t="shared" ref="N156:N219" si="80">IF(fueltype=1,VLOOKUP($M156,kndxbn_,4),IF(fueltype=2,VLOOKUP($M156,knsobn_,4),IF(fueltype=3,VLOOKUP($M156,knsbcobn_,4),IF(fueltype=4,VLOOKUP($M156,knsubn_,4),IF(fueltype=5,am_1,IF(fueltype=6,am_0,IF(fueltype=7,am_3,am_4)))))))</f>
        <v>3.8408799049960156</v>
      </c>
      <c r="O156" s="10">
        <f t="shared" ref="O156:O219" si="81">IF(fueltype=1,VLOOKUP($M156,kndxbn_,5),IF(fueltype=2,VLOOKUP($M156,knsobn_,5),IF(fueltype=3,VLOOKUP($M156,knsbcobn_,5),IF(fueltype=4,VLOOKUP($M156,knsubn_,5),IF(fueltype=5,nm_1,IF(fueltype=6,an_0,IF(fueltype=7,nm_3,nm_4)))))))</f>
        <v>0.68820000000000003</v>
      </c>
      <c r="P156" s="10">
        <f t="shared" si="70"/>
        <v>12.652373336781096</v>
      </c>
      <c r="Q156" s="45">
        <f t="shared" si="71"/>
        <v>0.34423368449886693</v>
      </c>
      <c r="R156" s="4">
        <f t="shared" si="72"/>
        <v>1351853.8747699345</v>
      </c>
      <c r="S156">
        <f t="shared" ref="S156:S219" si="82">R156/1000^3</f>
        <v>1.3518538747699345E-3</v>
      </c>
      <c r="T156" s="44">
        <f t="shared" ref="T156:T219" si="83">(vc/1000^3-S156)</f>
        <v>7.2454251971206928E-4</v>
      </c>
      <c r="U156" s="45">
        <f t="shared" si="73"/>
        <v>2.4131267591580716</v>
      </c>
      <c r="V156" s="45">
        <f t="shared" si="74"/>
        <v>1.4071879669670293</v>
      </c>
      <c r="W156" s="45">
        <f t="shared" si="75"/>
        <v>1.3833081620754157</v>
      </c>
      <c r="X156" s="45">
        <f t="shared" si="76"/>
        <v>2.3879804891613565E-2</v>
      </c>
      <c r="Y156" s="45">
        <f t="shared" si="59"/>
        <v>1.265889923408354E-2</v>
      </c>
      <c r="Z156" s="10">
        <f t="shared" si="77"/>
        <v>17.471575359185469</v>
      </c>
      <c r="AA156">
        <f t="shared" ref="AA156:AA219" si="84">Z156*rat*to+patm*1000000</f>
        <v>5663770.4304023413</v>
      </c>
      <c r="AB156" s="10">
        <f t="shared" ref="AB156:AB219" si="85">AA156/1000000</f>
        <v>5.6637704304023417</v>
      </c>
      <c r="AC156" s="10">
        <f t="shared" ref="AC156:AC219" si="86">AB156-patm</f>
        <v>5.5627704304023418</v>
      </c>
      <c r="AD156" s="3">
        <f t="shared" ref="AD156:AD219" si="87">AC156*1000000/6895</f>
        <v>806.78323863703281</v>
      </c>
      <c r="AI156" s="100">
        <f t="shared" si="58"/>
        <v>1.3833081620754157</v>
      </c>
    </row>
    <row r="157" spans="2:35">
      <c r="B157" s="39">
        <f t="shared" si="60"/>
        <v>129</v>
      </c>
      <c r="C157" s="45">
        <f t="shared" si="61"/>
        <v>3.7895683453235627</v>
      </c>
      <c r="D157" s="10">
        <f t="shared" si="62"/>
        <v>20.71043165467654</v>
      </c>
      <c r="E157" s="40">
        <f t="shared" si="63"/>
        <v>27.579136690646919</v>
      </c>
      <c r="F157" s="40">
        <f t="shared" si="64"/>
        <v>69</v>
      </c>
      <c r="G157" s="3">
        <f t="shared" si="65"/>
        <v>429.68345323741232</v>
      </c>
      <c r="H157" s="3">
        <f t="shared" si="66"/>
        <v>221.47275588995251</v>
      </c>
      <c r="I157">
        <f t="shared" si="78"/>
        <v>2.214727558899525E-4</v>
      </c>
      <c r="J157" s="4">
        <f t="shared" si="67"/>
        <v>1275.9647525236978</v>
      </c>
      <c r="K157" s="40">
        <f t="shared" si="68"/>
        <v>5.7612718431052139</v>
      </c>
      <c r="L157" s="40">
        <f t="shared" si="79"/>
        <v>0.2387281568947861</v>
      </c>
      <c r="M157" s="10">
        <f t="shared" si="69"/>
        <v>5.6637704304023417</v>
      </c>
      <c r="N157" s="10">
        <f t="shared" si="80"/>
        <v>3.8408799049960156</v>
      </c>
      <c r="O157" s="10">
        <f t="shared" si="81"/>
        <v>0.68820000000000003</v>
      </c>
      <c r="P157" s="10">
        <f t="shared" si="70"/>
        <v>12.66829099521577</v>
      </c>
      <c r="Q157" s="45">
        <f t="shared" si="71"/>
        <v>0.3465525844051015</v>
      </c>
      <c r="R157" s="4">
        <f t="shared" si="72"/>
        <v>1350022.4058854179</v>
      </c>
      <c r="S157">
        <f t="shared" si="82"/>
        <v>1.3500224058854179E-3</v>
      </c>
      <c r="T157" s="44">
        <f t="shared" si="83"/>
        <v>7.2637398859658588E-4</v>
      </c>
      <c r="U157" s="45">
        <f t="shared" si="73"/>
        <v>2.4098574956257655</v>
      </c>
      <c r="V157" s="45">
        <f t="shared" si="74"/>
        <v>1.409833828323704</v>
      </c>
      <c r="W157" s="45">
        <f t="shared" si="75"/>
        <v>1.3858836771949798</v>
      </c>
      <c r="X157" s="45">
        <f t="shared" si="76"/>
        <v>2.3950151128724118E-2</v>
      </c>
      <c r="Y157" s="45">
        <f t="shared" si="59"/>
        <v>1.2714437237290242E-2</v>
      </c>
      <c r="Z157" s="10">
        <f t="shared" si="77"/>
        <v>17.503982021514258</v>
      </c>
      <c r="AA157">
        <f t="shared" si="84"/>
        <v>5674088.3793705693</v>
      </c>
      <c r="AB157" s="10">
        <f t="shared" si="85"/>
        <v>5.674088379370569</v>
      </c>
      <c r="AC157" s="10">
        <f t="shared" si="86"/>
        <v>5.573088379370569</v>
      </c>
      <c r="AD157" s="3">
        <f t="shared" si="87"/>
        <v>808.27967793626817</v>
      </c>
      <c r="AI157" s="100">
        <f t="shared" ref="AI157:AI220" si="88">($M157-patm)*1000000*$I157/SQRT(rat*to)*SQRT(k)*(2/(k+1))^((k+1)/2/(k-1))</f>
        <v>1.3858836771949798</v>
      </c>
    </row>
    <row r="158" spans="2:35">
      <c r="B158" s="39">
        <f t="shared" si="60"/>
        <v>130</v>
      </c>
      <c r="C158" s="45">
        <f t="shared" si="61"/>
        <v>3.8189448441245206</v>
      </c>
      <c r="D158" s="10">
        <f t="shared" si="62"/>
        <v>20.681055155875583</v>
      </c>
      <c r="E158" s="40">
        <f t="shared" si="63"/>
        <v>27.637889688248833</v>
      </c>
      <c r="F158" s="40">
        <f t="shared" si="64"/>
        <v>69</v>
      </c>
      <c r="G158" s="3">
        <f t="shared" si="65"/>
        <v>429.44844124700467</v>
      </c>
      <c r="H158" s="3">
        <f t="shared" si="66"/>
        <v>221.47275588995251</v>
      </c>
      <c r="I158">
        <f t="shared" si="78"/>
        <v>2.214727558899525E-4</v>
      </c>
      <c r="J158" s="4">
        <f t="shared" si="67"/>
        <v>1278.5127143992449</v>
      </c>
      <c r="K158" s="40">
        <f t="shared" si="68"/>
        <v>5.772776472039407</v>
      </c>
      <c r="L158" s="40">
        <f t="shared" si="79"/>
        <v>0.22722352796059297</v>
      </c>
      <c r="M158" s="10">
        <f t="shared" si="69"/>
        <v>5.674088379370569</v>
      </c>
      <c r="N158" s="10">
        <f t="shared" si="80"/>
        <v>3.8408799049960156</v>
      </c>
      <c r="O158" s="10">
        <f t="shared" si="81"/>
        <v>0.68820000000000003</v>
      </c>
      <c r="P158" s="10">
        <f t="shared" si="70"/>
        <v>12.684169045369094</v>
      </c>
      <c r="Q158" s="45">
        <f t="shared" si="71"/>
        <v>0.34886858151109112</v>
      </c>
      <c r="R158" s="4">
        <f t="shared" si="72"/>
        <v>1348189.8034765488</v>
      </c>
      <c r="S158">
        <f t="shared" si="82"/>
        <v>1.3481898034765488E-3</v>
      </c>
      <c r="T158" s="44">
        <f t="shared" si="83"/>
        <v>7.2820659100545498E-4</v>
      </c>
      <c r="U158" s="45">
        <f t="shared" si="73"/>
        <v>2.4065862086958134</v>
      </c>
      <c r="V158" s="45">
        <f t="shared" si="74"/>
        <v>1.4124745326718493</v>
      </c>
      <c r="W158" s="45">
        <f t="shared" si="75"/>
        <v>1.38845424472713</v>
      </c>
      <c r="X158" s="45">
        <f t="shared" si="76"/>
        <v>2.4020287944719332E-2</v>
      </c>
      <c r="Y158" s="45">
        <f t="shared" ref="Y158:Y221" si="89">IF((X158*(Q158-Q157)+Y157)&lt;0,0,X158*(Q158-Q157)+Y157)</f>
        <v>1.2770068154655249E-2</v>
      </c>
      <c r="Z158" s="10">
        <f t="shared" si="77"/>
        <v>17.536325971759283</v>
      </c>
      <c r="AA158">
        <f t="shared" si="84"/>
        <v>5684386.3614544133</v>
      </c>
      <c r="AB158" s="10">
        <f t="shared" si="85"/>
        <v>5.684386361454413</v>
      </c>
      <c r="AC158" s="10">
        <f t="shared" si="86"/>
        <v>5.583386361454413</v>
      </c>
      <c r="AD158" s="3">
        <f t="shared" si="87"/>
        <v>809.77322138570173</v>
      </c>
      <c r="AI158" s="100">
        <f t="shared" si="88"/>
        <v>1.38845424472713</v>
      </c>
    </row>
    <row r="159" spans="2:35">
      <c r="B159" s="39">
        <f t="shared" si="60"/>
        <v>131</v>
      </c>
      <c r="C159" s="45">
        <f t="shared" si="61"/>
        <v>3.8483213429254786</v>
      </c>
      <c r="D159" s="10">
        <f t="shared" si="62"/>
        <v>20.651678657074626</v>
      </c>
      <c r="E159" s="40">
        <f t="shared" si="63"/>
        <v>27.696642685850748</v>
      </c>
      <c r="F159" s="40">
        <f t="shared" si="64"/>
        <v>69</v>
      </c>
      <c r="G159" s="3">
        <f t="shared" si="65"/>
        <v>429.21342925659701</v>
      </c>
      <c r="H159" s="3">
        <f t="shared" si="66"/>
        <v>221.47275588995251</v>
      </c>
      <c r="I159">
        <f t="shared" si="78"/>
        <v>2.214727558899525E-4</v>
      </c>
      <c r="J159" s="4">
        <f t="shared" si="67"/>
        <v>1281.0660985297659</v>
      </c>
      <c r="K159" s="40">
        <f t="shared" si="68"/>
        <v>5.7843055836913599</v>
      </c>
      <c r="L159" s="40">
        <f t="shared" si="79"/>
        <v>0.21569441630864006</v>
      </c>
      <c r="M159" s="10">
        <f t="shared" si="69"/>
        <v>5.684386361454413</v>
      </c>
      <c r="N159" s="10">
        <f t="shared" si="80"/>
        <v>3.8408799049960156</v>
      </c>
      <c r="O159" s="10">
        <f t="shared" si="81"/>
        <v>0.68820000000000003</v>
      </c>
      <c r="P159" s="10">
        <f t="shared" si="70"/>
        <v>12.700007394937707</v>
      </c>
      <c r="Q159" s="45">
        <f t="shared" si="71"/>
        <v>0.3511816903060252</v>
      </c>
      <c r="R159" s="4">
        <f t="shared" si="72"/>
        <v>1346356.0713662116</v>
      </c>
      <c r="S159">
        <f t="shared" si="82"/>
        <v>1.3463560713662117E-3</v>
      </c>
      <c r="T159" s="44">
        <f t="shared" si="83"/>
        <v>7.3004032311579209E-4</v>
      </c>
      <c r="U159" s="45">
        <f t="shared" si="73"/>
        <v>2.4033129051922559</v>
      </c>
      <c r="V159" s="45">
        <f t="shared" si="74"/>
        <v>1.4151100504767979</v>
      </c>
      <c r="W159" s="45">
        <f t="shared" si="75"/>
        <v>1.391019837799252</v>
      </c>
      <c r="X159" s="45">
        <f t="shared" si="76"/>
        <v>2.4090212677545964E-2</v>
      </c>
      <c r="Y159" s="45">
        <f t="shared" si="89"/>
        <v>1.2825791437471513E-2</v>
      </c>
      <c r="Z159" s="10">
        <f t="shared" si="77"/>
        <v>17.568606871920974</v>
      </c>
      <c r="AA159">
        <f t="shared" si="84"/>
        <v>5694664.2690382777</v>
      </c>
      <c r="AB159" s="10">
        <f t="shared" si="85"/>
        <v>5.6946642690382774</v>
      </c>
      <c r="AC159" s="10">
        <f t="shared" si="86"/>
        <v>5.5936642690382774</v>
      </c>
      <c r="AD159" s="3">
        <f t="shared" si="87"/>
        <v>811.26385337756017</v>
      </c>
      <c r="AI159" s="100">
        <f t="shared" si="88"/>
        <v>1.391019837799252</v>
      </c>
    </row>
    <row r="160" spans="2:35">
      <c r="B160" s="39">
        <f t="shared" si="60"/>
        <v>132</v>
      </c>
      <c r="C160" s="45">
        <f t="shared" si="61"/>
        <v>3.8776978417264365</v>
      </c>
      <c r="D160" s="10">
        <f t="shared" si="62"/>
        <v>20.622302158273669</v>
      </c>
      <c r="E160" s="40">
        <f t="shared" si="63"/>
        <v>27.755395683452662</v>
      </c>
      <c r="F160" s="40">
        <f t="shared" si="64"/>
        <v>69</v>
      </c>
      <c r="G160" s="3">
        <f t="shared" si="65"/>
        <v>428.97841726618935</v>
      </c>
      <c r="H160" s="3">
        <f t="shared" si="66"/>
        <v>221.47275588995251</v>
      </c>
      <c r="I160">
        <f t="shared" si="78"/>
        <v>2.214727558899525E-4</v>
      </c>
      <c r="J160" s="4">
        <f t="shared" si="67"/>
        <v>1283.6249049152607</v>
      </c>
      <c r="K160" s="40">
        <f t="shared" si="68"/>
        <v>5.7958591780610726</v>
      </c>
      <c r="L160" s="40">
        <f t="shared" si="79"/>
        <v>0.20414082193892735</v>
      </c>
      <c r="M160" s="10">
        <f t="shared" si="69"/>
        <v>5.6946642690382774</v>
      </c>
      <c r="N160" s="10">
        <f t="shared" si="80"/>
        <v>3.8408799049960156</v>
      </c>
      <c r="O160" s="10">
        <f t="shared" si="81"/>
        <v>0.68820000000000003</v>
      </c>
      <c r="P160" s="10">
        <f t="shared" si="70"/>
        <v>12.715805951935295</v>
      </c>
      <c r="Q160" s="45">
        <f t="shared" si="71"/>
        <v>0.35349192521461054</v>
      </c>
      <c r="R160" s="4">
        <f t="shared" si="72"/>
        <v>1344521.2133772913</v>
      </c>
      <c r="S160">
        <f t="shared" si="82"/>
        <v>1.3445212133772913E-3</v>
      </c>
      <c r="T160" s="44">
        <f t="shared" si="83"/>
        <v>7.3187518110471249E-4</v>
      </c>
      <c r="U160" s="45">
        <f t="shared" si="73"/>
        <v>2.4000375919391339</v>
      </c>
      <c r="V160" s="45">
        <f t="shared" si="74"/>
        <v>1.417740352269045</v>
      </c>
      <c r="W160" s="45">
        <f t="shared" si="75"/>
        <v>1.3935804296004788</v>
      </c>
      <c r="X160" s="45">
        <f t="shared" si="76"/>
        <v>2.4159922668566258E-2</v>
      </c>
      <c r="Y160" s="45">
        <f t="shared" si="89"/>
        <v>1.2881606534209158E-2</v>
      </c>
      <c r="Z160" s="10">
        <f t="shared" si="77"/>
        <v>17.600824384788275</v>
      </c>
      <c r="AA160">
        <f t="shared" si="84"/>
        <v>5704921.9947576197</v>
      </c>
      <c r="AB160" s="10">
        <f t="shared" si="85"/>
        <v>5.70492199475762</v>
      </c>
      <c r="AC160" s="10">
        <f t="shared" si="86"/>
        <v>5.60392199475762</v>
      </c>
      <c r="AD160" s="3">
        <f t="shared" si="87"/>
        <v>812.75155834048144</v>
      </c>
      <c r="AI160" s="100">
        <f t="shared" si="88"/>
        <v>1.3935804296004788</v>
      </c>
    </row>
    <row r="161" spans="2:35">
      <c r="B161" s="39">
        <f t="shared" si="60"/>
        <v>133</v>
      </c>
      <c r="C161" s="45">
        <f t="shared" si="61"/>
        <v>3.9070743405273944</v>
      </c>
      <c r="D161" s="10">
        <f t="shared" si="62"/>
        <v>20.592925659472712</v>
      </c>
      <c r="E161" s="40">
        <f t="shared" si="63"/>
        <v>27.814148681054576</v>
      </c>
      <c r="F161" s="40">
        <f t="shared" si="64"/>
        <v>69</v>
      </c>
      <c r="G161" s="3">
        <f t="shared" si="65"/>
        <v>428.7434052757817</v>
      </c>
      <c r="H161" s="3">
        <f t="shared" si="66"/>
        <v>221.47275588995251</v>
      </c>
      <c r="I161">
        <f t="shared" si="78"/>
        <v>2.214727558899525E-4</v>
      </c>
      <c r="J161" s="4">
        <f t="shared" si="67"/>
        <v>1286.1891335557293</v>
      </c>
      <c r="K161" s="40">
        <f t="shared" si="68"/>
        <v>5.8074372551485443</v>
      </c>
      <c r="L161" s="40">
        <f t="shared" si="79"/>
        <v>0.19256274485145575</v>
      </c>
      <c r="M161" s="10">
        <f t="shared" si="69"/>
        <v>5.70492199475762</v>
      </c>
      <c r="N161" s="10">
        <f t="shared" si="80"/>
        <v>3.8408799049960156</v>
      </c>
      <c r="O161" s="10">
        <f t="shared" si="81"/>
        <v>0.68820000000000003</v>
      </c>
      <c r="P161" s="10">
        <f t="shared" si="70"/>
        <v>12.73156462469586</v>
      </c>
      <c r="Q161" s="45">
        <f t="shared" si="71"/>
        <v>0.35579930059752107</v>
      </c>
      <c r="R161" s="4">
        <f t="shared" si="72"/>
        <v>1342685.2333326726</v>
      </c>
      <c r="S161">
        <f t="shared" si="82"/>
        <v>1.3426852333326726E-3</v>
      </c>
      <c r="T161" s="44">
        <f t="shared" si="83"/>
        <v>7.3371116114933125E-4</v>
      </c>
      <c r="U161" s="45">
        <f t="shared" si="73"/>
        <v>2.3967602757604873</v>
      </c>
      <c r="V161" s="45">
        <f t="shared" si="74"/>
        <v>1.4203654086456214</v>
      </c>
      <c r="W161" s="45">
        <f t="shared" si="75"/>
        <v>1.3961359933824904</v>
      </c>
      <c r="X161" s="45">
        <f t="shared" si="76"/>
        <v>2.4229415263131049E-2</v>
      </c>
      <c r="Y161" s="45">
        <f t="shared" si="89"/>
        <v>1.2937512890529624E-2</v>
      </c>
      <c r="Z161" s="10">
        <f t="shared" si="77"/>
        <v>17.63297817394994</v>
      </c>
      <c r="AA161">
        <f t="shared" si="84"/>
        <v>5715159.4315025471</v>
      </c>
      <c r="AB161" s="10">
        <f t="shared" si="85"/>
        <v>5.7151594315025473</v>
      </c>
      <c r="AC161" s="10">
        <f t="shared" si="86"/>
        <v>5.6141594315025474</v>
      </c>
      <c r="AD161" s="3">
        <f t="shared" si="87"/>
        <v>814.23632074003581</v>
      </c>
      <c r="AI161" s="100">
        <f t="shared" si="88"/>
        <v>1.3961359933824904</v>
      </c>
    </row>
    <row r="162" spans="2:35">
      <c r="B162" s="39">
        <f t="shared" si="60"/>
        <v>134</v>
      </c>
      <c r="C162" s="45">
        <f t="shared" si="61"/>
        <v>3.9364508393283524</v>
      </c>
      <c r="D162" s="10">
        <f t="shared" si="62"/>
        <v>20.563549160671755</v>
      </c>
      <c r="E162" s="40">
        <f t="shared" si="63"/>
        <v>27.87290167865649</v>
      </c>
      <c r="F162" s="40">
        <f t="shared" si="64"/>
        <v>69</v>
      </c>
      <c r="G162" s="3">
        <f t="shared" si="65"/>
        <v>428.50839328537404</v>
      </c>
      <c r="H162" s="3">
        <f t="shared" si="66"/>
        <v>221.47275588995251</v>
      </c>
      <c r="I162">
        <f t="shared" si="78"/>
        <v>2.214727558899525E-4</v>
      </c>
      <c r="J162" s="4">
        <f t="shared" si="67"/>
        <v>1288.7587844511722</v>
      </c>
      <c r="K162" s="40">
        <f t="shared" si="68"/>
        <v>5.8190398149537765</v>
      </c>
      <c r="L162" s="40">
        <f t="shared" si="79"/>
        <v>0.18096018504622347</v>
      </c>
      <c r="M162" s="10">
        <f t="shared" si="69"/>
        <v>5.7151594315025473</v>
      </c>
      <c r="N162" s="10">
        <f t="shared" si="80"/>
        <v>3.8408799049960156</v>
      </c>
      <c r="O162" s="10">
        <f t="shared" si="81"/>
        <v>0.68820000000000003</v>
      </c>
      <c r="P162" s="10">
        <f t="shared" si="70"/>
        <v>12.7472833218776</v>
      </c>
      <c r="Q162" s="45">
        <f t="shared" si="71"/>
        <v>0.35810383075184349</v>
      </c>
      <c r="R162" s="4">
        <f t="shared" si="72"/>
        <v>1340848.1350552405</v>
      </c>
      <c r="S162">
        <f t="shared" si="82"/>
        <v>1.3408481350552404E-3</v>
      </c>
      <c r="T162" s="44">
        <f t="shared" si="83"/>
        <v>7.3554825942676342E-4</v>
      </c>
      <c r="U162" s="45">
        <f t="shared" si="73"/>
        <v>2.3934809634803571</v>
      </c>
      <c r="V162" s="45">
        <f t="shared" si="74"/>
        <v>1.4229851902694779</v>
      </c>
      <c r="W162" s="45">
        <f t="shared" si="75"/>
        <v>1.3986865024604074</v>
      </c>
      <c r="X162" s="45">
        <f t="shared" si="76"/>
        <v>2.4298687809070518E-2</v>
      </c>
      <c r="Y162" s="45">
        <f t="shared" si="89"/>
        <v>1.2993509949296093E-2</v>
      </c>
      <c r="Z162" s="10">
        <f t="shared" si="77"/>
        <v>17.665067903800569</v>
      </c>
      <c r="AA162">
        <f t="shared" si="84"/>
        <v>5725376.4724197434</v>
      </c>
      <c r="AB162" s="10">
        <f t="shared" si="85"/>
        <v>5.7253764724197431</v>
      </c>
      <c r="AC162" s="10">
        <f t="shared" si="86"/>
        <v>5.6243764724197431</v>
      </c>
      <c r="AD162" s="3">
        <f t="shared" si="87"/>
        <v>815.71812507900552</v>
      </c>
      <c r="AI162" s="100">
        <f t="shared" si="88"/>
        <v>1.3986865024604074</v>
      </c>
    </row>
    <row r="163" spans="2:35">
      <c r="B163" s="39">
        <f t="shared" si="60"/>
        <v>135</v>
      </c>
      <c r="C163" s="45">
        <f t="shared" si="61"/>
        <v>3.9658273381293103</v>
      </c>
      <c r="D163" s="10">
        <f t="shared" si="62"/>
        <v>20.534172661870798</v>
      </c>
      <c r="E163" s="40">
        <f t="shared" si="63"/>
        <v>27.931654676258404</v>
      </c>
      <c r="F163" s="40">
        <f t="shared" si="64"/>
        <v>69</v>
      </c>
      <c r="G163" s="3">
        <f t="shared" si="65"/>
        <v>428.27338129496638</v>
      </c>
      <c r="H163" s="3">
        <f t="shared" si="66"/>
        <v>221.47275588995251</v>
      </c>
      <c r="I163">
        <f t="shared" si="78"/>
        <v>2.214727558899525E-4</v>
      </c>
      <c r="J163" s="4">
        <f t="shared" si="67"/>
        <v>1291.333857601589</v>
      </c>
      <c r="K163" s="40">
        <f t="shared" si="68"/>
        <v>5.8306668574767686</v>
      </c>
      <c r="L163" s="40">
        <f t="shared" si="79"/>
        <v>0.16933314252323139</v>
      </c>
      <c r="M163" s="10">
        <f t="shared" si="69"/>
        <v>5.7253764724197431</v>
      </c>
      <c r="N163" s="10">
        <f t="shared" si="80"/>
        <v>3.8408799049960156</v>
      </c>
      <c r="O163" s="10">
        <f t="shared" si="81"/>
        <v>0.68820000000000003</v>
      </c>
      <c r="P163" s="10">
        <f t="shared" si="70"/>
        <v>12.762961952464222</v>
      </c>
      <c r="Q163" s="45">
        <f t="shared" si="71"/>
        <v>0.36040552991151903</v>
      </c>
      <c r="R163" s="4">
        <f t="shared" si="72"/>
        <v>1339009.9223678794</v>
      </c>
      <c r="S163">
        <f t="shared" si="82"/>
        <v>1.3390099223678795E-3</v>
      </c>
      <c r="T163" s="44">
        <f t="shared" si="83"/>
        <v>7.373864721141243E-4</v>
      </c>
      <c r="U163" s="45">
        <f t="shared" si="73"/>
        <v>2.3901996619227832</v>
      </c>
      <c r="V163" s="45">
        <f t="shared" si="74"/>
        <v>1.4255996678716427</v>
      </c>
      <c r="W163" s="45">
        <f t="shared" si="75"/>
        <v>1.4012319302132747</v>
      </c>
      <c r="X163" s="45">
        <f t="shared" si="76"/>
        <v>2.4367737658367972E-2</v>
      </c>
      <c r="Y163" s="45">
        <f t="shared" si="89"/>
        <v>1.3049597150587552E-2</v>
      </c>
      <c r="Z163" s="10">
        <f t="shared" si="77"/>
        <v>17.697093239551435</v>
      </c>
      <c r="AA163">
        <f t="shared" si="84"/>
        <v>5735573.0109159118</v>
      </c>
      <c r="AB163" s="10">
        <f t="shared" si="85"/>
        <v>5.7355730109159113</v>
      </c>
      <c r="AC163" s="10">
        <f t="shared" si="86"/>
        <v>5.6345730109159113</v>
      </c>
      <c r="AD163" s="3">
        <f t="shared" si="87"/>
        <v>817.19695589788421</v>
      </c>
      <c r="AI163" s="100">
        <f t="shared" si="88"/>
        <v>1.4012319302132747</v>
      </c>
    </row>
    <row r="164" spans="2:35">
      <c r="B164" s="39">
        <f t="shared" si="60"/>
        <v>136</v>
      </c>
      <c r="C164" s="45">
        <f t="shared" si="61"/>
        <v>3.9952038369302683</v>
      </c>
      <c r="D164" s="10">
        <f t="shared" si="62"/>
        <v>20.504796163069841</v>
      </c>
      <c r="E164" s="40">
        <f t="shared" si="63"/>
        <v>27.990407673860318</v>
      </c>
      <c r="F164" s="40">
        <f t="shared" si="64"/>
        <v>69</v>
      </c>
      <c r="G164" s="3">
        <f t="shared" si="65"/>
        <v>428.03836930455873</v>
      </c>
      <c r="H164" s="3">
        <f t="shared" si="66"/>
        <v>221.47275588995251</v>
      </c>
      <c r="I164">
        <f t="shared" si="78"/>
        <v>2.214727558899525E-4</v>
      </c>
      <c r="J164" s="4">
        <f t="shared" si="67"/>
        <v>1293.9143530069796</v>
      </c>
      <c r="K164" s="40">
        <f t="shared" si="68"/>
        <v>5.8423183827175205</v>
      </c>
      <c r="L164" s="40">
        <f t="shared" si="79"/>
        <v>0.15768161728247954</v>
      </c>
      <c r="M164" s="10">
        <f t="shared" si="69"/>
        <v>5.7355730109159113</v>
      </c>
      <c r="N164" s="10">
        <f t="shared" si="80"/>
        <v>3.8408799049960156</v>
      </c>
      <c r="O164" s="10">
        <f t="shared" si="81"/>
        <v>0.68820000000000003</v>
      </c>
      <c r="P164" s="10">
        <f t="shared" si="70"/>
        <v>12.778600425768564</v>
      </c>
      <c r="Q164" s="45">
        <f t="shared" si="71"/>
        <v>0.36270441224778166</v>
      </c>
      <c r="R164" s="4">
        <f t="shared" si="72"/>
        <v>1337170.5990934744</v>
      </c>
      <c r="S164">
        <f t="shared" si="82"/>
        <v>1.3371705990934744E-3</v>
      </c>
      <c r="T164" s="44">
        <f t="shared" si="83"/>
        <v>7.3922579538852938E-4</v>
      </c>
      <c r="U164" s="45">
        <f t="shared" si="73"/>
        <v>2.3869163779118066</v>
      </c>
      <c r="V164" s="45">
        <f t="shared" si="74"/>
        <v>1.4282088122502192</v>
      </c>
      <c r="W164" s="45">
        <f t="shared" si="75"/>
        <v>1.4037722500849161</v>
      </c>
      <c r="X164" s="45">
        <f t="shared" si="76"/>
        <v>2.44365621653031E-2</v>
      </c>
      <c r="Y164" s="45">
        <f t="shared" si="89"/>
        <v>1.3105773931708352E-2</v>
      </c>
      <c r="Z164" s="10">
        <f t="shared" si="77"/>
        <v>17.72905384723499</v>
      </c>
      <c r="AA164">
        <f t="shared" si="84"/>
        <v>5745748.9406592064</v>
      </c>
      <c r="AB164" s="10">
        <f t="shared" si="85"/>
        <v>5.7457489406592064</v>
      </c>
      <c r="AC164" s="10">
        <f t="shared" si="86"/>
        <v>5.6447489406592064</v>
      </c>
      <c r="AD164" s="3">
        <f t="shared" si="87"/>
        <v>818.67279777508429</v>
      </c>
      <c r="AI164" s="100">
        <f t="shared" si="88"/>
        <v>1.4037722500849161</v>
      </c>
    </row>
    <row r="165" spans="2:35">
      <c r="B165" s="39">
        <f t="shared" si="60"/>
        <v>137</v>
      </c>
      <c r="C165" s="45">
        <f t="shared" si="61"/>
        <v>4.0245803357312262</v>
      </c>
      <c r="D165" s="10">
        <f t="shared" si="62"/>
        <v>20.475419664268884</v>
      </c>
      <c r="E165" s="40">
        <f t="shared" si="63"/>
        <v>28.049160671462232</v>
      </c>
      <c r="F165" s="40">
        <f t="shared" si="64"/>
        <v>69</v>
      </c>
      <c r="G165" s="3">
        <f t="shared" si="65"/>
        <v>427.80335731415107</v>
      </c>
      <c r="H165" s="3">
        <f t="shared" si="66"/>
        <v>221.47275588995251</v>
      </c>
      <c r="I165">
        <f t="shared" si="78"/>
        <v>2.214727558899525E-4</v>
      </c>
      <c r="J165" s="4">
        <f t="shared" si="67"/>
        <v>1296.500270667344</v>
      </c>
      <c r="K165" s="40">
        <f t="shared" si="68"/>
        <v>5.8539943906760312</v>
      </c>
      <c r="L165" s="40">
        <f t="shared" si="79"/>
        <v>0.14600560932396878</v>
      </c>
      <c r="M165" s="10">
        <f t="shared" si="69"/>
        <v>5.7457489406592064</v>
      </c>
      <c r="N165" s="10">
        <f t="shared" si="80"/>
        <v>3.8408799049960156</v>
      </c>
      <c r="O165" s="10">
        <f t="shared" si="81"/>
        <v>0.68820000000000003</v>
      </c>
      <c r="P165" s="10">
        <f t="shared" si="70"/>
        <v>12.794198651433147</v>
      </c>
      <c r="Q165" s="45">
        <f t="shared" si="71"/>
        <v>0.36500049186959271</v>
      </c>
      <c r="R165" s="4">
        <f t="shared" si="72"/>
        <v>1335330.1690549105</v>
      </c>
      <c r="S165">
        <f t="shared" si="82"/>
        <v>1.3353301690549105E-3</v>
      </c>
      <c r="T165" s="44">
        <f t="shared" si="83"/>
        <v>7.410662254270933E-4</v>
      </c>
      <c r="U165" s="45">
        <f t="shared" si="73"/>
        <v>2.383631118271468</v>
      </c>
      <c r="V165" s="45">
        <f t="shared" si="74"/>
        <v>1.4308125942719994</v>
      </c>
      <c r="W165" s="45">
        <f t="shared" si="75"/>
        <v>1.4063074355842926</v>
      </c>
      <c r="X165" s="45">
        <f t="shared" si="76"/>
        <v>2.4505158687706752E-2</v>
      </c>
      <c r="Y165" s="45">
        <f t="shared" si="89"/>
        <v>1.3162039727200443E-2</v>
      </c>
      <c r="Z165" s="10">
        <f t="shared" si="77"/>
        <v>17.760949393712902</v>
      </c>
      <c r="AA165">
        <f t="shared" si="84"/>
        <v>5755904.1555818031</v>
      </c>
      <c r="AB165" s="10">
        <f t="shared" si="85"/>
        <v>5.7559041555818027</v>
      </c>
      <c r="AC165" s="10">
        <f t="shared" si="86"/>
        <v>5.6549041555818027</v>
      </c>
      <c r="AD165" s="3">
        <f t="shared" si="87"/>
        <v>820.14563532731006</v>
      </c>
      <c r="AI165" s="100">
        <f t="shared" si="88"/>
        <v>1.4063074355842926</v>
      </c>
    </row>
    <row r="166" spans="2:35">
      <c r="B166" s="39">
        <f t="shared" si="60"/>
        <v>138</v>
      </c>
      <c r="C166" s="45">
        <f t="shared" si="61"/>
        <v>4.0539568345321841</v>
      </c>
      <c r="D166" s="10">
        <f t="shared" si="62"/>
        <v>20.446043165467927</v>
      </c>
      <c r="E166" s="40">
        <f t="shared" si="63"/>
        <v>28.107913669064146</v>
      </c>
      <c r="F166" s="40">
        <f t="shared" si="64"/>
        <v>69</v>
      </c>
      <c r="G166" s="3">
        <f t="shared" si="65"/>
        <v>427.56834532374342</v>
      </c>
      <c r="H166" s="3">
        <f t="shared" si="66"/>
        <v>221.47275588995251</v>
      </c>
      <c r="I166">
        <f t="shared" si="78"/>
        <v>2.214727558899525E-4</v>
      </c>
      <c r="J166" s="4">
        <f t="shared" si="67"/>
        <v>1299.0916105826818</v>
      </c>
      <c r="K166" s="40">
        <f t="shared" si="68"/>
        <v>5.8656948813523</v>
      </c>
      <c r="L166" s="40">
        <f t="shared" si="79"/>
        <v>0.13430511864770001</v>
      </c>
      <c r="M166" s="10">
        <f t="shared" si="69"/>
        <v>5.7559041555818027</v>
      </c>
      <c r="N166" s="10">
        <f t="shared" si="80"/>
        <v>3.8408799049960156</v>
      </c>
      <c r="O166" s="10">
        <f t="shared" si="81"/>
        <v>0.68820000000000003</v>
      </c>
      <c r="P166" s="10">
        <f t="shared" si="70"/>
        <v>12.809756539432454</v>
      </c>
      <c r="Q166" s="45">
        <f t="shared" si="71"/>
        <v>0.36729378282407166</v>
      </c>
      <c r="R166" s="4">
        <f t="shared" si="72"/>
        <v>1333488.6360750725</v>
      </c>
      <c r="S166">
        <f t="shared" si="82"/>
        <v>1.3334886360750725E-3</v>
      </c>
      <c r="T166" s="44">
        <f t="shared" si="83"/>
        <v>7.4290775840693134E-4</v>
      </c>
      <c r="U166" s="45">
        <f t="shared" si="73"/>
        <v>2.3803438898258085</v>
      </c>
      <c r="V166" s="45">
        <f t="shared" si="74"/>
        <v>1.4334109848727974</v>
      </c>
      <c r="W166" s="45">
        <f t="shared" si="75"/>
        <v>1.4088374602861411</v>
      </c>
      <c r="X166" s="45">
        <f t="shared" si="76"/>
        <v>2.4573524586656292E-2</v>
      </c>
      <c r="Y166" s="45">
        <f t="shared" si="89"/>
        <v>1.3218393968854688E-2</v>
      </c>
      <c r="Z166" s="10">
        <f t="shared" si="77"/>
        <v>17.792779546682628</v>
      </c>
      <c r="AA166">
        <f t="shared" si="84"/>
        <v>5766038.5498819752</v>
      </c>
      <c r="AB166" s="10">
        <f t="shared" si="85"/>
        <v>5.7660385498819755</v>
      </c>
      <c r="AC166" s="10">
        <f t="shared" si="86"/>
        <v>5.6650385498819755</v>
      </c>
      <c r="AD166" s="3">
        <f t="shared" si="87"/>
        <v>821.61545320985863</v>
      </c>
      <c r="AI166" s="100">
        <f t="shared" si="88"/>
        <v>1.4088374602861411</v>
      </c>
    </row>
    <row r="167" spans="2:35">
      <c r="B167" s="39">
        <f t="shared" si="60"/>
        <v>139</v>
      </c>
      <c r="C167" s="45">
        <f t="shared" si="61"/>
        <v>4.0833333333331421</v>
      </c>
      <c r="D167" s="10">
        <f t="shared" si="62"/>
        <v>20.41666666666697</v>
      </c>
      <c r="E167" s="40">
        <f t="shared" si="63"/>
        <v>28.16666666666606</v>
      </c>
      <c r="F167" s="40">
        <f t="shared" si="64"/>
        <v>69</v>
      </c>
      <c r="G167" s="3">
        <f t="shared" si="65"/>
        <v>427.33333333333576</v>
      </c>
      <c r="H167" s="3">
        <f t="shared" si="66"/>
        <v>221.47275588995251</v>
      </c>
      <c r="I167">
        <f t="shared" si="78"/>
        <v>2.214727558899525E-4</v>
      </c>
      <c r="J167" s="4">
        <f t="shared" si="67"/>
        <v>1301.6883727529944</v>
      </c>
      <c r="K167" s="40">
        <f t="shared" si="68"/>
        <v>5.8774198547463312</v>
      </c>
      <c r="L167" s="40">
        <f t="shared" si="79"/>
        <v>0.12258014525366878</v>
      </c>
      <c r="M167" s="10">
        <f t="shared" si="69"/>
        <v>5.7660385498819755</v>
      </c>
      <c r="N167" s="10">
        <f t="shared" si="80"/>
        <v>3.8408799049960156</v>
      </c>
      <c r="O167" s="10">
        <f t="shared" si="81"/>
        <v>0.68820000000000003</v>
      </c>
      <c r="P167" s="10">
        <f t="shared" si="70"/>
        <v>12.825274000074494</v>
      </c>
      <c r="Q167" s="45">
        <f t="shared" si="71"/>
        <v>0.36958429909692375</v>
      </c>
      <c r="R167" s="4">
        <f t="shared" si="72"/>
        <v>1331646.0039768445</v>
      </c>
      <c r="S167">
        <f t="shared" si="82"/>
        <v>1.3316460039768444E-3</v>
      </c>
      <c r="T167" s="44">
        <f t="shared" si="83"/>
        <v>7.4475039050515943E-4</v>
      </c>
      <c r="U167" s="45">
        <f t="shared" si="73"/>
        <v>2.3770546993988666</v>
      </c>
      <c r="V167" s="45">
        <f t="shared" si="74"/>
        <v>1.4360039550586774</v>
      </c>
      <c r="W167" s="45">
        <f t="shared" si="75"/>
        <v>1.4113622978314959</v>
      </c>
      <c r="X167" s="45">
        <f t="shared" si="76"/>
        <v>2.4641657227181479E-2</v>
      </c>
      <c r="Y167" s="45">
        <f t="shared" si="89"/>
        <v>1.327483608572359E-2</v>
      </c>
      <c r="Z167" s="10">
        <f t="shared" si="77"/>
        <v>17.824543974685739</v>
      </c>
      <c r="AA167">
        <f t="shared" si="84"/>
        <v>5776152.0180267617</v>
      </c>
      <c r="AB167" s="10">
        <f t="shared" si="85"/>
        <v>5.776152018026762</v>
      </c>
      <c r="AC167" s="10">
        <f t="shared" si="86"/>
        <v>5.6751520180267621</v>
      </c>
      <c r="AD167" s="3">
        <f t="shared" si="87"/>
        <v>823.0822361170068</v>
      </c>
      <c r="AI167" s="100">
        <f t="shared" si="88"/>
        <v>1.4113622978314959</v>
      </c>
    </row>
    <row r="168" spans="2:35">
      <c r="B168" s="39">
        <f t="shared" ref="B168:B231" si="90">1+B167</f>
        <v>140</v>
      </c>
      <c r="C168" s="45">
        <f t="shared" ref="C168:C231" si="91">xincp+C167</f>
        <v>4.1127098321341</v>
      </c>
      <c r="D168" s="10">
        <f t="shared" ref="D168:D231" si="92">(F168-E168)/2</f>
        <v>20.387290167866013</v>
      </c>
      <c r="E168" s="40">
        <f t="shared" ref="E168:E231" si="93">E167+ci*2*xincp</f>
        <v>28.225419664267974</v>
      </c>
      <c r="F168" s="40">
        <f t="shared" ref="F168:F231" si="94">F167-osi*2*xincp</f>
        <v>69</v>
      </c>
      <c r="G168" s="3">
        <f t="shared" ref="G168:G231" si="95">G167-ei*n*2*xincp</f>
        <v>427.0983213429281</v>
      </c>
      <c r="H168" s="3">
        <f t="shared" ref="H168:H231" si="96">PI()/4*(dto+erate*(two-D168)/two)^2</f>
        <v>221.47275588995251</v>
      </c>
      <c r="I168">
        <f t="shared" si="78"/>
        <v>2.214727558899525E-4</v>
      </c>
      <c r="J168" s="4">
        <f t="shared" ref="J168:J231" si="97">PI()/4*dc^2-PI()/4*(F168^2-E168^2)</f>
        <v>1304.2905571782803</v>
      </c>
      <c r="K168" s="40">
        <f t="shared" ref="K168:K231" si="98">J168/H168</f>
        <v>5.8891693108581205</v>
      </c>
      <c r="L168" s="40">
        <f t="shared" si="79"/>
        <v>0.11083068914187955</v>
      </c>
      <c r="M168" s="10">
        <f t="shared" ref="M168:M231" si="99">AB167</f>
        <v>5.776152018026762</v>
      </c>
      <c r="N168" s="10">
        <f t="shared" si="80"/>
        <v>3.8408799049960156</v>
      </c>
      <c r="O168" s="10">
        <f t="shared" si="81"/>
        <v>0.68820000000000003</v>
      </c>
      <c r="P168" s="10">
        <f t="shared" ref="P168:P231" si="100">(1+kv*L168)*N168*M168^O168</f>
        <v>12.840750944003215</v>
      </c>
      <c r="Q168" s="45">
        <f t="shared" ref="Q168:Q231" si="101">xincp/P168+Q167</f>
        <v>0.37187205461286399</v>
      </c>
      <c r="R168" s="4">
        <f t="shared" ref="R168:R231" si="102">PI()/4*(F168^2-E168^2)*G168</f>
        <v>1329802.2765831118</v>
      </c>
      <c r="S168">
        <f t="shared" si="82"/>
        <v>1.3298022765831118E-3</v>
      </c>
      <c r="T168" s="44">
        <f t="shared" si="83"/>
        <v>7.4659411789889198E-4</v>
      </c>
      <c r="U168" s="45">
        <f t="shared" ref="U168:U231" si="103">rhopgrain*R168/1000^2</f>
        <v>2.3737635538146842</v>
      </c>
      <c r="V168" s="45">
        <f t="shared" ref="V168:V231" si="104">(U167-U168)/(Q168-Q167)</f>
        <v>1.4385914759033167</v>
      </c>
      <c r="W168" s="45">
        <f t="shared" ref="W168:W231" si="105">IF(V168&lt;AI168,IF(AB167&gt;pbd,AI168,0),AI168)</f>
        <v>1.4138819219283463</v>
      </c>
      <c r="X168" s="45">
        <f t="shared" ref="X168:X231" si="106">V168-W168</f>
        <v>2.4709553974970433E-2</v>
      </c>
      <c r="Y168" s="45">
        <f t="shared" si="89"/>
        <v>1.3331365504126251E-2</v>
      </c>
      <c r="Z168" s="10">
        <f t="shared" ref="Z168:Z231" si="107">Y168/T168</f>
        <v>17.856242347105741</v>
      </c>
      <c r="AA168">
        <f t="shared" si="84"/>
        <v>5786244.4547512587</v>
      </c>
      <c r="AB168" s="10">
        <f t="shared" si="85"/>
        <v>5.7862444547512588</v>
      </c>
      <c r="AC168" s="10">
        <f t="shared" si="86"/>
        <v>5.6852444547512588</v>
      </c>
      <c r="AD168" s="3">
        <f t="shared" si="87"/>
        <v>824.54596878190841</v>
      </c>
      <c r="AI168" s="100">
        <f t="shared" si="88"/>
        <v>1.4138819219283463</v>
      </c>
    </row>
    <row r="169" spans="2:35">
      <c r="B169" s="39">
        <f t="shared" si="90"/>
        <v>141</v>
      </c>
      <c r="C169" s="45">
        <f t="shared" si="91"/>
        <v>4.142086330935058</v>
      </c>
      <c r="D169" s="10">
        <f t="shared" si="92"/>
        <v>20.357913669065056</v>
      </c>
      <c r="E169" s="40">
        <f t="shared" si="93"/>
        <v>28.284172661869889</v>
      </c>
      <c r="F169" s="40">
        <f t="shared" si="94"/>
        <v>69</v>
      </c>
      <c r="G169" s="3">
        <f t="shared" si="95"/>
        <v>426.86330935252045</v>
      </c>
      <c r="H169" s="3">
        <f t="shared" si="96"/>
        <v>221.47275588995251</v>
      </c>
      <c r="I169">
        <f t="shared" si="78"/>
        <v>2.214727558899525E-4</v>
      </c>
      <c r="J169" s="4">
        <f t="shared" si="97"/>
        <v>1306.8981638585406</v>
      </c>
      <c r="K169" s="40">
        <f t="shared" si="98"/>
        <v>5.9009432496876704</v>
      </c>
      <c r="L169" s="40">
        <f t="shared" si="79"/>
        <v>9.9056750312329633E-2</v>
      </c>
      <c r="M169" s="10">
        <f t="shared" si="99"/>
        <v>5.7862444547512588</v>
      </c>
      <c r="N169" s="10">
        <f t="shared" si="80"/>
        <v>3.8408799049960156</v>
      </c>
      <c r="O169" s="10">
        <f t="shared" si="81"/>
        <v>0.68820000000000003</v>
      </c>
      <c r="P169" s="10">
        <f t="shared" si="100"/>
        <v>12.856187282195801</v>
      </c>
      <c r="Q169" s="45">
        <f t="shared" si="101"/>
        <v>0.37415706323603803</v>
      </c>
      <c r="R169" s="4">
        <f t="shared" si="102"/>
        <v>1327957.4577167593</v>
      </c>
      <c r="S169">
        <f t="shared" si="82"/>
        <v>1.3279574577167593E-3</v>
      </c>
      <c r="T169" s="44">
        <f t="shared" si="83"/>
        <v>7.4843893676524451E-4</v>
      </c>
      <c r="U169" s="45">
        <f t="shared" si="103"/>
        <v>2.3704704598973012</v>
      </c>
      <c r="V169" s="45">
        <f t="shared" si="104"/>
        <v>1.4411735185526882</v>
      </c>
      <c r="W169" s="45">
        <f t="shared" si="105"/>
        <v>1.416396306351468</v>
      </c>
      <c r="X169" s="45">
        <f t="shared" si="106"/>
        <v>2.47772122012202E-2</v>
      </c>
      <c r="Y169" s="45">
        <f t="shared" si="89"/>
        <v>1.3387981647664252E-2</v>
      </c>
      <c r="Z169" s="10">
        <f t="shared" si="107"/>
        <v>17.887874334180356</v>
      </c>
      <c r="AA169">
        <f t="shared" si="84"/>
        <v>5796315.7550625401</v>
      </c>
      <c r="AB169" s="10">
        <f t="shared" si="85"/>
        <v>5.7963157550625404</v>
      </c>
      <c r="AC169" s="10">
        <f t="shared" si="86"/>
        <v>5.6953157550625404</v>
      </c>
      <c r="AD169" s="3">
        <f t="shared" si="87"/>
        <v>826.00663597716311</v>
      </c>
      <c r="AI169" s="100">
        <f t="shared" si="88"/>
        <v>1.416396306351468</v>
      </c>
    </row>
    <row r="170" spans="2:35">
      <c r="B170" s="39">
        <f t="shared" si="90"/>
        <v>142</v>
      </c>
      <c r="C170" s="45">
        <f t="shared" si="91"/>
        <v>4.1714628297360159</v>
      </c>
      <c r="D170" s="10">
        <f t="shared" si="92"/>
        <v>20.328537170264099</v>
      </c>
      <c r="E170" s="40">
        <f t="shared" si="93"/>
        <v>28.342925659471803</v>
      </c>
      <c r="F170" s="40">
        <f t="shared" si="94"/>
        <v>69</v>
      </c>
      <c r="G170" s="3">
        <f t="shared" si="95"/>
        <v>426.62829736211279</v>
      </c>
      <c r="H170" s="3">
        <f t="shared" si="96"/>
        <v>221.47275588995251</v>
      </c>
      <c r="I170">
        <f t="shared" si="78"/>
        <v>2.214727558899525E-4</v>
      </c>
      <c r="J170" s="4">
        <f t="shared" si="97"/>
        <v>1309.5111927937746</v>
      </c>
      <c r="K170" s="40">
        <f t="shared" si="98"/>
        <v>5.9127416712349801</v>
      </c>
      <c r="L170" s="40">
        <f t="shared" si="79"/>
        <v>8.7258328765019932E-2</v>
      </c>
      <c r="M170" s="10">
        <f t="shared" si="99"/>
        <v>5.7963157550625404</v>
      </c>
      <c r="N170" s="10">
        <f t="shared" si="80"/>
        <v>3.8408799049960156</v>
      </c>
      <c r="O170" s="10">
        <f t="shared" si="81"/>
        <v>0.68820000000000003</v>
      </c>
      <c r="P170" s="10">
        <f t="shared" si="100"/>
        <v>12.871582925967029</v>
      </c>
      <c r="Q170" s="45">
        <f t="shared" si="101"/>
        <v>0.37643933877043978</v>
      </c>
      <c r="R170" s="4">
        <f t="shared" si="102"/>
        <v>1326111.5512006716</v>
      </c>
      <c r="S170">
        <f t="shared" si="82"/>
        <v>1.3261115512006715E-3</v>
      </c>
      <c r="T170" s="44">
        <f t="shared" si="83"/>
        <v>7.5028484328133228E-4</v>
      </c>
      <c r="U170" s="45">
        <f t="shared" si="103"/>
        <v>2.367175424470759</v>
      </c>
      <c r="V170" s="45">
        <f t="shared" si="104"/>
        <v>1.4437500542220563</v>
      </c>
      <c r="W170" s="45">
        <f t="shared" si="105"/>
        <v>1.4189054249433928</v>
      </c>
      <c r="X170" s="45">
        <f t="shared" si="106"/>
        <v>2.4844629278663488E-2</v>
      </c>
      <c r="Y170" s="45">
        <f t="shared" si="89"/>
        <v>1.3444683937228228E-2</v>
      </c>
      <c r="Z170" s="10">
        <f t="shared" si="107"/>
        <v>17.919439607001244</v>
      </c>
      <c r="AA170">
        <f t="shared" si="84"/>
        <v>5806365.8142395625</v>
      </c>
      <c r="AB170" s="10">
        <f t="shared" si="85"/>
        <v>5.8063658142395624</v>
      </c>
      <c r="AC170" s="10">
        <f t="shared" si="86"/>
        <v>5.7053658142395625</v>
      </c>
      <c r="AD170" s="3">
        <f t="shared" si="87"/>
        <v>827.46422251480237</v>
      </c>
      <c r="AI170" s="100">
        <f t="shared" si="88"/>
        <v>1.4189054249433928</v>
      </c>
    </row>
    <row r="171" spans="2:35">
      <c r="B171" s="39">
        <f t="shared" si="90"/>
        <v>143</v>
      </c>
      <c r="C171" s="45">
        <f t="shared" si="91"/>
        <v>4.2008393285369738</v>
      </c>
      <c r="D171" s="10">
        <f t="shared" si="92"/>
        <v>20.299160671463142</v>
      </c>
      <c r="E171" s="40">
        <f t="shared" si="93"/>
        <v>28.401678657073717</v>
      </c>
      <c r="F171" s="40">
        <f t="shared" si="94"/>
        <v>69</v>
      </c>
      <c r="G171" s="3">
        <f t="shared" si="95"/>
        <v>426.39328537170513</v>
      </c>
      <c r="H171" s="3">
        <f t="shared" si="96"/>
        <v>221.47275588995251</v>
      </c>
      <c r="I171">
        <f t="shared" si="78"/>
        <v>2.214727558899525E-4</v>
      </c>
      <c r="J171" s="4">
        <f t="shared" si="97"/>
        <v>1312.1296439839825</v>
      </c>
      <c r="K171" s="40">
        <f t="shared" si="98"/>
        <v>5.9245645755000496</v>
      </c>
      <c r="L171" s="40">
        <f t="shared" si="79"/>
        <v>7.5435424499950443E-2</v>
      </c>
      <c r="M171" s="10">
        <f t="shared" si="99"/>
        <v>5.8063658142395624</v>
      </c>
      <c r="N171" s="10">
        <f t="shared" si="80"/>
        <v>3.8408799049960156</v>
      </c>
      <c r="O171" s="10">
        <f t="shared" si="81"/>
        <v>0.68820000000000003</v>
      </c>
      <c r="P171" s="10">
        <f t="shared" si="100"/>
        <v>12.886937786967495</v>
      </c>
      <c r="Q171" s="45">
        <f t="shared" si="101"/>
        <v>0.37871889496032579</v>
      </c>
      <c r="R171" s="4">
        <f t="shared" si="102"/>
        <v>1324264.5608577337</v>
      </c>
      <c r="S171">
        <f t="shared" si="82"/>
        <v>1.3242645608577336E-3</v>
      </c>
      <c r="T171" s="44">
        <f t="shared" si="83"/>
        <v>7.5213183362427016E-4</v>
      </c>
      <c r="U171" s="45">
        <f t="shared" si="103"/>
        <v>2.3638784543590976</v>
      </c>
      <c r="V171" s="45">
        <f t="shared" si="104"/>
        <v>1.4463210541988334</v>
      </c>
      <c r="W171" s="45">
        <f t="shared" si="105"/>
        <v>1.4214092516143906</v>
      </c>
      <c r="X171" s="45">
        <f t="shared" si="106"/>
        <v>2.491180258444281E-2</v>
      </c>
      <c r="Y171" s="45">
        <f t="shared" si="89"/>
        <v>1.3501471791010813E-2</v>
      </c>
      <c r="Z171" s="10">
        <f t="shared" si="107"/>
        <v>17.950937837522133</v>
      </c>
      <c r="AA171">
        <f t="shared" si="84"/>
        <v>5816394.5278357565</v>
      </c>
      <c r="AB171" s="10">
        <f t="shared" si="85"/>
        <v>5.8163945278357563</v>
      </c>
      <c r="AC171" s="10">
        <f t="shared" si="86"/>
        <v>5.7153945278357563</v>
      </c>
      <c r="AD171" s="3">
        <f t="shared" si="87"/>
        <v>828.91871324666522</v>
      </c>
      <c r="AI171" s="100">
        <f t="shared" si="88"/>
        <v>1.4214092516143906</v>
      </c>
    </row>
    <row r="172" spans="2:35">
      <c r="B172" s="39">
        <f t="shared" si="90"/>
        <v>144</v>
      </c>
      <c r="C172" s="45">
        <f t="shared" si="91"/>
        <v>4.2302158273379318</v>
      </c>
      <c r="D172" s="10">
        <f t="shared" si="92"/>
        <v>20.269784172662185</v>
      </c>
      <c r="E172" s="40">
        <f t="shared" si="93"/>
        <v>28.460431654675631</v>
      </c>
      <c r="F172" s="40">
        <f t="shared" si="94"/>
        <v>69</v>
      </c>
      <c r="G172" s="3">
        <f t="shared" si="95"/>
        <v>426.15827338129748</v>
      </c>
      <c r="H172" s="3">
        <f t="shared" si="96"/>
        <v>221.47275588995251</v>
      </c>
      <c r="I172">
        <f t="shared" si="78"/>
        <v>2.214727558899525E-4</v>
      </c>
      <c r="J172" s="4">
        <f t="shared" si="97"/>
        <v>1314.7535174291643</v>
      </c>
      <c r="K172" s="40">
        <f t="shared" si="98"/>
        <v>5.9364119624828779</v>
      </c>
      <c r="L172" s="40">
        <f t="shared" si="79"/>
        <v>6.3588037517122054E-2</v>
      </c>
      <c r="M172" s="10">
        <f t="shared" si="99"/>
        <v>5.8163945278357563</v>
      </c>
      <c r="N172" s="10">
        <f t="shared" si="80"/>
        <v>3.8408799049960156</v>
      </c>
      <c r="O172" s="10">
        <f t="shared" si="81"/>
        <v>0.68820000000000003</v>
      </c>
      <c r="P172" s="10">
        <f t="shared" si="100"/>
        <v>12.902251777185965</v>
      </c>
      <c r="Q172" s="45">
        <f t="shared" si="101"/>
        <v>0.38099574549062643</v>
      </c>
      <c r="R172" s="4">
        <f t="shared" si="102"/>
        <v>1322416.4905108302</v>
      </c>
      <c r="S172">
        <f t="shared" si="82"/>
        <v>1.3224164905108302E-3</v>
      </c>
      <c r="T172" s="44">
        <f t="shared" si="83"/>
        <v>7.5397990397117363E-4</v>
      </c>
      <c r="U172" s="45">
        <f t="shared" si="103"/>
        <v>2.3605795563863579</v>
      </c>
      <c r="V172" s="45">
        <f t="shared" si="104"/>
        <v>1.4488864898409299</v>
      </c>
      <c r="W172" s="45">
        <f t="shared" si="105"/>
        <v>1.4239077603431112</v>
      </c>
      <c r="X172" s="45">
        <f t="shared" si="106"/>
        <v>2.4978729497818764E-2</v>
      </c>
      <c r="Y172" s="45">
        <f t="shared" si="89"/>
        <v>1.3558344624514157E-2</v>
      </c>
      <c r="Z172" s="10">
        <f t="shared" si="107"/>
        <v>17.982368698559537</v>
      </c>
      <c r="AA172">
        <f t="shared" si="84"/>
        <v>5826401.7916792566</v>
      </c>
      <c r="AB172" s="10">
        <f t="shared" si="85"/>
        <v>5.826401791679257</v>
      </c>
      <c r="AC172" s="10">
        <f t="shared" si="86"/>
        <v>5.725401791679257</v>
      </c>
      <c r="AD172" s="3">
        <f t="shared" si="87"/>
        <v>830.37009306443167</v>
      </c>
      <c r="AI172" s="100">
        <f t="shared" si="88"/>
        <v>1.4239077603431112</v>
      </c>
    </row>
    <row r="173" spans="2:35">
      <c r="B173" s="39">
        <f t="shared" si="90"/>
        <v>145</v>
      </c>
      <c r="C173" s="45">
        <f t="shared" si="91"/>
        <v>4.2595923261388897</v>
      </c>
      <c r="D173" s="10">
        <f t="shared" si="92"/>
        <v>20.240407673861228</v>
      </c>
      <c r="E173" s="40">
        <f t="shared" si="93"/>
        <v>28.519184652277545</v>
      </c>
      <c r="F173" s="40">
        <f t="shared" si="94"/>
        <v>69</v>
      </c>
      <c r="G173" s="3">
        <f t="shared" si="95"/>
        <v>425.92326139088982</v>
      </c>
      <c r="H173" s="3">
        <f t="shared" si="96"/>
        <v>221.47275588995251</v>
      </c>
      <c r="I173">
        <f t="shared" si="78"/>
        <v>2.214727558899525E-4</v>
      </c>
      <c r="J173" s="4">
        <f t="shared" si="97"/>
        <v>1317.3828131293203</v>
      </c>
      <c r="K173" s="40">
        <f t="shared" si="98"/>
        <v>5.948283832183467</v>
      </c>
      <c r="L173" s="40">
        <f t="shared" si="79"/>
        <v>5.1716167816532987E-2</v>
      </c>
      <c r="M173" s="10">
        <f t="shared" si="99"/>
        <v>5.826401791679257</v>
      </c>
      <c r="N173" s="10">
        <f t="shared" si="80"/>
        <v>3.8408799049960156</v>
      </c>
      <c r="O173" s="10">
        <f t="shared" si="81"/>
        <v>0.68820000000000003</v>
      </c>
      <c r="P173" s="10">
        <f t="shared" si="100"/>
        <v>12.917524808948093</v>
      </c>
      <c r="Q173" s="45">
        <f t="shared" si="101"/>
        <v>0.38326990398735394</v>
      </c>
      <c r="R173" s="4">
        <f t="shared" si="102"/>
        <v>1320567.3439828458</v>
      </c>
      <c r="S173">
        <f t="shared" si="82"/>
        <v>1.3205673439828458E-3</v>
      </c>
      <c r="T173" s="44">
        <f t="shared" si="83"/>
        <v>7.5582905049915799E-4</v>
      </c>
      <c r="U173" s="45">
        <f t="shared" si="103"/>
        <v>2.3572787373765789</v>
      </c>
      <c r="V173" s="45">
        <f t="shared" si="104"/>
        <v>1.4514463325791922</v>
      </c>
      <c r="W173" s="45">
        <f t="shared" si="105"/>
        <v>1.4264009251766432</v>
      </c>
      <c r="X173" s="45">
        <f t="shared" si="106"/>
        <v>2.5045407402549014E-2</v>
      </c>
      <c r="Y173" s="45">
        <f t="shared" si="89"/>
        <v>1.3615301850562667E-2</v>
      </c>
      <c r="Z173" s="10">
        <f t="shared" si="107"/>
        <v>18.013731863800377</v>
      </c>
      <c r="AA173">
        <f t="shared" si="84"/>
        <v>5836387.5018753232</v>
      </c>
      <c r="AB173" s="10">
        <f t="shared" si="85"/>
        <v>5.8363875018753228</v>
      </c>
      <c r="AC173" s="10">
        <f t="shared" si="86"/>
        <v>5.7353875018753229</v>
      </c>
      <c r="AD173" s="3">
        <f t="shared" si="87"/>
        <v>831.81834689997436</v>
      </c>
      <c r="AI173" s="100">
        <f t="shared" si="88"/>
        <v>1.4264009251766432</v>
      </c>
    </row>
    <row r="174" spans="2:35">
      <c r="B174" s="39">
        <f t="shared" si="90"/>
        <v>146</v>
      </c>
      <c r="C174" s="45">
        <f t="shared" si="91"/>
        <v>4.2889688249398477</v>
      </c>
      <c r="D174" s="10">
        <f t="shared" si="92"/>
        <v>20.21103117506027</v>
      </c>
      <c r="E174" s="40">
        <f t="shared" si="93"/>
        <v>28.577937649879459</v>
      </c>
      <c r="F174" s="40">
        <f t="shared" si="94"/>
        <v>69</v>
      </c>
      <c r="G174" s="3">
        <f t="shared" si="95"/>
        <v>425.68824940048216</v>
      </c>
      <c r="H174" s="3">
        <f t="shared" si="96"/>
        <v>221.47275588995251</v>
      </c>
      <c r="I174">
        <f t="shared" si="78"/>
        <v>2.214727558899525E-4</v>
      </c>
      <c r="J174" s="4">
        <f t="shared" si="97"/>
        <v>1320.0175310844497</v>
      </c>
      <c r="K174" s="40">
        <f t="shared" si="98"/>
        <v>5.9601801846018141</v>
      </c>
      <c r="L174" s="40">
        <f t="shared" si="79"/>
        <v>3.9819815398185909E-2</v>
      </c>
      <c r="M174" s="10">
        <f t="shared" si="99"/>
        <v>5.8363875018753228</v>
      </c>
      <c r="N174" s="10">
        <f t="shared" si="80"/>
        <v>3.8408799049960156</v>
      </c>
      <c r="O174" s="10">
        <f t="shared" si="81"/>
        <v>0.68820000000000003</v>
      </c>
      <c r="P174" s="10">
        <f t="shared" si="100"/>
        <v>12.932756794918516</v>
      </c>
      <c r="Q174" s="45">
        <f t="shared" si="101"/>
        <v>0.38554138401800758</v>
      </c>
      <c r="R174" s="4">
        <f t="shared" si="102"/>
        <v>1318717.1250966657</v>
      </c>
      <c r="S174">
        <f t="shared" si="82"/>
        <v>1.3187171250966657E-3</v>
      </c>
      <c r="T174" s="44">
        <f t="shared" si="83"/>
        <v>7.5767926938533807E-4</v>
      </c>
      <c r="U174" s="45">
        <f t="shared" si="103"/>
        <v>2.3539760041538029</v>
      </c>
      <c r="V174" s="45">
        <f t="shared" si="104"/>
        <v>1.4540005539144341</v>
      </c>
      <c r="W174" s="45">
        <f t="shared" si="105"/>
        <v>1.4288887202311169</v>
      </c>
      <c r="X174" s="45">
        <f t="shared" si="106"/>
        <v>2.5111833683317153E-2</v>
      </c>
      <c r="Y174" s="45">
        <f t="shared" si="89"/>
        <v>1.3672342879307417E-2</v>
      </c>
      <c r="Z174" s="10">
        <f t="shared" si="107"/>
        <v>18.045027007798442</v>
      </c>
      <c r="AA174">
        <f t="shared" si="84"/>
        <v>5846351.554805221</v>
      </c>
      <c r="AB174" s="10">
        <f t="shared" si="85"/>
        <v>5.8463515548052207</v>
      </c>
      <c r="AC174" s="10">
        <f t="shared" si="86"/>
        <v>5.7453515548052208</v>
      </c>
      <c r="AD174" s="3">
        <f t="shared" si="87"/>
        <v>833.26345972519528</v>
      </c>
      <c r="AI174" s="100">
        <f t="shared" si="88"/>
        <v>1.4288887202311169</v>
      </c>
    </row>
    <row r="175" spans="2:35">
      <c r="B175" s="39">
        <f t="shared" si="90"/>
        <v>147</v>
      </c>
      <c r="C175" s="45">
        <f t="shared" si="91"/>
        <v>4.3183453237408056</v>
      </c>
      <c r="D175" s="10">
        <f t="shared" si="92"/>
        <v>20.181654676259313</v>
      </c>
      <c r="E175" s="40">
        <f t="shared" si="93"/>
        <v>28.636690647481373</v>
      </c>
      <c r="F175" s="40">
        <f t="shared" si="94"/>
        <v>69</v>
      </c>
      <c r="G175" s="3">
        <f t="shared" si="95"/>
        <v>425.45323741007451</v>
      </c>
      <c r="H175" s="3">
        <f t="shared" si="96"/>
        <v>221.47275588995251</v>
      </c>
      <c r="I175">
        <f t="shared" si="78"/>
        <v>2.214727558899525E-4</v>
      </c>
      <c r="J175" s="4">
        <f t="shared" si="97"/>
        <v>1322.6576712945534</v>
      </c>
      <c r="K175" s="40">
        <f t="shared" si="98"/>
        <v>5.9721010197379227</v>
      </c>
      <c r="L175" s="40">
        <f t="shared" si="79"/>
        <v>2.7898980262077266E-2</v>
      </c>
      <c r="M175" s="10">
        <f t="shared" si="99"/>
        <v>5.8463515548052207</v>
      </c>
      <c r="N175" s="10">
        <f t="shared" si="80"/>
        <v>3.8408799049960156</v>
      </c>
      <c r="O175" s="10">
        <f t="shared" si="81"/>
        <v>0.68820000000000003</v>
      </c>
      <c r="P175" s="10">
        <f t="shared" si="100"/>
        <v>12.947947648097541</v>
      </c>
      <c r="Q175" s="45">
        <f t="shared" si="101"/>
        <v>0.387810199091976</v>
      </c>
      <c r="R175" s="4">
        <f t="shared" si="102"/>
        <v>1316865.8376751745</v>
      </c>
      <c r="S175">
        <f t="shared" si="82"/>
        <v>1.3168658376751744E-3</v>
      </c>
      <c r="T175" s="44">
        <f t="shared" si="83"/>
        <v>7.5953055680682939E-4</v>
      </c>
      <c r="U175" s="45">
        <f t="shared" si="103"/>
        <v>2.35067136354207</v>
      </c>
      <c r="V175" s="45">
        <f t="shared" si="104"/>
        <v>1.4565491254220053</v>
      </c>
      <c r="W175" s="45">
        <f t="shared" si="105"/>
        <v>1.4313711196914254</v>
      </c>
      <c r="X175" s="45">
        <f t="shared" si="106"/>
        <v>2.5178005730579933E-2</v>
      </c>
      <c r="Y175" s="45">
        <f t="shared" si="89"/>
        <v>1.3729467118241421E-2</v>
      </c>
      <c r="Z175" s="10">
        <f t="shared" si="107"/>
        <v>18.076253805985086</v>
      </c>
      <c r="AA175">
        <f t="shared" si="84"/>
        <v>5856293.8471296206</v>
      </c>
      <c r="AB175" s="10">
        <f t="shared" si="85"/>
        <v>5.8562938471296206</v>
      </c>
      <c r="AC175" s="10">
        <f t="shared" si="86"/>
        <v>5.7552938471296207</v>
      </c>
      <c r="AD175" s="3">
        <f t="shared" si="87"/>
        <v>834.7054165525193</v>
      </c>
      <c r="AI175" s="100">
        <f t="shared" si="88"/>
        <v>1.4313711196914254</v>
      </c>
    </row>
    <row r="176" spans="2:35">
      <c r="B176" s="39">
        <f t="shared" si="90"/>
        <v>148</v>
      </c>
      <c r="C176" s="45">
        <f t="shared" si="91"/>
        <v>4.3477218225417635</v>
      </c>
      <c r="D176" s="10">
        <f t="shared" si="92"/>
        <v>20.152278177458356</v>
      </c>
      <c r="E176" s="40">
        <f t="shared" si="93"/>
        <v>28.695443645083287</v>
      </c>
      <c r="F176" s="40">
        <f t="shared" si="94"/>
        <v>69</v>
      </c>
      <c r="G176" s="3">
        <f t="shared" si="95"/>
        <v>425.21822541966685</v>
      </c>
      <c r="H176" s="3">
        <f t="shared" si="96"/>
        <v>221.47275588995251</v>
      </c>
      <c r="I176">
        <f t="shared" si="78"/>
        <v>2.214727558899525E-4</v>
      </c>
      <c r="J176" s="4">
        <f t="shared" si="97"/>
        <v>1325.303233759631</v>
      </c>
      <c r="K176" s="40">
        <f t="shared" si="98"/>
        <v>5.9840463375917903</v>
      </c>
      <c r="L176" s="40">
        <f t="shared" si="79"/>
        <v>1.5953662408209723E-2</v>
      </c>
      <c r="M176" s="10">
        <f t="shared" si="99"/>
        <v>5.8562938471296206</v>
      </c>
      <c r="N176" s="10">
        <f t="shared" si="80"/>
        <v>3.8408799049960156</v>
      </c>
      <c r="O176" s="10">
        <f t="shared" si="81"/>
        <v>0.68820000000000003</v>
      </c>
      <c r="P176" s="10">
        <f t="shared" si="100"/>
        <v>12.963097281824746</v>
      </c>
      <c r="Q176" s="45">
        <f t="shared" si="101"/>
        <v>0.39007636266093615</v>
      </c>
      <c r="R176" s="4">
        <f t="shared" si="102"/>
        <v>1315013.4855412568</v>
      </c>
      <c r="S176">
        <f t="shared" si="82"/>
        <v>1.3150134855412568E-3</v>
      </c>
      <c r="T176" s="44">
        <f t="shared" si="83"/>
        <v>7.6138290894074701E-4</v>
      </c>
      <c r="U176" s="45">
        <f t="shared" si="103"/>
        <v>2.3473648223654204</v>
      </c>
      <c r="V176" s="45">
        <f t="shared" si="104"/>
        <v>1.4590920187490126</v>
      </c>
      <c r="W176" s="45">
        <f t="shared" si="105"/>
        <v>1.4338480978120722</v>
      </c>
      <c r="X176" s="45">
        <f t="shared" si="106"/>
        <v>2.5243920936940389E-2</v>
      </c>
      <c r="Y176" s="45">
        <f t="shared" si="89"/>
        <v>1.3786673972206426E-2</v>
      </c>
      <c r="Z176" s="10">
        <f t="shared" si="107"/>
        <v>18.107411934668662</v>
      </c>
      <c r="AA176">
        <f t="shared" si="84"/>
        <v>5866214.2757884217</v>
      </c>
      <c r="AB176" s="10">
        <f t="shared" si="85"/>
        <v>5.8662142757884217</v>
      </c>
      <c r="AC176" s="10">
        <f t="shared" si="86"/>
        <v>5.7652142757884217</v>
      </c>
      <c r="AD176" s="3">
        <f t="shared" si="87"/>
        <v>836.14420243486904</v>
      </c>
      <c r="AI176" s="100">
        <f t="shared" si="88"/>
        <v>1.4338480978120722</v>
      </c>
    </row>
    <row r="177" spans="2:35">
      <c r="B177" s="39">
        <f t="shared" si="90"/>
        <v>149</v>
      </c>
      <c r="C177" s="45">
        <f t="shared" si="91"/>
        <v>4.3770983213427215</v>
      </c>
      <c r="D177" s="10">
        <f t="shared" si="92"/>
        <v>20.122901678657399</v>
      </c>
      <c r="E177" s="40">
        <f t="shared" si="93"/>
        <v>28.754196642685201</v>
      </c>
      <c r="F177" s="40">
        <f t="shared" si="94"/>
        <v>69</v>
      </c>
      <c r="G177" s="3">
        <f t="shared" si="95"/>
        <v>424.98321342925919</v>
      </c>
      <c r="H177" s="3">
        <f t="shared" si="96"/>
        <v>221.47275588995251</v>
      </c>
      <c r="I177">
        <f t="shared" si="78"/>
        <v>2.214727558899525E-4</v>
      </c>
      <c r="J177" s="4">
        <f t="shared" si="97"/>
        <v>1327.9542184796824</v>
      </c>
      <c r="K177" s="40">
        <f t="shared" si="98"/>
        <v>5.9960161381634176</v>
      </c>
      <c r="L177" s="40">
        <f t="shared" si="79"/>
        <v>3.9838618365823919E-3</v>
      </c>
      <c r="M177" s="10">
        <f t="shared" si="99"/>
        <v>5.8662142757884217</v>
      </c>
      <c r="N177" s="10">
        <f t="shared" si="80"/>
        <v>3.8408799049960156</v>
      </c>
      <c r="O177" s="10">
        <f t="shared" si="81"/>
        <v>0.68820000000000003</v>
      </c>
      <c r="P177" s="10">
        <f t="shared" si="100"/>
        <v>12.978205609777104</v>
      </c>
      <c r="Q177" s="45">
        <f t="shared" si="101"/>
        <v>0.39233988811924969</v>
      </c>
      <c r="R177" s="4">
        <f t="shared" si="102"/>
        <v>1313160.0725177976</v>
      </c>
      <c r="S177">
        <f t="shared" si="82"/>
        <v>1.3131600725177976E-3</v>
      </c>
      <c r="T177" s="44">
        <f t="shared" si="83"/>
        <v>7.632363219642062E-4</v>
      </c>
      <c r="U177" s="45">
        <f t="shared" si="103"/>
        <v>2.3440563874478944</v>
      </c>
      <c r="V177" s="45">
        <f t="shared" si="104"/>
        <v>1.4616292056158529</v>
      </c>
      <c r="W177" s="45">
        <f t="shared" si="105"/>
        <v>1.4363196289171254</v>
      </c>
      <c r="X177" s="45">
        <f t="shared" si="106"/>
        <v>2.5309576698727465E-2</v>
      </c>
      <c r="Y177" s="45">
        <f t="shared" si="89"/>
        <v>1.3843962843403135E-2</v>
      </c>
      <c r="Z177" s="10">
        <f t="shared" si="107"/>
        <v>18.138501071038363</v>
      </c>
      <c r="AA177">
        <f t="shared" si="84"/>
        <v>5876112.7380019734</v>
      </c>
      <c r="AB177" s="10">
        <f t="shared" si="85"/>
        <v>5.8761127380019733</v>
      </c>
      <c r="AC177" s="10">
        <f t="shared" si="86"/>
        <v>5.7751127380019733</v>
      </c>
      <c r="AD177" s="3">
        <f t="shared" si="87"/>
        <v>837.579802465841</v>
      </c>
      <c r="AI177" s="100">
        <f t="shared" si="88"/>
        <v>1.4363196289171254</v>
      </c>
    </row>
    <row r="178" spans="2:35">
      <c r="B178" s="39">
        <f t="shared" si="90"/>
        <v>150</v>
      </c>
      <c r="C178" s="45">
        <f t="shared" si="91"/>
        <v>4.4064748201436794</v>
      </c>
      <c r="D178" s="10">
        <f t="shared" si="92"/>
        <v>20.093525179856442</v>
      </c>
      <c r="E178" s="40">
        <f t="shared" si="93"/>
        <v>28.812949640287115</v>
      </c>
      <c r="F178" s="40">
        <f t="shared" si="94"/>
        <v>69</v>
      </c>
      <c r="G178" s="3">
        <f t="shared" si="95"/>
        <v>424.74820143885154</v>
      </c>
      <c r="H178" s="3">
        <f t="shared" si="96"/>
        <v>221.47275588995251</v>
      </c>
      <c r="I178">
        <f t="shared" si="78"/>
        <v>2.214727558899525E-4</v>
      </c>
      <c r="J178" s="4">
        <f t="shared" si="97"/>
        <v>1330.6106254547076</v>
      </c>
      <c r="K178" s="40">
        <f t="shared" si="98"/>
        <v>6.0080104214528038</v>
      </c>
      <c r="L178" s="40">
        <f t="shared" si="79"/>
        <v>0</v>
      </c>
      <c r="M178" s="10">
        <f t="shared" si="99"/>
        <v>5.8761127380019733</v>
      </c>
      <c r="N178" s="10">
        <f t="shared" si="80"/>
        <v>3.8408799049960156</v>
      </c>
      <c r="O178" s="10">
        <f t="shared" si="81"/>
        <v>0.68820000000000003</v>
      </c>
      <c r="P178" s="10">
        <f t="shared" si="100"/>
        <v>12.993272545969283</v>
      </c>
      <c r="Q178" s="45">
        <f t="shared" si="101"/>
        <v>0.39460078880435623</v>
      </c>
      <c r="R178" s="4">
        <f t="shared" si="102"/>
        <v>1311305.6024276819</v>
      </c>
      <c r="S178">
        <f t="shared" si="82"/>
        <v>1.311305602427682E-3</v>
      </c>
      <c r="T178" s="44">
        <f t="shared" si="83"/>
        <v>7.6509079205432182E-4</v>
      </c>
      <c r="U178" s="45">
        <f t="shared" si="103"/>
        <v>2.3407460656135339</v>
      </c>
      <c r="V178" s="45">
        <f t="shared" si="104"/>
        <v>1.4641606578151978</v>
      </c>
      <c r="W178" s="45">
        <f t="shared" si="105"/>
        <v>1.438785687400524</v>
      </c>
      <c r="X178" s="45">
        <f t="shared" si="106"/>
        <v>2.5374970414673736E-2</v>
      </c>
      <c r="Y178" s="45">
        <f t="shared" si="89"/>
        <v>1.3901333131398229E-2</v>
      </c>
      <c r="Z178" s="10">
        <f t="shared" si="107"/>
        <v>18.169520893163785</v>
      </c>
      <c r="AA178">
        <f t="shared" si="84"/>
        <v>5885989.1312709367</v>
      </c>
      <c r="AB178" s="10">
        <f t="shared" si="85"/>
        <v>5.8859891312709367</v>
      </c>
      <c r="AC178" s="10">
        <f t="shared" si="86"/>
        <v>5.7849891312709367</v>
      </c>
      <c r="AD178" s="3">
        <f t="shared" si="87"/>
        <v>839.01220177968628</v>
      </c>
      <c r="AI178" s="100">
        <f t="shared" si="88"/>
        <v>1.438785687400524</v>
      </c>
    </row>
    <row r="179" spans="2:35">
      <c r="B179" s="39">
        <f t="shared" si="90"/>
        <v>151</v>
      </c>
      <c r="C179" s="45">
        <f t="shared" si="91"/>
        <v>4.4358513189446374</v>
      </c>
      <c r="D179" s="10">
        <f t="shared" si="92"/>
        <v>20.064148681055485</v>
      </c>
      <c r="E179" s="40">
        <f t="shared" si="93"/>
        <v>28.87170263788903</v>
      </c>
      <c r="F179" s="40">
        <f t="shared" si="94"/>
        <v>69</v>
      </c>
      <c r="G179" s="3">
        <f t="shared" si="95"/>
        <v>424.51318944844388</v>
      </c>
      <c r="H179" s="3">
        <f t="shared" si="96"/>
        <v>221.47275588995251</v>
      </c>
      <c r="I179">
        <f t="shared" si="78"/>
        <v>2.214727558899525E-4</v>
      </c>
      <c r="J179" s="4">
        <f t="shared" si="97"/>
        <v>1333.2724546847066</v>
      </c>
      <c r="K179" s="40">
        <f t="shared" si="98"/>
        <v>6.0200291874599499</v>
      </c>
      <c r="L179" s="40">
        <f t="shared" si="79"/>
        <v>0</v>
      </c>
      <c r="M179" s="10">
        <f t="shared" si="99"/>
        <v>5.8859891312709367</v>
      </c>
      <c r="N179" s="10">
        <f t="shared" si="80"/>
        <v>3.8408799049960156</v>
      </c>
      <c r="O179" s="10">
        <f t="shared" si="81"/>
        <v>0.68820000000000003</v>
      </c>
      <c r="P179" s="10">
        <f t="shared" si="100"/>
        <v>13.00829800475184</v>
      </c>
      <c r="Q179" s="45">
        <f t="shared" si="101"/>
        <v>0.3968590779971643</v>
      </c>
      <c r="R179" s="4">
        <f t="shared" si="102"/>
        <v>1309450.0790937941</v>
      </c>
      <c r="S179">
        <f t="shared" si="82"/>
        <v>1.3094500790937942E-3</v>
      </c>
      <c r="T179" s="44">
        <f t="shared" si="83"/>
        <v>7.6694631538820959E-4</v>
      </c>
      <c r="U179" s="45">
        <f t="shared" si="103"/>
        <v>2.3374338636863774</v>
      </c>
      <c r="V179" s="45">
        <f t="shared" si="104"/>
        <v>1.4666863472157754</v>
      </c>
      <c r="W179" s="45">
        <f t="shared" si="105"/>
        <v>1.4412462477260424</v>
      </c>
      <c r="X179" s="45">
        <f t="shared" si="106"/>
        <v>2.5440099489733026E-2</v>
      </c>
      <c r="Y179" s="45">
        <f t="shared" si="89"/>
        <v>1.3958784233139855E-2</v>
      </c>
      <c r="Z179" s="10">
        <f t="shared" si="107"/>
        <v>18.20047108000546</v>
      </c>
      <c r="AA179">
        <f t="shared" si="84"/>
        <v>5895843.3533796361</v>
      </c>
      <c r="AB179" s="10">
        <f t="shared" si="85"/>
        <v>5.8958433533796359</v>
      </c>
      <c r="AC179" s="10">
        <f t="shared" si="86"/>
        <v>5.794843353379636</v>
      </c>
      <c r="AD179" s="3">
        <f t="shared" si="87"/>
        <v>840.44138555179643</v>
      </c>
      <c r="AI179" s="100">
        <f t="shared" si="88"/>
        <v>1.4412462477260424</v>
      </c>
    </row>
    <row r="180" spans="2:35">
      <c r="B180" s="39">
        <f t="shared" si="90"/>
        <v>152</v>
      </c>
      <c r="C180" s="45">
        <f t="shared" si="91"/>
        <v>4.4652278177455953</v>
      </c>
      <c r="D180" s="10">
        <f t="shared" si="92"/>
        <v>20.034772182254528</v>
      </c>
      <c r="E180" s="40">
        <f t="shared" si="93"/>
        <v>28.930455635490944</v>
      </c>
      <c r="F180" s="40">
        <f t="shared" si="94"/>
        <v>69</v>
      </c>
      <c r="G180" s="3">
        <f t="shared" si="95"/>
        <v>424.27817745803623</v>
      </c>
      <c r="H180" s="3">
        <f t="shared" si="96"/>
        <v>221.47275588995251</v>
      </c>
      <c r="I180">
        <f t="shared" si="78"/>
        <v>2.214727558899525E-4</v>
      </c>
      <c r="J180" s="4">
        <f t="shared" si="97"/>
        <v>1335.93970616968</v>
      </c>
      <c r="K180" s="40">
        <f t="shared" si="98"/>
        <v>6.0320724361848574</v>
      </c>
      <c r="L180" s="40">
        <f t="shared" si="79"/>
        <v>0</v>
      </c>
      <c r="M180" s="10">
        <f t="shared" si="99"/>
        <v>5.8958433533796359</v>
      </c>
      <c r="N180" s="10">
        <f t="shared" si="80"/>
        <v>3.8408799049960156</v>
      </c>
      <c r="O180" s="10">
        <f t="shared" si="81"/>
        <v>0.68820000000000003</v>
      </c>
      <c r="P180" s="10">
        <f t="shared" si="100"/>
        <v>13.023281900814782</v>
      </c>
      <c r="Q180" s="45">
        <f t="shared" si="101"/>
        <v>0.39911476892243869</v>
      </c>
      <c r="R180" s="4">
        <f t="shared" si="102"/>
        <v>1307593.5063390192</v>
      </c>
      <c r="S180">
        <f t="shared" si="82"/>
        <v>1.3075935063390192E-3</v>
      </c>
      <c r="T180" s="44">
        <f t="shared" si="83"/>
        <v>7.6880288814298457E-4</v>
      </c>
      <c r="U180" s="45">
        <f t="shared" si="103"/>
        <v>2.3341197884904665</v>
      </c>
      <c r="V180" s="45">
        <f t="shared" si="104"/>
        <v>1.4692062457571555</v>
      </c>
      <c r="W180" s="45">
        <f t="shared" si="105"/>
        <v>1.4437012844281252</v>
      </c>
      <c r="X180" s="45">
        <f t="shared" si="106"/>
        <v>2.5504961329030351E-2</v>
      </c>
      <c r="Y180" s="45">
        <f t="shared" si="89"/>
        <v>1.4016315542959222E-2</v>
      </c>
      <c r="Z180" s="10">
        <f t="shared" si="107"/>
        <v>18.23135131140717</v>
      </c>
      <c r="AA180">
        <f t="shared" si="84"/>
        <v>5905675.3023936152</v>
      </c>
      <c r="AB180" s="10">
        <f t="shared" si="85"/>
        <v>5.9056753023936155</v>
      </c>
      <c r="AC180" s="10">
        <f t="shared" si="86"/>
        <v>5.8046753023936155</v>
      </c>
      <c r="AD180" s="3">
        <f t="shared" si="87"/>
        <v>841.86733899834883</v>
      </c>
      <c r="AI180" s="100">
        <f t="shared" si="88"/>
        <v>1.4437012844281252</v>
      </c>
    </row>
    <row r="181" spans="2:35">
      <c r="B181" s="39">
        <f t="shared" si="90"/>
        <v>153</v>
      </c>
      <c r="C181" s="45">
        <f t="shared" si="91"/>
        <v>4.4946043165465532</v>
      </c>
      <c r="D181" s="10">
        <f t="shared" si="92"/>
        <v>20.005395683453571</v>
      </c>
      <c r="E181" s="40">
        <f t="shared" si="93"/>
        <v>28.989208633092858</v>
      </c>
      <c r="F181" s="40">
        <f t="shared" si="94"/>
        <v>69</v>
      </c>
      <c r="G181" s="3">
        <f t="shared" si="95"/>
        <v>424.04316546762857</v>
      </c>
      <c r="H181" s="3">
        <f t="shared" si="96"/>
        <v>221.47275588995251</v>
      </c>
      <c r="I181">
        <f t="shared" si="78"/>
        <v>2.214727558899525E-4</v>
      </c>
      <c r="J181" s="4">
        <f t="shared" si="97"/>
        <v>1338.6123799096267</v>
      </c>
      <c r="K181" s="40">
        <f t="shared" si="98"/>
        <v>6.0441401676275213</v>
      </c>
      <c r="L181" s="40">
        <f t="shared" si="79"/>
        <v>0</v>
      </c>
      <c r="M181" s="10">
        <f t="shared" si="99"/>
        <v>5.9056753023936155</v>
      </c>
      <c r="N181" s="10">
        <f t="shared" si="80"/>
        <v>3.8408799049960156</v>
      </c>
      <c r="O181" s="10">
        <f t="shared" si="81"/>
        <v>0.68820000000000003</v>
      </c>
      <c r="P181" s="10">
        <f t="shared" si="100"/>
        <v>13.038224149182271</v>
      </c>
      <c r="Q181" s="45">
        <f t="shared" si="101"/>
        <v>0.40136787474918584</v>
      </c>
      <c r="R181" s="4">
        <f t="shared" si="102"/>
        <v>1305735.8879862423</v>
      </c>
      <c r="S181">
        <f t="shared" si="82"/>
        <v>1.3057358879862424E-3</v>
      </c>
      <c r="T181" s="44">
        <f t="shared" si="83"/>
        <v>7.706605064957614E-4</v>
      </c>
      <c r="U181" s="45">
        <f t="shared" si="103"/>
        <v>2.3308038468498422</v>
      </c>
      <c r="V181" s="45">
        <f t="shared" si="104"/>
        <v>1.4717203254547562</v>
      </c>
      <c r="W181" s="45">
        <f t="shared" si="105"/>
        <v>1.4461507721112798</v>
      </c>
      <c r="X181" s="45">
        <f t="shared" si="106"/>
        <v>2.5569553343476326E-2</v>
      </c>
      <c r="Y181" s="45">
        <f t="shared" si="89"/>
        <v>1.4073926452584731E-2</v>
      </c>
      <c r="Z181" s="10">
        <f t="shared" si="107"/>
        <v>18.262161268104553</v>
      </c>
      <c r="AA181">
        <f t="shared" si="84"/>
        <v>5915484.8766623763</v>
      </c>
      <c r="AB181" s="10">
        <f t="shared" si="85"/>
        <v>5.9154848766623767</v>
      </c>
      <c r="AC181" s="10">
        <f t="shared" si="86"/>
        <v>5.8144848766623767</v>
      </c>
      <c r="AD181" s="3">
        <f t="shared" si="87"/>
        <v>843.29004737670436</v>
      </c>
      <c r="AI181" s="100">
        <f t="shared" si="88"/>
        <v>1.4461507721112798</v>
      </c>
    </row>
    <row r="182" spans="2:35">
      <c r="B182" s="39">
        <f t="shared" si="90"/>
        <v>154</v>
      </c>
      <c r="C182" s="45">
        <f t="shared" si="91"/>
        <v>4.5239808153475112</v>
      </c>
      <c r="D182" s="10">
        <f t="shared" si="92"/>
        <v>19.976019184652614</v>
      </c>
      <c r="E182" s="40">
        <f t="shared" si="93"/>
        <v>29.047961630694772</v>
      </c>
      <c r="F182" s="40">
        <f t="shared" si="94"/>
        <v>69</v>
      </c>
      <c r="G182" s="3">
        <f t="shared" si="95"/>
        <v>423.80815347722091</v>
      </c>
      <c r="H182" s="3">
        <f t="shared" si="96"/>
        <v>221.47275588995251</v>
      </c>
      <c r="I182">
        <f t="shared" si="78"/>
        <v>2.214727558899525E-4</v>
      </c>
      <c r="J182" s="4">
        <f t="shared" si="97"/>
        <v>1341.2904759045477</v>
      </c>
      <c r="K182" s="40">
        <f t="shared" si="98"/>
        <v>6.0562323817879475</v>
      </c>
      <c r="L182" s="40">
        <f t="shared" si="79"/>
        <v>0</v>
      </c>
      <c r="M182" s="10">
        <f t="shared" si="99"/>
        <v>5.9154848766623767</v>
      </c>
      <c r="N182" s="10">
        <f t="shared" si="80"/>
        <v>3.8408799049960156</v>
      </c>
      <c r="O182" s="10">
        <f t="shared" si="81"/>
        <v>0.68820000000000003</v>
      </c>
      <c r="P182" s="10">
        <f t="shared" si="100"/>
        <v>13.053124665215252</v>
      </c>
      <c r="Q182" s="45">
        <f t="shared" si="101"/>
        <v>0.40361840859103615</v>
      </c>
      <c r="R182" s="4">
        <f t="shared" si="102"/>
        <v>1303877.2278583476</v>
      </c>
      <c r="S182">
        <f t="shared" si="82"/>
        <v>1.3038772278583476E-3</v>
      </c>
      <c r="T182" s="44">
        <f t="shared" si="83"/>
        <v>7.7251916662365622E-4</v>
      </c>
      <c r="U182" s="45">
        <f t="shared" si="103"/>
        <v>2.3274860455885431</v>
      </c>
      <c r="V182" s="45">
        <f t="shared" si="104"/>
        <v>1.4742285583989805</v>
      </c>
      <c r="W182" s="45">
        <f t="shared" si="105"/>
        <v>1.4485946854507568</v>
      </c>
      <c r="X182" s="45">
        <f t="shared" si="106"/>
        <v>2.5633872948223724E-2</v>
      </c>
      <c r="Y182" s="45">
        <f t="shared" si="89"/>
        <v>1.4131616351152398E-2</v>
      </c>
      <c r="Z182" s="10">
        <f t="shared" si="107"/>
        <v>18.292900631728685</v>
      </c>
      <c r="AA182">
        <f t="shared" si="84"/>
        <v>5925271.974820517</v>
      </c>
      <c r="AB182" s="10">
        <f t="shared" si="85"/>
        <v>5.9252719748205172</v>
      </c>
      <c r="AC182" s="10">
        <f t="shared" si="86"/>
        <v>5.8242719748205172</v>
      </c>
      <c r="AD182" s="3">
        <f t="shared" si="87"/>
        <v>844.70949598557172</v>
      </c>
      <c r="AI182" s="100">
        <f t="shared" si="88"/>
        <v>1.4485946854507568</v>
      </c>
    </row>
    <row r="183" spans="2:35">
      <c r="B183" s="39">
        <f t="shared" si="90"/>
        <v>155</v>
      </c>
      <c r="C183" s="45">
        <f t="shared" si="91"/>
        <v>4.5533573141484691</v>
      </c>
      <c r="D183" s="10">
        <f t="shared" si="92"/>
        <v>19.946642685851657</v>
      </c>
      <c r="E183" s="40">
        <f t="shared" si="93"/>
        <v>29.106714628296686</v>
      </c>
      <c r="F183" s="40">
        <f t="shared" si="94"/>
        <v>69</v>
      </c>
      <c r="G183" s="3">
        <f t="shared" si="95"/>
        <v>423.57314148681326</v>
      </c>
      <c r="H183" s="3">
        <f t="shared" si="96"/>
        <v>221.47275588995251</v>
      </c>
      <c r="I183">
        <f t="shared" si="78"/>
        <v>2.214727558899525E-4</v>
      </c>
      <c r="J183" s="4">
        <f t="shared" si="97"/>
        <v>1343.9739941544426</v>
      </c>
      <c r="K183" s="40">
        <f t="shared" si="98"/>
        <v>6.0683490786661327</v>
      </c>
      <c r="L183" s="40">
        <f t="shared" si="79"/>
        <v>0</v>
      </c>
      <c r="M183" s="10">
        <f t="shared" si="99"/>
        <v>5.9252719748205172</v>
      </c>
      <c r="N183" s="10">
        <f t="shared" si="80"/>
        <v>3.8408799049960156</v>
      </c>
      <c r="O183" s="10">
        <f t="shared" si="81"/>
        <v>0.68820000000000003</v>
      </c>
      <c r="P183" s="10">
        <f t="shared" si="100"/>
        <v>13.067983364611637</v>
      </c>
      <c r="Q183" s="45">
        <f t="shared" si="101"/>
        <v>0.40586638350662335</v>
      </c>
      <c r="R183" s="4">
        <f t="shared" si="102"/>
        <v>1302017.5297782202</v>
      </c>
      <c r="S183">
        <f t="shared" si="82"/>
        <v>1.3020175297782201E-3</v>
      </c>
      <c r="T183" s="44">
        <f t="shared" si="83"/>
        <v>7.7437886470378367E-4</v>
      </c>
      <c r="U183" s="45">
        <f t="shared" si="103"/>
        <v>2.3241663915306119</v>
      </c>
      <c r="V183" s="45">
        <f t="shared" si="104"/>
        <v>1.4767309167522804</v>
      </c>
      <c r="W183" s="45">
        <f t="shared" si="105"/>
        <v>1.4510329991928346</v>
      </c>
      <c r="X183" s="45">
        <f t="shared" si="106"/>
        <v>2.5697917559445838E-2</v>
      </c>
      <c r="Y183" s="45">
        <f t="shared" si="89"/>
        <v>1.4189384625208861E-2</v>
      </c>
      <c r="Z183" s="10">
        <f t="shared" si="107"/>
        <v>18.323569084800116</v>
      </c>
      <c r="AA183">
        <f t="shared" si="84"/>
        <v>5935036.495785838</v>
      </c>
      <c r="AB183" s="10">
        <f t="shared" si="85"/>
        <v>5.9350364957858384</v>
      </c>
      <c r="AC183" s="10">
        <f t="shared" si="86"/>
        <v>5.8340364957858384</v>
      </c>
      <c r="AD183" s="3">
        <f t="shared" si="87"/>
        <v>846.12567016473361</v>
      </c>
      <c r="AI183" s="100">
        <f t="shared" si="88"/>
        <v>1.4510329991928346</v>
      </c>
    </row>
    <row r="184" spans="2:35">
      <c r="B184" s="39">
        <f t="shared" si="90"/>
        <v>156</v>
      </c>
      <c r="C184" s="45">
        <f t="shared" si="91"/>
        <v>4.5827338129494271</v>
      </c>
      <c r="D184" s="10">
        <f t="shared" si="92"/>
        <v>19.9172661870507</v>
      </c>
      <c r="E184" s="40">
        <f t="shared" si="93"/>
        <v>29.1654676258986</v>
      </c>
      <c r="F184" s="40">
        <f t="shared" si="94"/>
        <v>69</v>
      </c>
      <c r="G184" s="3">
        <f t="shared" si="95"/>
        <v>423.3381294964056</v>
      </c>
      <c r="H184" s="3">
        <f t="shared" si="96"/>
        <v>221.47275588995251</v>
      </c>
      <c r="I184">
        <f t="shared" si="78"/>
        <v>2.214727558899525E-4</v>
      </c>
      <c r="J184" s="4">
        <f t="shared" si="97"/>
        <v>1346.6629346593113</v>
      </c>
      <c r="K184" s="40">
        <f t="shared" si="98"/>
        <v>6.0804902582620768</v>
      </c>
      <c r="L184" s="40">
        <f t="shared" si="79"/>
        <v>0</v>
      </c>
      <c r="M184" s="10">
        <f t="shared" si="99"/>
        <v>5.9350364957858384</v>
      </c>
      <c r="N184" s="10">
        <f t="shared" si="80"/>
        <v>17.20418640980624</v>
      </c>
      <c r="O184" s="10">
        <f t="shared" si="81"/>
        <v>-0.14810000000000001</v>
      </c>
      <c r="P184" s="10">
        <f t="shared" si="100"/>
        <v>13.215698887271856</v>
      </c>
      <c r="Q184" s="45">
        <f t="shared" si="101"/>
        <v>0.4080892321846642</v>
      </c>
      <c r="R184" s="4">
        <f t="shared" si="102"/>
        <v>1300156.797568745</v>
      </c>
      <c r="S184">
        <f t="shared" si="82"/>
        <v>1.300156797568745E-3</v>
      </c>
      <c r="T184" s="44">
        <f t="shared" si="83"/>
        <v>7.762395969132588E-4</v>
      </c>
      <c r="U184" s="45">
        <f t="shared" si="103"/>
        <v>2.3208448915000885</v>
      </c>
      <c r="V184" s="45">
        <f t="shared" si="104"/>
        <v>1.4942537759479035</v>
      </c>
      <c r="W184" s="45">
        <f t="shared" si="105"/>
        <v>1.4534656881543468</v>
      </c>
      <c r="X184" s="45">
        <f t="shared" si="106"/>
        <v>4.0788087793556693E-2</v>
      </c>
      <c r="Y184" s="45">
        <f t="shared" si="89"/>
        <v>1.4280050372240583E-2</v>
      </c>
      <c r="Z184" s="10">
        <f t="shared" si="107"/>
        <v>18.396446701541191</v>
      </c>
      <c r="AA184">
        <f t="shared" si="84"/>
        <v>5958239.9816256138</v>
      </c>
      <c r="AB184" s="10">
        <f t="shared" si="85"/>
        <v>5.9582399816256135</v>
      </c>
      <c r="AC184" s="10">
        <f t="shared" si="86"/>
        <v>5.8572399816256135</v>
      </c>
      <c r="AD184" s="3">
        <f t="shared" si="87"/>
        <v>849.49093279559304</v>
      </c>
      <c r="AI184" s="100">
        <f t="shared" si="88"/>
        <v>1.4534656881543468</v>
      </c>
    </row>
    <row r="185" spans="2:35">
      <c r="B185" s="39">
        <f t="shared" si="90"/>
        <v>157</v>
      </c>
      <c r="C185" s="45">
        <f t="shared" si="91"/>
        <v>4.612110311750385</v>
      </c>
      <c r="D185" s="10">
        <f t="shared" si="92"/>
        <v>19.887889688249743</v>
      </c>
      <c r="E185" s="40">
        <f t="shared" si="93"/>
        <v>29.224220623500514</v>
      </c>
      <c r="F185" s="40">
        <f t="shared" si="94"/>
        <v>69</v>
      </c>
      <c r="G185" s="3">
        <f t="shared" si="95"/>
        <v>423.10311750599794</v>
      </c>
      <c r="H185" s="3">
        <f t="shared" si="96"/>
        <v>221.47275588995251</v>
      </c>
      <c r="I185">
        <f t="shared" si="78"/>
        <v>2.214727558899525E-4</v>
      </c>
      <c r="J185" s="4">
        <f t="shared" si="97"/>
        <v>1349.3572974191543</v>
      </c>
      <c r="K185" s="40">
        <f t="shared" si="98"/>
        <v>6.0926559205757833</v>
      </c>
      <c r="L185" s="40">
        <f t="shared" si="79"/>
        <v>0</v>
      </c>
      <c r="M185" s="10">
        <f t="shared" si="99"/>
        <v>5.9582399816256135</v>
      </c>
      <c r="N185" s="10">
        <f t="shared" si="80"/>
        <v>17.20418640980624</v>
      </c>
      <c r="O185" s="10">
        <f t="shared" si="81"/>
        <v>-0.14810000000000001</v>
      </c>
      <c r="P185" s="10">
        <f t="shared" si="100"/>
        <v>13.208064011414328</v>
      </c>
      <c r="Q185" s="45">
        <f t="shared" si="101"/>
        <v>0.41031336577271849</v>
      </c>
      <c r="R185" s="4">
        <f t="shared" si="102"/>
        <v>1298295.0350528066</v>
      </c>
      <c r="S185">
        <f t="shared" si="82"/>
        <v>1.2982950350528067E-3</v>
      </c>
      <c r="T185" s="44">
        <f t="shared" si="83"/>
        <v>7.7810135942919714E-4</v>
      </c>
      <c r="U185" s="45">
        <f t="shared" si="103"/>
        <v>2.3175215523210126</v>
      </c>
      <c r="V185" s="45">
        <f t="shared" si="104"/>
        <v>1.4942174323185402</v>
      </c>
      <c r="W185" s="45">
        <f t="shared" si="105"/>
        <v>1.4592465005537978</v>
      </c>
      <c r="X185" s="45">
        <f t="shared" si="106"/>
        <v>3.4970931764742419E-2</v>
      </c>
      <c r="Y185" s="45">
        <f t="shared" si="89"/>
        <v>1.4357830396184101E-2</v>
      </c>
      <c r="Z185" s="10">
        <f t="shared" si="107"/>
        <v>18.452390838536484</v>
      </c>
      <c r="AA185">
        <f t="shared" si="84"/>
        <v>5976052.0211603427</v>
      </c>
      <c r="AB185" s="10">
        <f t="shared" si="85"/>
        <v>5.976052021160343</v>
      </c>
      <c r="AC185" s="10">
        <f t="shared" si="86"/>
        <v>5.875052021160343</v>
      </c>
      <c r="AD185" s="3">
        <f t="shared" si="87"/>
        <v>852.07425977669948</v>
      </c>
      <c r="AI185" s="100">
        <f t="shared" si="88"/>
        <v>1.4592465005537978</v>
      </c>
    </row>
    <row r="186" spans="2:35">
      <c r="B186" s="39">
        <f t="shared" si="90"/>
        <v>158</v>
      </c>
      <c r="C186" s="45">
        <f t="shared" si="91"/>
        <v>4.6414868105513429</v>
      </c>
      <c r="D186" s="10">
        <f t="shared" si="92"/>
        <v>19.858513189448786</v>
      </c>
      <c r="E186" s="40">
        <f t="shared" si="93"/>
        <v>29.282973621102428</v>
      </c>
      <c r="F186" s="40">
        <f t="shared" si="94"/>
        <v>69</v>
      </c>
      <c r="G186" s="3">
        <f t="shared" si="95"/>
        <v>422.86810551559029</v>
      </c>
      <c r="H186" s="3">
        <f t="shared" si="96"/>
        <v>221.47275588995251</v>
      </c>
      <c r="I186">
        <f t="shared" si="78"/>
        <v>2.214727558899525E-4</v>
      </c>
      <c r="J186" s="4">
        <f t="shared" si="97"/>
        <v>1352.0570824339707</v>
      </c>
      <c r="K186" s="40">
        <f t="shared" si="98"/>
        <v>6.1048460656072461</v>
      </c>
      <c r="L186" s="40">
        <f t="shared" si="79"/>
        <v>0</v>
      </c>
      <c r="M186" s="10">
        <f t="shared" si="99"/>
        <v>5.976052021160343</v>
      </c>
      <c r="N186" s="10">
        <f t="shared" si="80"/>
        <v>17.20418640980624</v>
      </c>
      <c r="O186" s="10">
        <f t="shared" si="81"/>
        <v>-0.14810000000000001</v>
      </c>
      <c r="P186" s="10">
        <f t="shared" si="100"/>
        <v>13.202226260788404</v>
      </c>
      <c r="Q186" s="45">
        <f t="shared" si="101"/>
        <v>0.41253848282651479</v>
      </c>
      <c r="R186" s="4">
        <f t="shared" si="102"/>
        <v>1296432.2460532899</v>
      </c>
      <c r="S186">
        <f t="shared" si="82"/>
        <v>1.2964322460532899E-3</v>
      </c>
      <c r="T186" s="44">
        <f t="shared" si="83"/>
        <v>7.7996414842871394E-4</v>
      </c>
      <c r="U186" s="45">
        <f t="shared" si="103"/>
        <v>2.3141963808174251</v>
      </c>
      <c r="V186" s="45">
        <f t="shared" si="104"/>
        <v>1.4943804856982514</v>
      </c>
      <c r="W186" s="45">
        <f t="shared" si="105"/>
        <v>1.4636841122002928</v>
      </c>
      <c r="X186" s="45">
        <f t="shared" si="106"/>
        <v>3.0696373497958618E-2</v>
      </c>
      <c r="Y186" s="45">
        <f t="shared" si="89"/>
        <v>1.4426133420344109E-2</v>
      </c>
      <c r="Z186" s="10">
        <f t="shared" si="107"/>
        <v>18.495892983551165</v>
      </c>
      <c r="AA186">
        <f t="shared" si="84"/>
        <v>5989902.658036056</v>
      </c>
      <c r="AB186" s="10">
        <f t="shared" si="85"/>
        <v>5.9899026580360557</v>
      </c>
      <c r="AC186" s="10">
        <f t="shared" si="86"/>
        <v>5.8889026580360557</v>
      </c>
      <c r="AD186" s="3">
        <f t="shared" si="87"/>
        <v>854.08305410240121</v>
      </c>
      <c r="AI186" s="100">
        <f t="shared" si="88"/>
        <v>1.4636841122002928</v>
      </c>
    </row>
    <row r="187" spans="2:35">
      <c r="B187" s="39">
        <f t="shared" si="90"/>
        <v>159</v>
      </c>
      <c r="C187" s="45">
        <f t="shared" si="91"/>
        <v>4.6708633093523009</v>
      </c>
      <c r="D187" s="10">
        <f t="shared" si="92"/>
        <v>19.829136690647829</v>
      </c>
      <c r="E187" s="40">
        <f t="shared" si="93"/>
        <v>29.341726618704342</v>
      </c>
      <c r="F187" s="40">
        <f t="shared" si="94"/>
        <v>69</v>
      </c>
      <c r="G187" s="3">
        <f t="shared" si="95"/>
        <v>422.63309352518263</v>
      </c>
      <c r="H187" s="3">
        <f t="shared" si="96"/>
        <v>221.47275588995251</v>
      </c>
      <c r="I187">
        <f t="shared" si="78"/>
        <v>2.214727558899525E-4</v>
      </c>
      <c r="J187" s="4">
        <f t="shared" si="97"/>
        <v>1354.7622897037609</v>
      </c>
      <c r="K187" s="40">
        <f t="shared" si="98"/>
        <v>6.1170606933564686</v>
      </c>
      <c r="L187" s="40">
        <f t="shared" si="79"/>
        <v>0</v>
      </c>
      <c r="M187" s="10">
        <f t="shared" si="99"/>
        <v>5.9899026580360557</v>
      </c>
      <c r="N187" s="10">
        <f t="shared" si="80"/>
        <v>17.20418640980624</v>
      </c>
      <c r="O187" s="10">
        <f t="shared" si="81"/>
        <v>-0.14810000000000001</v>
      </c>
      <c r="P187" s="10">
        <f t="shared" si="100"/>
        <v>13.197700617060441</v>
      </c>
      <c r="Q187" s="45">
        <f t="shared" si="101"/>
        <v>0.4147643628986073</v>
      </c>
      <c r="R187" s="4">
        <f t="shared" si="102"/>
        <v>1294568.43439308</v>
      </c>
      <c r="S187">
        <f t="shared" si="82"/>
        <v>1.2945684343930799E-3</v>
      </c>
      <c r="T187" s="44">
        <f t="shared" si="83"/>
        <v>7.8182796008892386E-4</v>
      </c>
      <c r="U187" s="45">
        <f t="shared" si="103"/>
        <v>2.3108693838133672</v>
      </c>
      <c r="V187" s="45">
        <f t="shared" si="104"/>
        <v>1.4946883463178973</v>
      </c>
      <c r="W187" s="45">
        <f t="shared" si="105"/>
        <v>1.4671347977543645</v>
      </c>
      <c r="X187" s="45">
        <f t="shared" si="106"/>
        <v>2.7553548563532759E-2</v>
      </c>
      <c r="Y187" s="45">
        <f t="shared" si="89"/>
        <v>1.4487464315007109E-2</v>
      </c>
      <c r="Z187" s="10">
        <f t="shared" si="107"/>
        <v>18.530245852756824</v>
      </c>
      <c r="AA187">
        <f t="shared" si="84"/>
        <v>6000840.2593163121</v>
      </c>
      <c r="AB187" s="10">
        <f t="shared" si="85"/>
        <v>6.0008402593163117</v>
      </c>
      <c r="AC187" s="10">
        <f t="shared" si="86"/>
        <v>5.8998402593163117</v>
      </c>
      <c r="AD187" s="3">
        <f t="shared" si="87"/>
        <v>855.66936320758703</v>
      </c>
      <c r="AI187" s="100">
        <f t="shared" si="88"/>
        <v>1.4671347977543645</v>
      </c>
    </row>
    <row r="188" spans="2:35">
      <c r="B188" s="39">
        <f t="shared" si="90"/>
        <v>160</v>
      </c>
      <c r="C188" s="45">
        <f t="shared" si="91"/>
        <v>4.7002398081532588</v>
      </c>
      <c r="D188" s="10">
        <f t="shared" si="92"/>
        <v>19.799760191846872</v>
      </c>
      <c r="E188" s="40">
        <f t="shared" si="93"/>
        <v>29.400479616306257</v>
      </c>
      <c r="F188" s="40">
        <f t="shared" si="94"/>
        <v>69</v>
      </c>
      <c r="G188" s="3">
        <f t="shared" si="95"/>
        <v>422.39808153477497</v>
      </c>
      <c r="H188" s="3">
        <f t="shared" si="96"/>
        <v>221.47275588995251</v>
      </c>
      <c r="I188">
        <f t="shared" si="78"/>
        <v>2.214727558899525E-4</v>
      </c>
      <c r="J188" s="4">
        <f t="shared" si="97"/>
        <v>1357.4729192285254</v>
      </c>
      <c r="K188" s="40">
        <f t="shared" si="98"/>
        <v>6.1292998038234527</v>
      </c>
      <c r="L188" s="40">
        <f t="shared" si="79"/>
        <v>0</v>
      </c>
      <c r="M188" s="10">
        <f t="shared" si="99"/>
        <v>6.0008402593163117</v>
      </c>
      <c r="N188" s="10">
        <f t="shared" si="80"/>
        <v>17.20418640980624</v>
      </c>
      <c r="O188" s="10">
        <f t="shared" si="81"/>
        <v>-0.14810000000000001</v>
      </c>
      <c r="P188" s="10">
        <f t="shared" si="100"/>
        <v>13.194135278516759</v>
      </c>
      <c r="Q188" s="45">
        <f t="shared" si="101"/>
        <v>0.41699084445127033</v>
      </c>
      <c r="R188" s="4">
        <f t="shared" si="102"/>
        <v>1292703.603895061</v>
      </c>
      <c r="S188">
        <f t="shared" si="82"/>
        <v>1.292703603895061E-3</v>
      </c>
      <c r="T188" s="44">
        <f t="shared" si="83"/>
        <v>7.8369279058694281E-4</v>
      </c>
      <c r="U188" s="45">
        <f t="shared" si="103"/>
        <v>2.3075405681328789</v>
      </c>
      <c r="V188" s="45">
        <f t="shared" si="104"/>
        <v>1.4951013973175586</v>
      </c>
      <c r="W188" s="45">
        <f t="shared" si="105"/>
        <v>1.4698597426845255</v>
      </c>
      <c r="X188" s="45">
        <f t="shared" si="106"/>
        <v>2.5241654633033184E-2</v>
      </c>
      <c r="Y188" s="45">
        <f t="shared" si="89"/>
        <v>1.4543664393406248E-2</v>
      </c>
      <c r="Z188" s="10">
        <f t="shared" si="107"/>
        <v>18.557864214259062</v>
      </c>
      <c r="AA188">
        <f t="shared" si="84"/>
        <v>6009633.6624034606</v>
      </c>
      <c r="AB188" s="10">
        <f t="shared" si="85"/>
        <v>6.009633662403461</v>
      </c>
      <c r="AC188" s="10">
        <f t="shared" si="86"/>
        <v>5.908633662403461</v>
      </c>
      <c r="AD188" s="3">
        <f t="shared" si="87"/>
        <v>856.94469360456276</v>
      </c>
      <c r="AI188" s="100">
        <f t="shared" si="88"/>
        <v>1.4698597426845255</v>
      </c>
    </row>
    <row r="189" spans="2:35">
      <c r="B189" s="39">
        <f t="shared" si="90"/>
        <v>161</v>
      </c>
      <c r="C189" s="45">
        <f t="shared" si="91"/>
        <v>4.7296163069542168</v>
      </c>
      <c r="D189" s="10">
        <f t="shared" si="92"/>
        <v>19.770383693045915</v>
      </c>
      <c r="E189" s="40">
        <f t="shared" si="93"/>
        <v>29.459232613908171</v>
      </c>
      <c r="F189" s="40">
        <f t="shared" si="94"/>
        <v>69</v>
      </c>
      <c r="G189" s="3">
        <f t="shared" si="95"/>
        <v>422.16306954436732</v>
      </c>
      <c r="H189" s="3">
        <f t="shared" si="96"/>
        <v>221.47275588995251</v>
      </c>
      <c r="I189">
        <f t="shared" si="78"/>
        <v>2.214727558899525E-4</v>
      </c>
      <c r="J189" s="4">
        <f t="shared" si="97"/>
        <v>1360.1889710082637</v>
      </c>
      <c r="K189" s="40">
        <f t="shared" si="98"/>
        <v>6.1415633970081958</v>
      </c>
      <c r="L189" s="40">
        <f t="shared" si="79"/>
        <v>0</v>
      </c>
      <c r="M189" s="10">
        <f t="shared" si="99"/>
        <v>6.009633662403461</v>
      </c>
      <c r="N189" s="10">
        <f t="shared" si="80"/>
        <v>17.20418640980624</v>
      </c>
      <c r="O189" s="10">
        <f t="shared" si="81"/>
        <v>-0.14810000000000001</v>
      </c>
      <c r="P189" s="10">
        <f t="shared" si="100"/>
        <v>13.191274291998225</v>
      </c>
      <c r="Q189" s="45">
        <f t="shared" si="101"/>
        <v>0.4192178088938775</v>
      </c>
      <c r="R189" s="4">
        <f t="shared" si="102"/>
        <v>1290837.7583821183</v>
      </c>
      <c r="S189">
        <f t="shared" si="82"/>
        <v>1.2908377583821184E-3</v>
      </c>
      <c r="T189" s="44">
        <f t="shared" si="83"/>
        <v>7.8555863609988544E-4</v>
      </c>
      <c r="U189" s="45">
        <f t="shared" si="103"/>
        <v>2.3042099406000003</v>
      </c>
      <c r="V189" s="45">
        <f t="shared" si="104"/>
        <v>1.4955908002641227</v>
      </c>
      <c r="W189" s="45">
        <f t="shared" si="105"/>
        <v>1.4720504916931256</v>
      </c>
      <c r="X189" s="45">
        <f t="shared" si="106"/>
        <v>2.3540308570997093E-2</v>
      </c>
      <c r="Y189" s="45">
        <f t="shared" si="89"/>
        <v>1.459608782356186E-2</v>
      </c>
      <c r="Z189" s="10">
        <f t="shared" si="107"/>
        <v>18.580519840031315</v>
      </c>
      <c r="AA189">
        <f t="shared" si="84"/>
        <v>6016846.9813250368</v>
      </c>
      <c r="AB189" s="10">
        <f t="shared" si="85"/>
        <v>6.0168469813250365</v>
      </c>
      <c r="AC189" s="10">
        <f t="shared" si="86"/>
        <v>5.9158469813250365</v>
      </c>
      <c r="AD189" s="3">
        <f t="shared" si="87"/>
        <v>857.99086023568339</v>
      </c>
      <c r="AI189" s="100">
        <f t="shared" si="88"/>
        <v>1.4720504916931256</v>
      </c>
    </row>
    <row r="190" spans="2:35">
      <c r="B190" s="39">
        <f t="shared" si="90"/>
        <v>162</v>
      </c>
      <c r="C190" s="45">
        <f t="shared" si="91"/>
        <v>4.7589928057551747</v>
      </c>
      <c r="D190" s="10">
        <f t="shared" si="92"/>
        <v>19.741007194244958</v>
      </c>
      <c r="E190" s="40">
        <f t="shared" si="93"/>
        <v>29.517985611510085</v>
      </c>
      <c r="F190" s="40">
        <f t="shared" si="94"/>
        <v>69</v>
      </c>
      <c r="G190" s="3">
        <f t="shared" si="95"/>
        <v>421.92805755395966</v>
      </c>
      <c r="H190" s="3">
        <f t="shared" si="96"/>
        <v>221.47275588995251</v>
      </c>
      <c r="I190">
        <f t="shared" si="78"/>
        <v>2.214727558899525E-4</v>
      </c>
      <c r="J190" s="4">
        <f t="shared" si="97"/>
        <v>1362.9104450429763</v>
      </c>
      <c r="K190" s="40">
        <f t="shared" si="98"/>
        <v>6.1538514729107012</v>
      </c>
      <c r="L190" s="40">
        <f t="shared" si="79"/>
        <v>0</v>
      </c>
      <c r="M190" s="10">
        <f t="shared" si="99"/>
        <v>6.0168469813250365</v>
      </c>
      <c r="N190" s="10">
        <f t="shared" si="80"/>
        <v>17.20418640980624</v>
      </c>
      <c r="O190" s="10">
        <f t="shared" si="81"/>
        <v>-0.14810000000000001</v>
      </c>
      <c r="P190" s="10">
        <f t="shared" si="100"/>
        <v>13.188930981396071</v>
      </c>
      <c r="Q190" s="45">
        <f t="shared" si="101"/>
        <v>0.42144516900686885</v>
      </c>
      <c r="R190" s="4">
        <f t="shared" si="102"/>
        <v>1288970.9016771363</v>
      </c>
      <c r="S190">
        <f t="shared" si="82"/>
        <v>1.2889709016771363E-3</v>
      </c>
      <c r="T190" s="44">
        <f t="shared" si="83"/>
        <v>7.8742549280486746E-4</v>
      </c>
      <c r="U190" s="45">
        <f t="shared" si="103"/>
        <v>2.3008775080387722</v>
      </c>
      <c r="V190" s="45">
        <f t="shared" si="104"/>
        <v>1.4961355111781163</v>
      </c>
      <c r="W190" s="45">
        <f t="shared" si="105"/>
        <v>1.4738475856190549</v>
      </c>
      <c r="X190" s="45">
        <f t="shared" si="106"/>
        <v>2.2287925559061339E-2</v>
      </c>
      <c r="Y190" s="45">
        <f t="shared" si="89"/>
        <v>1.4645731059953433E-2</v>
      </c>
      <c r="Z190" s="10">
        <f t="shared" si="107"/>
        <v>18.599513469883053</v>
      </c>
      <c r="AA190">
        <f t="shared" si="84"/>
        <v>6022894.3582978128</v>
      </c>
      <c r="AB190" s="10">
        <f t="shared" si="85"/>
        <v>6.0228943582978127</v>
      </c>
      <c r="AC190" s="10">
        <f t="shared" si="86"/>
        <v>5.9218943582978127</v>
      </c>
      <c r="AD190" s="3">
        <f t="shared" si="87"/>
        <v>858.86792723681117</v>
      </c>
      <c r="AI190" s="100">
        <f t="shared" si="88"/>
        <v>1.4738475856190549</v>
      </c>
    </row>
    <row r="191" spans="2:35">
      <c r="B191" s="39">
        <f t="shared" si="90"/>
        <v>163</v>
      </c>
      <c r="C191" s="45">
        <f t="shared" si="91"/>
        <v>4.7883693045561326</v>
      </c>
      <c r="D191" s="10">
        <f t="shared" si="92"/>
        <v>19.711630695444001</v>
      </c>
      <c r="E191" s="40">
        <f t="shared" si="93"/>
        <v>29.576738609111999</v>
      </c>
      <c r="F191" s="40">
        <f t="shared" si="94"/>
        <v>69</v>
      </c>
      <c r="G191" s="3">
        <f t="shared" si="95"/>
        <v>421.693045563552</v>
      </c>
      <c r="H191" s="3">
        <f t="shared" si="96"/>
        <v>221.47275588995251</v>
      </c>
      <c r="I191">
        <f t="shared" si="78"/>
        <v>2.214727558899525E-4</v>
      </c>
      <c r="J191" s="4">
        <f t="shared" si="97"/>
        <v>1365.6373413326623</v>
      </c>
      <c r="K191" s="40">
        <f t="shared" si="98"/>
        <v>6.1661640315309629</v>
      </c>
      <c r="L191" s="40">
        <f t="shared" si="79"/>
        <v>0</v>
      </c>
      <c r="M191" s="10">
        <f t="shared" si="99"/>
        <v>6.0228943582978127</v>
      </c>
      <c r="N191" s="10">
        <f t="shared" si="80"/>
        <v>17.20418640980624</v>
      </c>
      <c r="O191" s="10">
        <f t="shared" si="81"/>
        <v>-0.14810000000000001</v>
      </c>
      <c r="P191" s="10">
        <f t="shared" si="100"/>
        <v>13.186968921480123</v>
      </c>
      <c r="Q191" s="45">
        <f t="shared" si="101"/>
        <v>0.42367286052384107</v>
      </c>
      <c r="R191" s="4">
        <f t="shared" si="102"/>
        <v>1287103.0376030002</v>
      </c>
      <c r="S191">
        <f t="shared" si="82"/>
        <v>1.2871030376030001E-3</v>
      </c>
      <c r="T191" s="44">
        <f t="shared" si="83"/>
        <v>7.8929335687900372E-4</v>
      </c>
      <c r="U191" s="45">
        <f t="shared" si="103"/>
        <v>2.2975432772732356</v>
      </c>
      <c r="V191" s="45">
        <f t="shared" si="104"/>
        <v>1.4967201428626746</v>
      </c>
      <c r="W191" s="45">
        <f t="shared" si="105"/>
        <v>1.4753542019968602</v>
      </c>
      <c r="X191" s="45">
        <f t="shared" si="106"/>
        <v>2.1365940865814448E-2</v>
      </c>
      <c r="Y191" s="45">
        <f t="shared" si="89"/>
        <v>1.4693327785172338E-2</v>
      </c>
      <c r="Z191" s="10">
        <f t="shared" si="107"/>
        <v>18.615800648914849</v>
      </c>
      <c r="AA191">
        <f t="shared" si="84"/>
        <v>6028080.0290830815</v>
      </c>
      <c r="AB191" s="10">
        <f t="shared" si="85"/>
        <v>6.0280800290830818</v>
      </c>
      <c r="AC191" s="10">
        <f t="shared" si="86"/>
        <v>5.9270800290830818</v>
      </c>
      <c r="AD191" s="3">
        <f t="shared" si="87"/>
        <v>859.62001872125916</v>
      </c>
      <c r="AI191" s="100">
        <f t="shared" si="88"/>
        <v>1.4753542019968602</v>
      </c>
    </row>
    <row r="192" spans="2:35">
      <c r="B192" s="39">
        <f t="shared" si="90"/>
        <v>164</v>
      </c>
      <c r="C192" s="45">
        <f t="shared" si="91"/>
        <v>4.8177458033570906</v>
      </c>
      <c r="D192" s="10">
        <f t="shared" si="92"/>
        <v>19.682254196643044</v>
      </c>
      <c r="E192" s="40">
        <f t="shared" si="93"/>
        <v>29.635491606713913</v>
      </c>
      <c r="F192" s="40">
        <f t="shared" si="94"/>
        <v>69</v>
      </c>
      <c r="G192" s="3">
        <f t="shared" si="95"/>
        <v>421.45803357314435</v>
      </c>
      <c r="H192" s="3">
        <f t="shared" si="96"/>
        <v>221.47275588995251</v>
      </c>
      <c r="I192">
        <f t="shared" si="78"/>
        <v>2.214727558899525E-4</v>
      </c>
      <c r="J192" s="4">
        <f t="shared" si="97"/>
        <v>1368.3696598773222</v>
      </c>
      <c r="K192" s="40">
        <f t="shared" si="98"/>
        <v>6.1785010728689844</v>
      </c>
      <c r="L192" s="40">
        <f t="shared" si="79"/>
        <v>0</v>
      </c>
      <c r="M192" s="10">
        <f t="shared" si="99"/>
        <v>6.0280800290830818</v>
      </c>
      <c r="N192" s="10">
        <f t="shared" si="80"/>
        <v>17.20418640980624</v>
      </c>
      <c r="O192" s="10">
        <f t="shared" si="81"/>
        <v>-0.14810000000000001</v>
      </c>
      <c r="P192" s="10">
        <f t="shared" si="100"/>
        <v>13.185288240964562</v>
      </c>
      <c r="Q192" s="45">
        <f t="shared" si="101"/>
        <v>0.42590083599651141</v>
      </c>
      <c r="R192" s="4">
        <f t="shared" si="102"/>
        <v>1285234.1699825947</v>
      </c>
      <c r="S192">
        <f t="shared" si="82"/>
        <v>1.2852341699825947E-3</v>
      </c>
      <c r="T192" s="44">
        <f t="shared" si="83"/>
        <v>7.9116222449940907E-4</v>
      </c>
      <c r="U192" s="45">
        <f t="shared" si="103"/>
        <v>2.2942072551274304</v>
      </c>
      <c r="V192" s="45">
        <f t="shared" si="104"/>
        <v>1.4973334252224981</v>
      </c>
      <c r="W192" s="45">
        <f t="shared" si="105"/>
        <v>1.4766461367596777</v>
      </c>
      <c r="X192" s="45">
        <f t="shared" si="106"/>
        <v>2.0687288462820419E-2</v>
      </c>
      <c r="Y192" s="45">
        <f t="shared" si="89"/>
        <v>1.4739418556463558E-2</v>
      </c>
      <c r="Z192" s="10">
        <f t="shared" si="107"/>
        <v>18.630083818510936</v>
      </c>
      <c r="AA192">
        <f t="shared" si="84"/>
        <v>6032627.6438143291</v>
      </c>
      <c r="AB192" s="10">
        <f t="shared" si="85"/>
        <v>6.0326276438143287</v>
      </c>
      <c r="AC192" s="10">
        <f t="shared" si="86"/>
        <v>5.9316276438143287</v>
      </c>
      <c r="AD192" s="3">
        <f t="shared" si="87"/>
        <v>860.27957125661044</v>
      </c>
      <c r="AI192" s="100">
        <f t="shared" si="88"/>
        <v>1.4766461367596777</v>
      </c>
    </row>
    <row r="193" spans="2:35">
      <c r="B193" s="39">
        <f t="shared" si="90"/>
        <v>165</v>
      </c>
      <c r="C193" s="45">
        <f t="shared" si="91"/>
        <v>4.8471223021580485</v>
      </c>
      <c r="D193" s="10">
        <f t="shared" si="92"/>
        <v>19.652877697842086</v>
      </c>
      <c r="E193" s="40">
        <f t="shared" si="93"/>
        <v>29.694244604315827</v>
      </c>
      <c r="F193" s="40">
        <f t="shared" si="94"/>
        <v>69</v>
      </c>
      <c r="G193" s="3">
        <f t="shared" si="95"/>
        <v>421.22302158273669</v>
      </c>
      <c r="H193" s="3">
        <f t="shared" si="96"/>
        <v>221.47275588995251</v>
      </c>
      <c r="I193">
        <f t="shared" si="78"/>
        <v>2.214727558899525E-4</v>
      </c>
      <c r="J193" s="4">
        <f t="shared" si="97"/>
        <v>1371.1074006769563</v>
      </c>
      <c r="K193" s="40">
        <f t="shared" si="98"/>
        <v>6.1908625969247666</v>
      </c>
      <c r="L193" s="40">
        <f t="shared" si="79"/>
        <v>0</v>
      </c>
      <c r="M193" s="10">
        <f t="shared" si="99"/>
        <v>6.0326276438143287</v>
      </c>
      <c r="N193" s="10">
        <f t="shared" si="80"/>
        <v>17.20418640980624</v>
      </c>
      <c r="O193" s="10">
        <f t="shared" si="81"/>
        <v>-0.14810000000000001</v>
      </c>
      <c r="P193" s="10">
        <f t="shared" si="100"/>
        <v>13.183815720549513</v>
      </c>
      <c r="Q193" s="45">
        <f t="shared" si="101"/>
        <v>0.42812906031514847</v>
      </c>
      <c r="R193" s="4">
        <f t="shared" si="102"/>
        <v>1283364.3026388043</v>
      </c>
      <c r="S193">
        <f t="shared" si="82"/>
        <v>1.2833643026388044E-3</v>
      </c>
      <c r="T193" s="44">
        <f t="shared" si="83"/>
        <v>7.9303209184319943E-4</v>
      </c>
      <c r="U193" s="45">
        <f t="shared" si="103"/>
        <v>2.2908694484253975</v>
      </c>
      <c r="V193" s="45">
        <f t="shared" si="104"/>
        <v>1.4979670916052614</v>
      </c>
      <c r="W193" s="45">
        <f t="shared" si="105"/>
        <v>1.4777791090987416</v>
      </c>
      <c r="X193" s="45">
        <f t="shared" si="106"/>
        <v>2.0187982506519875E-2</v>
      </c>
      <c r="Y193" s="45">
        <f t="shared" si="89"/>
        <v>1.4784401910028805E-2</v>
      </c>
      <c r="Z193" s="10">
        <f t="shared" si="107"/>
        <v>18.642879729704582</v>
      </c>
      <c r="AA193">
        <f t="shared" si="84"/>
        <v>6036701.7307214746</v>
      </c>
      <c r="AB193" s="10">
        <f t="shared" si="85"/>
        <v>6.0367017307214743</v>
      </c>
      <c r="AC193" s="10">
        <f t="shared" si="86"/>
        <v>5.9357017307214743</v>
      </c>
      <c r="AD193" s="3">
        <f t="shared" si="87"/>
        <v>860.87044680514498</v>
      </c>
      <c r="AI193" s="100">
        <f t="shared" si="88"/>
        <v>1.4777791090987416</v>
      </c>
    </row>
    <row r="194" spans="2:35">
      <c r="B194" s="39">
        <f t="shared" si="90"/>
        <v>166</v>
      </c>
      <c r="C194" s="45">
        <f t="shared" si="91"/>
        <v>4.8764988009590065</v>
      </c>
      <c r="D194" s="10">
        <f t="shared" si="92"/>
        <v>19.623501199041129</v>
      </c>
      <c r="E194" s="40">
        <f t="shared" si="93"/>
        <v>29.752997601917741</v>
      </c>
      <c r="F194" s="40">
        <f t="shared" si="94"/>
        <v>69</v>
      </c>
      <c r="G194" s="3">
        <f t="shared" si="95"/>
        <v>420.98800959232904</v>
      </c>
      <c r="H194" s="3">
        <f t="shared" si="96"/>
        <v>221.47275588995251</v>
      </c>
      <c r="I194">
        <f t="shared" si="78"/>
        <v>2.214727558899525E-4</v>
      </c>
      <c r="J194" s="4">
        <f t="shared" si="97"/>
        <v>1373.8505637315639</v>
      </c>
      <c r="K194" s="40">
        <f t="shared" si="98"/>
        <v>6.2032486036983068</v>
      </c>
      <c r="L194" s="40">
        <f t="shared" si="79"/>
        <v>0</v>
      </c>
      <c r="M194" s="10">
        <f t="shared" si="99"/>
        <v>6.0367017307214743</v>
      </c>
      <c r="N194" s="10">
        <f t="shared" si="80"/>
        <v>17.20418640980624</v>
      </c>
      <c r="O194" s="10">
        <f t="shared" si="81"/>
        <v>-0.14810000000000001</v>
      </c>
      <c r="P194" s="10">
        <f t="shared" si="100"/>
        <v>13.182497610615776</v>
      </c>
      <c r="Q194" s="45">
        <f t="shared" si="101"/>
        <v>0.4303575074325825</v>
      </c>
      <c r="R194" s="4">
        <f t="shared" si="102"/>
        <v>1281493.4393945143</v>
      </c>
      <c r="S194">
        <f t="shared" si="82"/>
        <v>1.2814934393945143E-3</v>
      </c>
      <c r="T194" s="44">
        <f t="shared" si="83"/>
        <v>7.9490295508748946E-4</v>
      </c>
      <c r="U194" s="45">
        <f t="shared" si="103"/>
        <v>2.2875298639911779</v>
      </c>
      <c r="V194" s="45">
        <f t="shared" si="104"/>
        <v>1.4986150705990589</v>
      </c>
      <c r="W194" s="45">
        <f t="shared" si="105"/>
        <v>1.4787941088393795</v>
      </c>
      <c r="X194" s="45">
        <f t="shared" si="106"/>
        <v>1.9820961759679401E-2</v>
      </c>
      <c r="Y194" s="45">
        <f t="shared" si="89"/>
        <v>1.4828571875126933E-2</v>
      </c>
      <c r="Z194" s="10">
        <f t="shared" si="107"/>
        <v>18.654568812736212</v>
      </c>
      <c r="AA194">
        <f t="shared" si="84"/>
        <v>6040423.4148919107</v>
      </c>
      <c r="AB194" s="10">
        <f t="shared" si="85"/>
        <v>6.0404234148919107</v>
      </c>
      <c r="AC194" s="10">
        <f t="shared" si="86"/>
        <v>5.9394234148919107</v>
      </c>
      <c r="AD194" s="3">
        <f t="shared" si="87"/>
        <v>861.41021245712989</v>
      </c>
      <c r="AI194" s="100">
        <f t="shared" si="88"/>
        <v>1.4787941088393795</v>
      </c>
    </row>
    <row r="195" spans="2:35">
      <c r="B195" s="39">
        <f t="shared" si="90"/>
        <v>167</v>
      </c>
      <c r="C195" s="45">
        <f t="shared" si="91"/>
        <v>4.9058752997599644</v>
      </c>
      <c r="D195" s="10">
        <f t="shared" si="92"/>
        <v>19.594124700240172</v>
      </c>
      <c r="E195" s="40">
        <f t="shared" si="93"/>
        <v>29.811750599519655</v>
      </c>
      <c r="F195" s="40">
        <f t="shared" si="94"/>
        <v>69</v>
      </c>
      <c r="G195" s="3">
        <f t="shared" si="95"/>
        <v>420.75299760192138</v>
      </c>
      <c r="H195" s="3">
        <f t="shared" si="96"/>
        <v>221.47275588995251</v>
      </c>
      <c r="I195">
        <f t="shared" si="78"/>
        <v>2.214727558899525E-4</v>
      </c>
      <c r="J195" s="4">
        <f t="shared" si="97"/>
        <v>1376.5991490411457</v>
      </c>
      <c r="K195" s="40">
        <f t="shared" si="98"/>
        <v>6.2156590931896085</v>
      </c>
      <c r="L195" s="40">
        <f t="shared" si="79"/>
        <v>0</v>
      </c>
      <c r="M195" s="10">
        <f t="shared" si="99"/>
        <v>6.0404234148919107</v>
      </c>
      <c r="N195" s="10">
        <f t="shared" si="80"/>
        <v>17.20418640980624</v>
      </c>
      <c r="O195" s="10">
        <f t="shared" si="81"/>
        <v>-0.14810000000000001</v>
      </c>
      <c r="P195" s="10">
        <f t="shared" si="100"/>
        <v>13.181294407639518</v>
      </c>
      <c r="Q195" s="45">
        <f t="shared" si="101"/>
        <v>0.43258615796510774</v>
      </c>
      <c r="R195" s="4">
        <f t="shared" si="102"/>
        <v>1279621.584072609</v>
      </c>
      <c r="S195">
        <f t="shared" si="82"/>
        <v>1.279621584072609E-3</v>
      </c>
      <c r="T195" s="44">
        <f t="shared" si="83"/>
        <v>7.9677481040939485E-4</v>
      </c>
      <c r="U195" s="45">
        <f t="shared" si="103"/>
        <v>2.2841885086488105</v>
      </c>
      <c r="V195" s="45">
        <f t="shared" si="104"/>
        <v>1.4992728979277499</v>
      </c>
      <c r="W195" s="45">
        <f t="shared" si="105"/>
        <v>1.4797213125426443</v>
      </c>
      <c r="X195" s="45">
        <f t="shared" si="106"/>
        <v>1.9551585385105597E-2</v>
      </c>
      <c r="Y195" s="45">
        <f t="shared" si="89"/>
        <v>1.4872145526307161E-2</v>
      </c>
      <c r="Z195" s="10">
        <f t="shared" si="107"/>
        <v>18.665431351507749</v>
      </c>
      <c r="AA195">
        <f t="shared" si="84"/>
        <v>6043881.9358458119</v>
      </c>
      <c r="AB195" s="10">
        <f t="shared" si="85"/>
        <v>6.0438819358458122</v>
      </c>
      <c r="AC195" s="10">
        <f t="shared" si="86"/>
        <v>5.9428819358458123</v>
      </c>
      <c r="AD195" s="3">
        <f t="shared" si="87"/>
        <v>861.91181085508515</v>
      </c>
      <c r="AI195" s="100">
        <f t="shared" si="88"/>
        <v>1.4797213125426443</v>
      </c>
    </row>
    <row r="196" spans="2:35">
      <c r="B196" s="39">
        <f t="shared" si="90"/>
        <v>168</v>
      </c>
      <c r="C196" s="45">
        <f t="shared" si="91"/>
        <v>4.9352517985609223</v>
      </c>
      <c r="D196" s="10">
        <f t="shared" si="92"/>
        <v>19.564748201439215</v>
      </c>
      <c r="E196" s="40">
        <f t="shared" si="93"/>
        <v>29.870503597121569</v>
      </c>
      <c r="F196" s="40">
        <f t="shared" si="94"/>
        <v>69</v>
      </c>
      <c r="G196" s="3">
        <f t="shared" si="95"/>
        <v>420.51798561151372</v>
      </c>
      <c r="H196" s="3">
        <f t="shared" si="96"/>
        <v>221.47275588995251</v>
      </c>
      <c r="I196">
        <f t="shared" si="78"/>
        <v>2.214727558899525E-4</v>
      </c>
      <c r="J196" s="4">
        <f t="shared" si="97"/>
        <v>1379.3531566057013</v>
      </c>
      <c r="K196" s="40">
        <f t="shared" si="98"/>
        <v>6.2280940653986692</v>
      </c>
      <c r="L196" s="40">
        <f t="shared" si="79"/>
        <v>0</v>
      </c>
      <c r="M196" s="10">
        <f t="shared" si="99"/>
        <v>6.0438819358458122</v>
      </c>
      <c r="N196" s="10">
        <f t="shared" si="80"/>
        <v>17.20418640980624</v>
      </c>
      <c r="O196" s="10">
        <f t="shared" si="81"/>
        <v>-0.14810000000000001</v>
      </c>
      <c r="P196" s="10">
        <f t="shared" si="100"/>
        <v>13.180177046819333</v>
      </c>
      <c r="Q196" s="45">
        <f t="shared" si="101"/>
        <v>0.43481499743339447</v>
      </c>
      <c r="R196" s="4">
        <f t="shared" si="102"/>
        <v>1277748.7404959735</v>
      </c>
      <c r="S196">
        <f t="shared" si="82"/>
        <v>1.2777487404959736E-3</v>
      </c>
      <c r="T196" s="44">
        <f t="shared" si="83"/>
        <v>7.9864765398603025E-4</v>
      </c>
      <c r="U196" s="45">
        <f t="shared" si="103"/>
        <v>2.2808453892223373</v>
      </c>
      <c r="V196" s="45">
        <f t="shared" si="104"/>
        <v>1.4999372875620585</v>
      </c>
      <c r="W196" s="45">
        <f t="shared" si="105"/>
        <v>1.4805829529423726</v>
      </c>
      <c r="X196" s="45">
        <f t="shared" si="106"/>
        <v>1.9354334619685831E-2</v>
      </c>
      <c r="Y196" s="45">
        <f t="shared" si="89"/>
        <v>1.4915283231189945E-2</v>
      </c>
      <c r="Z196" s="10">
        <f t="shared" si="107"/>
        <v>18.675674005612041</v>
      </c>
      <c r="AA196">
        <f t="shared" si="84"/>
        <v>6047143.0918783294</v>
      </c>
      <c r="AB196" s="10">
        <f t="shared" si="85"/>
        <v>6.0471430918783291</v>
      </c>
      <c r="AC196" s="10">
        <f t="shared" si="86"/>
        <v>5.9461430918783291</v>
      </c>
      <c r="AD196" s="3">
        <f t="shared" si="87"/>
        <v>862.38478489895999</v>
      </c>
      <c r="AI196" s="100">
        <f t="shared" si="88"/>
        <v>1.4805829529423726</v>
      </c>
    </row>
    <row r="197" spans="2:35">
      <c r="B197" s="39">
        <f t="shared" si="90"/>
        <v>169</v>
      </c>
      <c r="C197" s="45">
        <f t="shared" si="91"/>
        <v>4.9646282973618803</v>
      </c>
      <c r="D197" s="10">
        <f t="shared" si="92"/>
        <v>19.535371702638258</v>
      </c>
      <c r="E197" s="40">
        <f t="shared" si="93"/>
        <v>29.929256594723483</v>
      </c>
      <c r="F197" s="40">
        <f t="shared" si="94"/>
        <v>69</v>
      </c>
      <c r="G197" s="3">
        <f t="shared" si="95"/>
        <v>420.28297362110607</v>
      </c>
      <c r="H197" s="3">
        <f t="shared" si="96"/>
        <v>221.47275588995251</v>
      </c>
      <c r="I197">
        <f t="shared" si="78"/>
        <v>2.214727558899525E-4</v>
      </c>
      <c r="J197" s="4">
        <f t="shared" si="97"/>
        <v>1382.1125864252308</v>
      </c>
      <c r="K197" s="40">
        <f t="shared" si="98"/>
        <v>6.2405535203254887</v>
      </c>
      <c r="L197" s="40">
        <f t="shared" si="79"/>
        <v>0</v>
      </c>
      <c r="M197" s="10">
        <f t="shared" si="99"/>
        <v>6.0471430918783291</v>
      </c>
      <c r="N197" s="10">
        <f t="shared" si="80"/>
        <v>17.20418640980624</v>
      </c>
      <c r="O197" s="10">
        <f t="shared" si="81"/>
        <v>-0.14810000000000001</v>
      </c>
      <c r="P197" s="10">
        <f t="shared" si="100"/>
        <v>13.179124121863261</v>
      </c>
      <c r="Q197" s="45">
        <f t="shared" si="101"/>
        <v>0.43704401497123102</v>
      </c>
      <c r="R197" s="4">
        <f t="shared" si="102"/>
        <v>1275874.9124874924</v>
      </c>
      <c r="S197">
        <f t="shared" si="82"/>
        <v>1.2758749124874924E-3</v>
      </c>
      <c r="T197" s="44">
        <f t="shared" si="83"/>
        <v>8.0052148199451136E-4</v>
      </c>
      <c r="U197" s="45">
        <f t="shared" si="103"/>
        <v>2.2775005125357985</v>
      </c>
      <c r="V197" s="45">
        <f t="shared" si="104"/>
        <v>1.5006058183755668</v>
      </c>
      <c r="W197" s="45">
        <f t="shared" si="105"/>
        <v>1.4813954227307269</v>
      </c>
      <c r="X197" s="45">
        <f t="shared" si="106"/>
        <v>1.921039564483995E-2</v>
      </c>
      <c r="Y197" s="45">
        <f t="shared" si="89"/>
        <v>1.4958103539991073E-2</v>
      </c>
      <c r="Z197" s="10">
        <f t="shared" si="107"/>
        <v>18.685449268297877</v>
      </c>
      <c r="AA197">
        <f t="shared" si="84"/>
        <v>6050255.4352761209</v>
      </c>
      <c r="AB197" s="10">
        <f t="shared" si="85"/>
        <v>6.0502554352761209</v>
      </c>
      <c r="AC197" s="10">
        <f t="shared" si="86"/>
        <v>5.9492554352761209</v>
      </c>
      <c r="AD197" s="3">
        <f t="shared" si="87"/>
        <v>862.83617625469481</v>
      </c>
      <c r="AI197" s="100">
        <f t="shared" si="88"/>
        <v>1.4813954227307269</v>
      </c>
    </row>
    <row r="198" spans="2:35">
      <c r="B198" s="39">
        <f t="shared" si="90"/>
        <v>170</v>
      </c>
      <c r="C198" s="45">
        <f t="shared" si="91"/>
        <v>4.9940047961628382</v>
      </c>
      <c r="D198" s="10">
        <f t="shared" si="92"/>
        <v>19.505995203837301</v>
      </c>
      <c r="E198" s="40">
        <f t="shared" si="93"/>
        <v>29.988009592325398</v>
      </c>
      <c r="F198" s="40">
        <f t="shared" si="94"/>
        <v>69</v>
      </c>
      <c r="G198" s="3">
        <f t="shared" si="95"/>
        <v>420.04796163069841</v>
      </c>
      <c r="H198" s="3">
        <f t="shared" si="96"/>
        <v>221.47275588995251</v>
      </c>
      <c r="I198">
        <f t="shared" si="78"/>
        <v>2.214727558899525E-4</v>
      </c>
      <c r="J198" s="4">
        <f t="shared" si="97"/>
        <v>1384.8774384997346</v>
      </c>
      <c r="K198" s="40">
        <f t="shared" si="98"/>
        <v>6.2530374579700707</v>
      </c>
      <c r="L198" s="40">
        <f t="shared" si="79"/>
        <v>0</v>
      </c>
      <c r="M198" s="10">
        <f t="shared" si="99"/>
        <v>6.0502554352761209</v>
      </c>
      <c r="N198" s="10">
        <f t="shared" si="80"/>
        <v>17.20418640980624</v>
      </c>
      <c r="O198" s="10">
        <f t="shared" si="81"/>
        <v>-0.14810000000000001</v>
      </c>
      <c r="P198" s="10">
        <f t="shared" si="100"/>
        <v>13.178119851642229</v>
      </c>
      <c r="Q198" s="45">
        <f t="shared" si="101"/>
        <v>0.43927320237669365</v>
      </c>
      <c r="R198" s="4">
        <f t="shared" si="102"/>
        <v>1274000.1038700507</v>
      </c>
      <c r="S198">
        <f t="shared" si="82"/>
        <v>1.2740001038700508E-3</v>
      </c>
      <c r="T198" s="44">
        <f t="shared" si="83"/>
        <v>8.0239629061195305E-4</v>
      </c>
      <c r="U198" s="45">
        <f t="shared" si="103"/>
        <v>2.2741538854132339</v>
      </c>
      <c r="V198" s="45">
        <f t="shared" si="104"/>
        <v>1.5012767048493536</v>
      </c>
      <c r="W198" s="45">
        <f t="shared" si="105"/>
        <v>1.4821708180066582</v>
      </c>
      <c r="X198" s="45">
        <f t="shared" si="106"/>
        <v>1.910588684269543E-2</v>
      </c>
      <c r="Y198" s="45">
        <f t="shared" si="89"/>
        <v>1.5000694142311003E-2</v>
      </c>
      <c r="Z198" s="10">
        <f t="shared" si="107"/>
        <v>18.694869751791376</v>
      </c>
      <c r="AA198">
        <f t="shared" si="84"/>
        <v>6053254.8206171906</v>
      </c>
      <c r="AB198" s="10">
        <f t="shared" si="85"/>
        <v>6.053254820617191</v>
      </c>
      <c r="AC198" s="10">
        <f t="shared" si="86"/>
        <v>5.952254820617191</v>
      </c>
      <c r="AD198" s="3">
        <f t="shared" si="87"/>
        <v>863.27118500611903</v>
      </c>
      <c r="AI198" s="100">
        <f t="shared" si="88"/>
        <v>1.4821708180066582</v>
      </c>
    </row>
    <row r="199" spans="2:35">
      <c r="B199" s="39">
        <f t="shared" si="90"/>
        <v>171</v>
      </c>
      <c r="C199" s="45">
        <f t="shared" si="91"/>
        <v>5.0233812949637962</v>
      </c>
      <c r="D199" s="10">
        <f t="shared" si="92"/>
        <v>19.476618705036344</v>
      </c>
      <c r="E199" s="40">
        <f t="shared" si="93"/>
        <v>30.046762589927312</v>
      </c>
      <c r="F199" s="40">
        <f t="shared" si="94"/>
        <v>69</v>
      </c>
      <c r="G199" s="3">
        <f t="shared" si="95"/>
        <v>419.81294964029075</v>
      </c>
      <c r="H199" s="3">
        <f t="shared" si="96"/>
        <v>221.47275588995251</v>
      </c>
      <c r="I199">
        <f t="shared" si="78"/>
        <v>2.214727558899525E-4</v>
      </c>
      <c r="J199" s="4">
        <f t="shared" si="97"/>
        <v>1387.6477128292122</v>
      </c>
      <c r="K199" s="40">
        <f t="shared" si="98"/>
        <v>6.2655458783324116</v>
      </c>
      <c r="L199" s="40">
        <f t="shared" si="79"/>
        <v>0</v>
      </c>
      <c r="M199" s="10">
        <f t="shared" si="99"/>
        <v>6.053254820617191</v>
      </c>
      <c r="N199" s="10">
        <f t="shared" si="80"/>
        <v>17.20418640980624</v>
      </c>
      <c r="O199" s="10">
        <f t="shared" si="81"/>
        <v>-0.14810000000000001</v>
      </c>
      <c r="P199" s="10">
        <f t="shared" si="100"/>
        <v>13.177152591038759</v>
      </c>
      <c r="Q199" s="45">
        <f t="shared" si="101"/>
        <v>0.44150255341425659</v>
      </c>
      <c r="R199" s="4">
        <f t="shared" si="102"/>
        <v>1272124.318466533</v>
      </c>
      <c r="S199">
        <f t="shared" si="82"/>
        <v>1.272124318466533E-3</v>
      </c>
      <c r="T199" s="44">
        <f t="shared" si="83"/>
        <v>8.042720760154708E-4</v>
      </c>
      <c r="U199" s="45">
        <f t="shared" si="103"/>
        <v>2.2708055146786847</v>
      </c>
      <c r="V199" s="45">
        <f t="shared" si="104"/>
        <v>1.501948629054634</v>
      </c>
      <c r="W199" s="45">
        <f t="shared" si="105"/>
        <v>1.4829180714189312</v>
      </c>
      <c r="X199" s="45">
        <f t="shared" si="106"/>
        <v>1.9030557635702827E-2</v>
      </c>
      <c r="Y199" s="45">
        <f t="shared" si="89"/>
        <v>1.5043119935721558E-2</v>
      </c>
      <c r="Z199" s="10">
        <f t="shared" si="107"/>
        <v>18.704018682643152</v>
      </c>
      <c r="AA199">
        <f t="shared" si="84"/>
        <v>6056167.7463817978</v>
      </c>
      <c r="AB199" s="10">
        <f t="shared" si="85"/>
        <v>6.0561677463817976</v>
      </c>
      <c r="AC199" s="10">
        <f t="shared" si="86"/>
        <v>5.9551677463817976</v>
      </c>
      <c r="AD199" s="3">
        <f t="shared" si="87"/>
        <v>863.69365429757761</v>
      </c>
      <c r="AI199" s="100">
        <f t="shared" si="88"/>
        <v>1.4829180714189312</v>
      </c>
    </row>
    <row r="200" spans="2:35">
      <c r="B200" s="39">
        <f t="shared" si="90"/>
        <v>172</v>
      </c>
      <c r="C200" s="45">
        <f t="shared" si="91"/>
        <v>5.0527577937647541</v>
      </c>
      <c r="D200" s="10">
        <f t="shared" si="92"/>
        <v>19.447242206235387</v>
      </c>
      <c r="E200" s="40">
        <f t="shared" si="93"/>
        <v>30.105515587529226</v>
      </c>
      <c r="F200" s="40">
        <f t="shared" si="94"/>
        <v>69</v>
      </c>
      <c r="G200" s="3">
        <f t="shared" si="95"/>
        <v>419.5779376498831</v>
      </c>
      <c r="H200" s="3">
        <f t="shared" si="96"/>
        <v>221.47275588995251</v>
      </c>
      <c r="I200">
        <f t="shared" si="78"/>
        <v>2.214727558899525E-4</v>
      </c>
      <c r="J200" s="4">
        <f t="shared" si="97"/>
        <v>1390.4234094136636</v>
      </c>
      <c r="K200" s="40">
        <f t="shared" si="98"/>
        <v>6.2780787814125114</v>
      </c>
      <c r="L200" s="40">
        <f t="shared" si="79"/>
        <v>0</v>
      </c>
      <c r="M200" s="10">
        <f t="shared" si="99"/>
        <v>6.0561677463817976</v>
      </c>
      <c r="N200" s="10">
        <f t="shared" si="80"/>
        <v>17.20418640980624</v>
      </c>
      <c r="O200" s="10">
        <f t="shared" si="81"/>
        <v>-0.14810000000000001</v>
      </c>
      <c r="P200" s="10">
        <f t="shared" si="100"/>
        <v>13.176213739011995</v>
      </c>
      <c r="Q200" s="45">
        <f t="shared" si="101"/>
        <v>0.44373206330099896</v>
      </c>
      <c r="R200" s="4">
        <f t="shared" si="102"/>
        <v>1270247.5600998243</v>
      </c>
      <c r="S200">
        <f t="shared" si="82"/>
        <v>1.2702475600998243E-3</v>
      </c>
      <c r="T200" s="44">
        <f t="shared" si="83"/>
        <v>8.0614883438217947E-4</v>
      </c>
      <c r="U200" s="45">
        <f t="shared" si="103"/>
        <v>2.2674554071561914</v>
      </c>
      <c r="V200" s="45">
        <f t="shared" si="104"/>
        <v>1.5026206173897294</v>
      </c>
      <c r="W200" s="45">
        <f t="shared" si="105"/>
        <v>1.4836437846800761</v>
      </c>
      <c r="X200" s="45">
        <f t="shared" si="106"/>
        <v>1.8976832709653335E-2</v>
      </c>
      <c r="Y200" s="45">
        <f t="shared" si="89"/>
        <v>1.5085428971866786E-2</v>
      </c>
      <c r="Z200" s="10">
        <f t="shared" si="107"/>
        <v>18.712957618338599</v>
      </c>
      <c r="AA200">
        <f t="shared" si="84"/>
        <v>6059013.8118420467</v>
      </c>
      <c r="AB200" s="10">
        <f t="shared" si="85"/>
        <v>6.0590138118420462</v>
      </c>
      <c r="AC200" s="10">
        <f t="shared" si="86"/>
        <v>5.9580138118420463</v>
      </c>
      <c r="AD200" s="3">
        <f t="shared" si="87"/>
        <v>864.10642666309593</v>
      </c>
      <c r="AI200" s="100">
        <f t="shared" si="88"/>
        <v>1.4836437846800761</v>
      </c>
    </row>
    <row r="201" spans="2:35">
      <c r="B201" s="39">
        <f t="shared" si="90"/>
        <v>173</v>
      </c>
      <c r="C201" s="45">
        <f t="shared" si="91"/>
        <v>5.082134292565712</v>
      </c>
      <c r="D201" s="10">
        <f t="shared" si="92"/>
        <v>19.41786570743443</v>
      </c>
      <c r="E201" s="40">
        <f t="shared" si="93"/>
        <v>30.16426858513114</v>
      </c>
      <c r="F201" s="40">
        <f t="shared" si="94"/>
        <v>69</v>
      </c>
      <c r="G201" s="3">
        <f t="shared" si="95"/>
        <v>419.34292565947544</v>
      </c>
      <c r="H201" s="3">
        <f t="shared" si="96"/>
        <v>221.47275588995251</v>
      </c>
      <c r="I201">
        <f t="shared" si="78"/>
        <v>2.214727558899525E-4</v>
      </c>
      <c r="J201" s="4">
        <f t="shared" si="97"/>
        <v>1393.2045282530889</v>
      </c>
      <c r="K201" s="40">
        <f t="shared" si="98"/>
        <v>6.290636167210371</v>
      </c>
      <c r="L201" s="40">
        <f t="shared" si="79"/>
        <v>0</v>
      </c>
      <c r="M201" s="10">
        <f t="shared" si="99"/>
        <v>6.0590138118420462</v>
      </c>
      <c r="N201" s="10">
        <f t="shared" si="80"/>
        <v>17.20418640980624</v>
      </c>
      <c r="O201" s="10">
        <f t="shared" si="81"/>
        <v>-0.14810000000000001</v>
      </c>
      <c r="P201" s="10">
        <f t="shared" si="100"/>
        <v>13.175296937033897</v>
      </c>
      <c r="Q201" s="45">
        <f t="shared" si="101"/>
        <v>0.44596172832800757</v>
      </c>
      <c r="R201" s="4">
        <f t="shared" si="102"/>
        <v>1268369.8325928093</v>
      </c>
      <c r="S201">
        <f t="shared" si="82"/>
        <v>1.2683698325928092E-3</v>
      </c>
      <c r="T201" s="44">
        <f t="shared" si="83"/>
        <v>8.0802656188919456E-4</v>
      </c>
      <c r="U201" s="45">
        <f t="shared" si="103"/>
        <v>2.2641035696697944</v>
      </c>
      <c r="V201" s="45">
        <f t="shared" si="104"/>
        <v>1.5032919500441444</v>
      </c>
      <c r="W201" s="45">
        <f t="shared" si="105"/>
        <v>1.4843528406648479</v>
      </c>
      <c r="X201" s="45">
        <f t="shared" si="106"/>
        <v>1.8939109379296548E-2</v>
      </c>
      <c r="Y201" s="45">
        <f t="shared" si="89"/>
        <v>1.5127656841692495E-2</v>
      </c>
      <c r="Z201" s="10">
        <f t="shared" si="107"/>
        <v>18.721732125146357</v>
      </c>
      <c r="AA201">
        <f t="shared" si="84"/>
        <v>6061807.5248306058</v>
      </c>
      <c r="AB201" s="10">
        <f t="shared" si="85"/>
        <v>6.0618075248306056</v>
      </c>
      <c r="AC201" s="10">
        <f t="shared" si="86"/>
        <v>5.9608075248306056</v>
      </c>
      <c r="AD201" s="3">
        <f t="shared" si="87"/>
        <v>864.51160621183556</v>
      </c>
      <c r="AI201" s="100">
        <f t="shared" si="88"/>
        <v>1.4843528406648479</v>
      </c>
    </row>
    <row r="202" spans="2:35">
      <c r="B202" s="39">
        <f t="shared" si="90"/>
        <v>174</v>
      </c>
      <c r="C202" s="45">
        <f t="shared" si="91"/>
        <v>5.11151079136667</v>
      </c>
      <c r="D202" s="10">
        <f t="shared" si="92"/>
        <v>19.388489208633473</v>
      </c>
      <c r="E202" s="40">
        <f t="shared" si="93"/>
        <v>30.223021582733054</v>
      </c>
      <c r="F202" s="40">
        <f t="shared" si="94"/>
        <v>69</v>
      </c>
      <c r="G202" s="3">
        <f t="shared" si="95"/>
        <v>419.10791366906778</v>
      </c>
      <c r="H202" s="3">
        <f t="shared" si="96"/>
        <v>221.47275588995251</v>
      </c>
      <c r="I202">
        <f t="shared" si="78"/>
        <v>2.214727558899525E-4</v>
      </c>
      <c r="J202" s="4">
        <f t="shared" si="97"/>
        <v>1395.9910693474876</v>
      </c>
      <c r="K202" s="40">
        <f t="shared" si="98"/>
        <v>6.3032180357259877</v>
      </c>
      <c r="L202" s="40">
        <f t="shared" si="79"/>
        <v>0</v>
      </c>
      <c r="M202" s="10">
        <f t="shared" si="99"/>
        <v>6.0618075248306056</v>
      </c>
      <c r="N202" s="10">
        <f t="shared" si="80"/>
        <v>17.20418640980624</v>
      </c>
      <c r="O202" s="10">
        <f t="shared" si="81"/>
        <v>-0.14810000000000001</v>
      </c>
      <c r="P202" s="10">
        <f t="shared" si="100"/>
        <v>13.174397480074839</v>
      </c>
      <c r="Q202" s="45">
        <f t="shared" si="101"/>
        <v>0.44819154558115992</v>
      </c>
      <c r="R202" s="4">
        <f t="shared" si="102"/>
        <v>1266491.1397683732</v>
      </c>
      <c r="S202">
        <f t="shared" si="82"/>
        <v>1.2664911397683733E-3</v>
      </c>
      <c r="T202" s="44">
        <f t="shared" si="83"/>
        <v>8.0990525471363048E-4</v>
      </c>
      <c r="U202" s="45">
        <f t="shared" si="103"/>
        <v>2.2607500090435346</v>
      </c>
      <c r="V202" s="45">
        <f t="shared" si="104"/>
        <v>1.5039620944356658</v>
      </c>
      <c r="W202" s="45">
        <f t="shared" si="105"/>
        <v>1.4850488537896123</v>
      </c>
      <c r="X202" s="45">
        <f t="shared" si="106"/>
        <v>1.8913240646053486E-2</v>
      </c>
      <c r="Y202" s="45">
        <f t="shared" si="89"/>
        <v>1.5169829911998087E-2</v>
      </c>
      <c r="Z202" s="10">
        <f t="shared" si="107"/>
        <v>18.730375959052019</v>
      </c>
      <c r="AA202">
        <f t="shared" si="84"/>
        <v>6064559.6329071363</v>
      </c>
      <c r="AB202" s="10">
        <f t="shared" si="85"/>
        <v>6.0645596329071365</v>
      </c>
      <c r="AC202" s="10">
        <f t="shared" si="86"/>
        <v>5.9635596329071365</v>
      </c>
      <c r="AD202" s="3">
        <f t="shared" si="87"/>
        <v>864.91075169066517</v>
      </c>
      <c r="AI202" s="100">
        <f t="shared" si="88"/>
        <v>1.4850488537896123</v>
      </c>
    </row>
    <row r="203" spans="2:35">
      <c r="B203" s="39">
        <f t="shared" si="90"/>
        <v>175</v>
      </c>
      <c r="C203" s="45">
        <f t="shared" si="91"/>
        <v>5.1408872901676279</v>
      </c>
      <c r="D203" s="10">
        <f t="shared" si="92"/>
        <v>19.359112709832516</v>
      </c>
      <c r="E203" s="40">
        <f t="shared" si="93"/>
        <v>30.281774580334968</v>
      </c>
      <c r="F203" s="40">
        <f t="shared" si="94"/>
        <v>69</v>
      </c>
      <c r="G203" s="3">
        <f t="shared" si="95"/>
        <v>418.87290167866013</v>
      </c>
      <c r="H203" s="3">
        <f t="shared" si="96"/>
        <v>221.47275588995251</v>
      </c>
      <c r="I203">
        <f t="shared" si="78"/>
        <v>2.214727558899525E-4</v>
      </c>
      <c r="J203" s="4">
        <f t="shared" si="97"/>
        <v>1398.783032696861</v>
      </c>
      <c r="K203" s="40">
        <f t="shared" si="98"/>
        <v>6.3158243869593678</v>
      </c>
      <c r="L203" s="40">
        <f t="shared" si="79"/>
        <v>0</v>
      </c>
      <c r="M203" s="10">
        <f t="shared" si="99"/>
        <v>6.0645596329071365</v>
      </c>
      <c r="N203" s="10">
        <f t="shared" si="80"/>
        <v>17.20418640980624</v>
      </c>
      <c r="O203" s="10">
        <f t="shared" si="81"/>
        <v>-0.14810000000000001</v>
      </c>
      <c r="P203" s="10">
        <f t="shared" si="100"/>
        <v>13.173511883357738</v>
      </c>
      <c r="Q203" s="45">
        <f t="shared" si="101"/>
        <v>0.45042151273502645</v>
      </c>
      <c r="R203" s="4">
        <f t="shared" si="102"/>
        <v>1264611.4854494</v>
      </c>
      <c r="S203">
        <f t="shared" si="82"/>
        <v>1.2646114854494E-3</v>
      </c>
      <c r="T203" s="44">
        <f t="shared" si="83"/>
        <v>8.1178490903260382E-4</v>
      </c>
      <c r="U203" s="45">
        <f t="shared" si="103"/>
        <v>2.2573947321014516</v>
      </c>
      <c r="V203" s="45">
        <f t="shared" si="104"/>
        <v>1.5046306562252907</v>
      </c>
      <c r="W203" s="45">
        <f t="shared" si="105"/>
        <v>1.4857345016531831</v>
      </c>
      <c r="X203" s="45">
        <f t="shared" si="106"/>
        <v>1.8896154572107582E-2</v>
      </c>
      <c r="Y203" s="45">
        <f t="shared" si="89"/>
        <v>1.5211967716028273E-2</v>
      </c>
      <c r="Z203" s="10">
        <f t="shared" si="107"/>
        <v>18.738914146798106</v>
      </c>
      <c r="AA203">
        <f t="shared" si="84"/>
        <v>6067278.104329817</v>
      </c>
      <c r="AB203" s="10">
        <f t="shared" si="85"/>
        <v>6.0672781043298167</v>
      </c>
      <c r="AC203" s="10">
        <f t="shared" si="86"/>
        <v>5.9662781043298168</v>
      </c>
      <c r="AD203" s="3">
        <f t="shared" si="87"/>
        <v>865.30501875704385</v>
      </c>
      <c r="AI203" s="100">
        <f t="shared" si="88"/>
        <v>1.4857345016531831</v>
      </c>
    </row>
    <row r="204" spans="2:35">
      <c r="B204" s="39">
        <f t="shared" si="90"/>
        <v>176</v>
      </c>
      <c r="C204" s="45">
        <f t="shared" si="91"/>
        <v>5.1702637889685858</v>
      </c>
      <c r="D204" s="10">
        <f t="shared" si="92"/>
        <v>19.329736211031559</v>
      </c>
      <c r="E204" s="40">
        <f t="shared" si="93"/>
        <v>30.340527577936882</v>
      </c>
      <c r="F204" s="40">
        <f t="shared" si="94"/>
        <v>69</v>
      </c>
      <c r="G204" s="3">
        <f t="shared" si="95"/>
        <v>418.63788968825247</v>
      </c>
      <c r="H204" s="3">
        <f t="shared" si="96"/>
        <v>221.47275588995251</v>
      </c>
      <c r="I204">
        <f t="shared" si="78"/>
        <v>2.214727558899525E-4</v>
      </c>
      <c r="J204" s="4">
        <f t="shared" si="97"/>
        <v>1401.5804183012078</v>
      </c>
      <c r="K204" s="40">
        <f t="shared" si="98"/>
        <v>6.3284552209105049</v>
      </c>
      <c r="L204" s="40">
        <f t="shared" si="79"/>
        <v>0</v>
      </c>
      <c r="M204" s="10">
        <f t="shared" si="99"/>
        <v>6.0672781043298167</v>
      </c>
      <c r="N204" s="10">
        <f t="shared" si="80"/>
        <v>17.20418640980624</v>
      </c>
      <c r="O204" s="10">
        <f t="shared" si="81"/>
        <v>-0.14810000000000001</v>
      </c>
      <c r="P204" s="10">
        <f t="shared" si="100"/>
        <v>13.172637563392751</v>
      </c>
      <c r="Q204" s="45">
        <f t="shared" si="101"/>
        <v>0.45265162790061758</v>
      </c>
      <c r="R204" s="4">
        <f t="shared" si="102"/>
        <v>1262730.8734587752</v>
      </c>
      <c r="S204">
        <f t="shared" si="82"/>
        <v>1.2627308734587752E-3</v>
      </c>
      <c r="T204" s="44">
        <f t="shared" si="83"/>
        <v>8.1366552102322856E-4</v>
      </c>
      <c r="U204" s="45">
        <f t="shared" si="103"/>
        <v>2.2540377456675866</v>
      </c>
      <c r="V204" s="45">
        <f t="shared" si="104"/>
        <v>1.5052973432316556</v>
      </c>
      <c r="W204" s="45">
        <f t="shared" si="105"/>
        <v>1.4864117694316668</v>
      </c>
      <c r="X204" s="45">
        <f t="shared" si="106"/>
        <v>1.8885573799988897E-2</v>
      </c>
      <c r="Y204" s="45">
        <f t="shared" si="89"/>
        <v>1.5254084720570519E-2</v>
      </c>
      <c r="Z204" s="10">
        <f t="shared" si="107"/>
        <v>18.747365258131719</v>
      </c>
      <c r="AA204">
        <f t="shared" si="84"/>
        <v>6069968.8515157001</v>
      </c>
      <c r="AB204" s="10">
        <f t="shared" si="85"/>
        <v>6.0699688515157</v>
      </c>
      <c r="AC204" s="10">
        <f t="shared" si="86"/>
        <v>5.9689688515157</v>
      </c>
      <c r="AD204" s="3">
        <f t="shared" si="87"/>
        <v>865.69526490438</v>
      </c>
      <c r="AI204" s="100">
        <f t="shared" si="88"/>
        <v>1.4864117694316668</v>
      </c>
    </row>
    <row r="205" spans="2:35">
      <c r="B205" s="39">
        <f t="shared" si="90"/>
        <v>177</v>
      </c>
      <c r="C205" s="45">
        <f t="shared" si="91"/>
        <v>5.1996402877695438</v>
      </c>
      <c r="D205" s="10">
        <f t="shared" si="92"/>
        <v>19.300359712230602</v>
      </c>
      <c r="E205" s="40">
        <f t="shared" si="93"/>
        <v>30.399280575538796</v>
      </c>
      <c r="F205" s="40">
        <f t="shared" si="94"/>
        <v>69</v>
      </c>
      <c r="G205" s="3">
        <f t="shared" si="95"/>
        <v>418.40287769784481</v>
      </c>
      <c r="H205" s="3">
        <f t="shared" si="96"/>
        <v>221.47275588995251</v>
      </c>
      <c r="I205">
        <f t="shared" si="78"/>
        <v>2.214727558899525E-4</v>
      </c>
      <c r="J205" s="4">
        <f t="shared" si="97"/>
        <v>1404.3832261605289</v>
      </c>
      <c r="K205" s="40">
        <f t="shared" si="98"/>
        <v>6.3411105375794046</v>
      </c>
      <c r="L205" s="40">
        <f t="shared" si="79"/>
        <v>0</v>
      </c>
      <c r="M205" s="10">
        <f t="shared" si="99"/>
        <v>6.0699688515157</v>
      </c>
      <c r="N205" s="10">
        <f t="shared" si="80"/>
        <v>17.20418640980624</v>
      </c>
      <c r="O205" s="10">
        <f t="shared" si="81"/>
        <v>-0.14810000000000001</v>
      </c>
      <c r="P205" s="10">
        <f t="shared" si="100"/>
        <v>13.171772602940523</v>
      </c>
      <c r="Q205" s="45">
        <f t="shared" si="101"/>
        <v>0.45488188951281694</v>
      </c>
      <c r="R205" s="4">
        <f t="shared" si="102"/>
        <v>1260849.3076193831</v>
      </c>
      <c r="S205">
        <f t="shared" si="82"/>
        <v>1.2608493076193832E-3</v>
      </c>
      <c r="T205" s="44">
        <f t="shared" si="83"/>
        <v>8.1554708686262063E-4</v>
      </c>
      <c r="U205" s="45">
        <f t="shared" si="103"/>
        <v>2.2506790565659798</v>
      </c>
      <c r="V205" s="45">
        <f t="shared" si="104"/>
        <v>1.5059619388304453</v>
      </c>
      <c r="W205" s="45">
        <f t="shared" si="105"/>
        <v>1.4870821301181323</v>
      </c>
      <c r="X205" s="45">
        <f t="shared" si="106"/>
        <v>1.8879808712312984E-2</v>
      </c>
      <c r="Y205" s="45">
        <f t="shared" si="89"/>
        <v>1.5296191633187258E-2</v>
      </c>
      <c r="Z205" s="10">
        <f t="shared" si="107"/>
        <v>18.75574308288089</v>
      </c>
      <c r="AA205">
        <f t="shared" si="84"/>
        <v>6072636.2650046209</v>
      </c>
      <c r="AB205" s="10">
        <f t="shared" si="85"/>
        <v>6.0726362650046211</v>
      </c>
      <c r="AC205" s="10">
        <f t="shared" si="86"/>
        <v>5.9716362650046211</v>
      </c>
      <c r="AD205" s="3">
        <f t="shared" si="87"/>
        <v>866.08212690422351</v>
      </c>
      <c r="AI205" s="100">
        <f t="shared" si="88"/>
        <v>1.4870821301181323</v>
      </c>
    </row>
    <row r="206" spans="2:35">
      <c r="B206" s="39">
        <f t="shared" si="90"/>
        <v>178</v>
      </c>
      <c r="C206" s="45">
        <f t="shared" si="91"/>
        <v>5.2290167865705017</v>
      </c>
      <c r="D206" s="10">
        <f t="shared" si="92"/>
        <v>19.270983213429645</v>
      </c>
      <c r="E206" s="40">
        <f t="shared" si="93"/>
        <v>30.45803357314071</v>
      </c>
      <c r="F206" s="40">
        <f t="shared" si="94"/>
        <v>69</v>
      </c>
      <c r="G206" s="3">
        <f t="shared" si="95"/>
        <v>418.16786570743716</v>
      </c>
      <c r="H206" s="3">
        <f t="shared" si="96"/>
        <v>221.47275588995251</v>
      </c>
      <c r="I206">
        <f t="shared" si="78"/>
        <v>2.214727558899525E-4</v>
      </c>
      <c r="J206" s="4">
        <f t="shared" si="97"/>
        <v>1407.1914562748238</v>
      </c>
      <c r="K206" s="40">
        <f t="shared" si="98"/>
        <v>6.3537903369660622</v>
      </c>
      <c r="L206" s="40">
        <f t="shared" si="79"/>
        <v>0</v>
      </c>
      <c r="M206" s="10">
        <f t="shared" si="99"/>
        <v>6.0726362650046211</v>
      </c>
      <c r="N206" s="10">
        <f t="shared" si="80"/>
        <v>17.20418640980624</v>
      </c>
      <c r="O206" s="10">
        <f t="shared" si="81"/>
        <v>-0.14810000000000001</v>
      </c>
      <c r="P206" s="10">
        <f t="shared" si="100"/>
        <v>13.170915577670197</v>
      </c>
      <c r="Q206" s="45">
        <f t="shared" si="101"/>
        <v>0.45711229624708849</v>
      </c>
      <c r="R206" s="4">
        <f t="shared" si="102"/>
        <v>1258966.7917541089</v>
      </c>
      <c r="S206">
        <f t="shared" si="82"/>
        <v>1.2589667917541089E-3</v>
      </c>
      <c r="T206" s="44">
        <f t="shared" si="83"/>
        <v>8.1742960272789488E-4</v>
      </c>
      <c r="U206" s="45">
        <f t="shared" si="103"/>
        <v>2.2473186716206719</v>
      </c>
      <c r="V206" s="45">
        <f t="shared" si="104"/>
        <v>1.5066242823219331</v>
      </c>
      <c r="W206" s="45">
        <f t="shared" si="105"/>
        <v>1.487746677551983</v>
      </c>
      <c r="X206" s="45">
        <f t="shared" si="106"/>
        <v>1.8877604769950151E-2</v>
      </c>
      <c r="Y206" s="45">
        <f t="shared" si="89"/>
        <v>1.5338296369993072E-2</v>
      </c>
      <c r="Z206" s="10">
        <f t="shared" si="107"/>
        <v>18.76405786970119</v>
      </c>
      <c r="AA206">
        <f t="shared" si="84"/>
        <v>6075283.6078634169</v>
      </c>
      <c r="AB206" s="10">
        <f t="shared" si="85"/>
        <v>6.0752836078634171</v>
      </c>
      <c r="AC206" s="10">
        <f t="shared" si="86"/>
        <v>5.9742836078634172</v>
      </c>
      <c r="AD206" s="3">
        <f t="shared" si="87"/>
        <v>866.46607800774723</v>
      </c>
      <c r="AI206" s="100">
        <f t="shared" si="88"/>
        <v>1.487746677551983</v>
      </c>
    </row>
    <row r="207" spans="2:35">
      <c r="B207" s="39">
        <f t="shared" si="90"/>
        <v>179</v>
      </c>
      <c r="C207" s="45">
        <f t="shared" si="91"/>
        <v>5.2583932853714597</v>
      </c>
      <c r="D207" s="10">
        <f t="shared" si="92"/>
        <v>19.241606714628688</v>
      </c>
      <c r="E207" s="40">
        <f t="shared" si="93"/>
        <v>30.516786570742624</v>
      </c>
      <c r="F207" s="40">
        <f t="shared" si="94"/>
        <v>69</v>
      </c>
      <c r="G207" s="3">
        <f t="shared" si="95"/>
        <v>417.9328537170295</v>
      </c>
      <c r="H207" s="3">
        <f t="shared" si="96"/>
        <v>221.47275588995251</v>
      </c>
      <c r="I207">
        <f t="shared" si="78"/>
        <v>2.214727558899525E-4</v>
      </c>
      <c r="J207" s="4">
        <f t="shared" si="97"/>
        <v>1410.0051086440922</v>
      </c>
      <c r="K207" s="40">
        <f t="shared" si="98"/>
        <v>6.3664946190704779</v>
      </c>
      <c r="L207" s="40">
        <f t="shared" si="79"/>
        <v>0</v>
      </c>
      <c r="M207" s="10">
        <f t="shared" si="99"/>
        <v>6.0752836078634171</v>
      </c>
      <c r="N207" s="10">
        <f t="shared" si="80"/>
        <v>17.20418640980624</v>
      </c>
      <c r="O207" s="10">
        <f t="shared" si="81"/>
        <v>-0.14810000000000001</v>
      </c>
      <c r="P207" s="10">
        <f t="shared" si="100"/>
        <v>13.17006542821195</v>
      </c>
      <c r="Q207" s="45">
        <f t="shared" si="101"/>
        <v>0.45934284695779565</v>
      </c>
      <c r="R207" s="4">
        <f t="shared" si="102"/>
        <v>1257083.3296858373</v>
      </c>
      <c r="S207">
        <f t="shared" si="82"/>
        <v>1.2570833296858372E-3</v>
      </c>
      <c r="T207" s="44">
        <f t="shared" si="83"/>
        <v>8.193130647961666E-4</v>
      </c>
      <c r="U207" s="45">
        <f t="shared" si="103"/>
        <v>2.2439565976557039</v>
      </c>
      <c r="V207" s="45">
        <f t="shared" si="104"/>
        <v>1.5072842544351426</v>
      </c>
      <c r="W207" s="45">
        <f t="shared" si="105"/>
        <v>1.488406224679057</v>
      </c>
      <c r="X207" s="45">
        <f t="shared" si="106"/>
        <v>1.8878029756085546E-2</v>
      </c>
      <c r="Y207" s="45">
        <f t="shared" si="89"/>
        <v>1.538040477268226E-2</v>
      </c>
      <c r="Z207" s="10">
        <f t="shared" si="107"/>
        <v>18.77231724177215</v>
      </c>
      <c r="AA207">
        <f t="shared" si="84"/>
        <v>6077913.3072342789</v>
      </c>
      <c r="AB207" s="10">
        <f t="shared" si="85"/>
        <v>6.0779133072342786</v>
      </c>
      <c r="AC207" s="10">
        <f t="shared" si="86"/>
        <v>5.9769133072342786</v>
      </c>
      <c r="AD207" s="3">
        <f t="shared" si="87"/>
        <v>866.84747022977217</v>
      </c>
      <c r="AI207" s="100">
        <f t="shared" si="88"/>
        <v>1.488406224679057</v>
      </c>
    </row>
    <row r="208" spans="2:35">
      <c r="B208" s="39">
        <f t="shared" si="90"/>
        <v>180</v>
      </c>
      <c r="C208" s="45">
        <f t="shared" si="91"/>
        <v>5.2877697841724176</v>
      </c>
      <c r="D208" s="10">
        <f t="shared" si="92"/>
        <v>19.212230215827731</v>
      </c>
      <c r="E208" s="40">
        <f t="shared" si="93"/>
        <v>30.575539568344539</v>
      </c>
      <c r="F208" s="40">
        <f t="shared" si="94"/>
        <v>69</v>
      </c>
      <c r="G208" s="3">
        <f t="shared" si="95"/>
        <v>417.69784172662185</v>
      </c>
      <c r="H208" s="3">
        <f t="shared" si="96"/>
        <v>221.47275588995251</v>
      </c>
      <c r="I208">
        <f t="shared" si="78"/>
        <v>2.214727558899525E-4</v>
      </c>
      <c r="J208" s="4">
        <f t="shared" si="97"/>
        <v>1412.8241832683352</v>
      </c>
      <c r="K208" s="40">
        <f t="shared" si="98"/>
        <v>6.3792233838926569</v>
      </c>
      <c r="L208" s="40">
        <f t="shared" si="79"/>
        <v>0</v>
      </c>
      <c r="M208" s="10">
        <f t="shared" si="99"/>
        <v>6.0779133072342786</v>
      </c>
      <c r="N208" s="10">
        <f t="shared" si="80"/>
        <v>17.20418640980624</v>
      </c>
      <c r="O208" s="10">
        <f t="shared" si="81"/>
        <v>-0.14810000000000001</v>
      </c>
      <c r="P208" s="10">
        <f t="shared" si="100"/>
        <v>13.169221365637831</v>
      </c>
      <c r="Q208" s="45">
        <f t="shared" si="101"/>
        <v>0.46157354063248845</v>
      </c>
      <c r="R208" s="4">
        <f t="shared" si="102"/>
        <v>1255198.9252374526</v>
      </c>
      <c r="S208">
        <f t="shared" si="82"/>
        <v>1.2551989252374525E-3</v>
      </c>
      <c r="T208" s="44">
        <f t="shared" si="83"/>
        <v>8.2119746924455127E-4</v>
      </c>
      <c r="U208" s="45">
        <f t="shared" si="103"/>
        <v>2.2405928414951148</v>
      </c>
      <c r="V208" s="45">
        <f t="shared" si="104"/>
        <v>1.5079417666131438</v>
      </c>
      <c r="W208" s="45">
        <f t="shared" si="105"/>
        <v>1.4890613761866744</v>
      </c>
      <c r="X208" s="45">
        <f t="shared" si="106"/>
        <v>1.8880390426469384E-2</v>
      </c>
      <c r="Y208" s="45">
        <f t="shared" si="89"/>
        <v>1.5422521140182317E-2</v>
      </c>
      <c r="Z208" s="10">
        <f t="shared" si="107"/>
        <v>18.780526874212171</v>
      </c>
      <c r="AA208">
        <f t="shared" si="84"/>
        <v>6080527.1700167106</v>
      </c>
      <c r="AB208" s="10">
        <f t="shared" si="85"/>
        <v>6.0805271700167109</v>
      </c>
      <c r="AC208" s="10">
        <f t="shared" si="86"/>
        <v>5.979527170016711</v>
      </c>
      <c r="AD208" s="3">
        <f t="shared" si="87"/>
        <v>867.22656562968973</v>
      </c>
      <c r="AI208" s="100">
        <f t="shared" si="88"/>
        <v>1.4890613761866744</v>
      </c>
    </row>
    <row r="209" spans="2:35">
      <c r="B209" s="39">
        <f t="shared" si="90"/>
        <v>181</v>
      </c>
      <c r="C209" s="45">
        <f t="shared" si="91"/>
        <v>5.3171462829733755</v>
      </c>
      <c r="D209" s="10">
        <f t="shared" si="92"/>
        <v>19.182853717026774</v>
      </c>
      <c r="E209" s="40">
        <f t="shared" si="93"/>
        <v>30.634292565946453</v>
      </c>
      <c r="F209" s="40">
        <f t="shared" si="94"/>
        <v>69</v>
      </c>
      <c r="G209" s="3">
        <f t="shared" si="95"/>
        <v>417.46282973621419</v>
      </c>
      <c r="H209" s="3">
        <f t="shared" si="96"/>
        <v>221.47275588995251</v>
      </c>
      <c r="I209">
        <f t="shared" si="78"/>
        <v>2.214727558899525E-4</v>
      </c>
      <c r="J209" s="4">
        <f t="shared" si="97"/>
        <v>1415.6486801475517</v>
      </c>
      <c r="K209" s="40">
        <f t="shared" si="98"/>
        <v>6.391976631432593</v>
      </c>
      <c r="L209" s="40">
        <f t="shared" si="79"/>
        <v>0</v>
      </c>
      <c r="M209" s="10">
        <f t="shared" si="99"/>
        <v>6.0805271700167109</v>
      </c>
      <c r="N209" s="10">
        <f t="shared" si="80"/>
        <v>17.20418640980624</v>
      </c>
      <c r="O209" s="10">
        <f t="shared" si="81"/>
        <v>-0.14810000000000001</v>
      </c>
      <c r="P209" s="10">
        <f t="shared" si="100"/>
        <v>13.168382801580945</v>
      </c>
      <c r="Q209" s="45">
        <f t="shared" si="101"/>
        <v>0.46380437635799843</v>
      </c>
      <c r="R209" s="4">
        <f t="shared" si="102"/>
        <v>1253313.5822318406</v>
      </c>
      <c r="S209">
        <f t="shared" si="82"/>
        <v>1.2533135822318407E-3</v>
      </c>
      <c r="T209" s="44">
        <f t="shared" si="83"/>
        <v>8.2308281225016312E-4</v>
      </c>
      <c r="U209" s="45">
        <f t="shared" si="103"/>
        <v>2.237227409962947</v>
      </c>
      <c r="V209" s="45">
        <f t="shared" si="104"/>
        <v>1.5085967530838684</v>
      </c>
      <c r="W209" s="45">
        <f t="shared" si="105"/>
        <v>1.489712582237674</v>
      </c>
      <c r="X209" s="45">
        <f t="shared" si="106"/>
        <v>1.8884170846194426E-2</v>
      </c>
      <c r="Y209" s="45">
        <f t="shared" si="89"/>
        <v>1.5464648623152642E-2</v>
      </c>
      <c r="Z209" s="10">
        <f t="shared" si="107"/>
        <v>18.788690995593775</v>
      </c>
      <c r="AA209">
        <f t="shared" si="84"/>
        <v>6083126.5425448399</v>
      </c>
      <c r="AB209" s="10">
        <f t="shared" si="85"/>
        <v>6.0831265425448402</v>
      </c>
      <c r="AC209" s="10">
        <f t="shared" si="86"/>
        <v>5.9821265425448402</v>
      </c>
      <c r="AD209" s="3">
        <f t="shared" si="87"/>
        <v>867.6035594698825</v>
      </c>
      <c r="AI209" s="100">
        <f t="shared" si="88"/>
        <v>1.489712582237674</v>
      </c>
    </row>
    <row r="210" spans="2:35">
      <c r="B210" s="39">
        <f t="shared" si="90"/>
        <v>182</v>
      </c>
      <c r="C210" s="45">
        <f t="shared" si="91"/>
        <v>5.3465227817743335</v>
      </c>
      <c r="D210" s="10">
        <f t="shared" si="92"/>
        <v>19.153477218225817</v>
      </c>
      <c r="E210" s="40">
        <f t="shared" si="93"/>
        <v>30.693045563548367</v>
      </c>
      <c r="F210" s="40">
        <f t="shared" si="94"/>
        <v>69</v>
      </c>
      <c r="G210" s="3">
        <f t="shared" si="95"/>
        <v>417.22781774580653</v>
      </c>
      <c r="H210" s="3">
        <f t="shared" si="96"/>
        <v>221.47275588995251</v>
      </c>
      <c r="I210">
        <f t="shared" si="78"/>
        <v>2.214727558899525E-4</v>
      </c>
      <c r="J210" s="4">
        <f t="shared" si="97"/>
        <v>1418.4785992817419</v>
      </c>
      <c r="K210" s="40">
        <f t="shared" si="98"/>
        <v>6.4047543616902889</v>
      </c>
      <c r="L210" s="40">
        <f t="shared" si="79"/>
        <v>0</v>
      </c>
      <c r="M210" s="10">
        <f t="shared" si="99"/>
        <v>6.0831265425448402</v>
      </c>
      <c r="N210" s="10">
        <f t="shared" si="80"/>
        <v>17.20418640980624</v>
      </c>
      <c r="O210" s="10">
        <f t="shared" si="81"/>
        <v>-0.14810000000000001</v>
      </c>
      <c r="P210" s="10">
        <f t="shared" si="100"/>
        <v>13.167549296530296</v>
      </c>
      <c r="Q210" s="45">
        <f t="shared" si="101"/>
        <v>0.4660353532952709</v>
      </c>
      <c r="R210" s="4">
        <f t="shared" si="102"/>
        <v>1251427.3044918852</v>
      </c>
      <c r="S210">
        <f t="shared" si="82"/>
        <v>1.2514273044918853E-3</v>
      </c>
      <c r="T210" s="44">
        <f t="shared" si="83"/>
        <v>8.2496908999011849E-4</v>
      </c>
      <c r="U210" s="45">
        <f t="shared" si="103"/>
        <v>2.2338603098832395</v>
      </c>
      <c r="V210" s="45">
        <f t="shared" si="104"/>
        <v>1.5092491649976629</v>
      </c>
      <c r="W210" s="45">
        <f t="shared" si="105"/>
        <v>1.4903601782517022</v>
      </c>
      <c r="X210" s="45">
        <f t="shared" si="106"/>
        <v>1.8888986745960734E-2</v>
      </c>
      <c r="Y210" s="45">
        <f t="shared" si="89"/>
        <v>1.5506789516951325E-2</v>
      </c>
      <c r="Z210" s="10">
        <f t="shared" si="107"/>
        <v>18.796812759538742</v>
      </c>
      <c r="AA210">
        <f t="shared" si="84"/>
        <v>6085712.4288995024</v>
      </c>
      <c r="AB210" s="10">
        <f t="shared" si="85"/>
        <v>6.0857124288995026</v>
      </c>
      <c r="AC210" s="10">
        <f t="shared" si="86"/>
        <v>5.9847124288995026</v>
      </c>
      <c r="AD210" s="3">
        <f t="shared" si="87"/>
        <v>867.97859737483714</v>
      </c>
      <c r="AI210" s="100">
        <f t="shared" si="88"/>
        <v>1.4903601782517022</v>
      </c>
    </row>
    <row r="211" spans="2:35">
      <c r="B211" s="39">
        <f t="shared" si="90"/>
        <v>183</v>
      </c>
      <c r="C211" s="45">
        <f t="shared" si="91"/>
        <v>5.3758992805752914</v>
      </c>
      <c r="D211" s="10">
        <f t="shared" si="92"/>
        <v>19.12410071942486</v>
      </c>
      <c r="E211" s="40">
        <f t="shared" si="93"/>
        <v>30.751798561150281</v>
      </c>
      <c r="F211" s="40">
        <f t="shared" si="94"/>
        <v>69</v>
      </c>
      <c r="G211" s="3">
        <f t="shared" si="95"/>
        <v>416.99280575539888</v>
      </c>
      <c r="H211" s="3">
        <f t="shared" si="96"/>
        <v>221.47275588995251</v>
      </c>
      <c r="I211">
        <f t="shared" si="78"/>
        <v>2.214727558899525E-4</v>
      </c>
      <c r="J211" s="4">
        <f t="shared" si="97"/>
        <v>1421.313940670906</v>
      </c>
      <c r="K211" s="40">
        <f t="shared" si="98"/>
        <v>6.4175565746657437</v>
      </c>
      <c r="L211" s="40">
        <f t="shared" si="79"/>
        <v>0</v>
      </c>
      <c r="M211" s="10">
        <f t="shared" si="99"/>
        <v>6.0857124288995026</v>
      </c>
      <c r="N211" s="10">
        <f t="shared" si="80"/>
        <v>17.20418640980624</v>
      </c>
      <c r="O211" s="10">
        <f t="shared" si="81"/>
        <v>-0.14810000000000001</v>
      </c>
      <c r="P211" s="10">
        <f t="shared" si="100"/>
        <v>13.166720521541617</v>
      </c>
      <c r="Q211" s="45">
        <f t="shared" si="101"/>
        <v>0.46826647066066923</v>
      </c>
      <c r="R211" s="4">
        <f t="shared" si="102"/>
        <v>1249540.0958404718</v>
      </c>
      <c r="S211">
        <f t="shared" si="82"/>
        <v>1.2495400958404718E-3</v>
      </c>
      <c r="T211" s="44">
        <f t="shared" si="83"/>
        <v>8.2685629864153202E-4</v>
      </c>
      <c r="U211" s="45">
        <f t="shared" si="103"/>
        <v>2.230491548080034</v>
      </c>
      <c r="V211" s="45">
        <f t="shared" si="104"/>
        <v>1.509898966074342</v>
      </c>
      <c r="W211" s="45">
        <f t="shared" si="105"/>
        <v>1.4910044143809558</v>
      </c>
      <c r="X211" s="45">
        <f t="shared" si="106"/>
        <v>1.8894551693386274E-2</v>
      </c>
      <c r="Y211" s="45">
        <f t="shared" si="89"/>
        <v>1.5548945479345856E-2</v>
      </c>
      <c r="Z211" s="10">
        <f t="shared" si="107"/>
        <v>18.8048945202349</v>
      </c>
      <c r="AA211">
        <f t="shared" si="84"/>
        <v>6088285.5786299603</v>
      </c>
      <c r="AB211" s="10">
        <f t="shared" si="85"/>
        <v>6.0882855786299599</v>
      </c>
      <c r="AC211" s="10">
        <f t="shared" si="86"/>
        <v>5.9872855786299599</v>
      </c>
      <c r="AD211" s="3">
        <f t="shared" si="87"/>
        <v>868.35178805365626</v>
      </c>
      <c r="AI211" s="100">
        <f t="shared" si="88"/>
        <v>1.4910044143809558</v>
      </c>
    </row>
    <row r="212" spans="2:35">
      <c r="B212" s="39">
        <f t="shared" si="90"/>
        <v>184</v>
      </c>
      <c r="C212" s="45">
        <f t="shared" si="91"/>
        <v>5.4052757793762494</v>
      </c>
      <c r="D212" s="10">
        <f t="shared" si="92"/>
        <v>19.094724220623903</v>
      </c>
      <c r="E212" s="40">
        <f t="shared" si="93"/>
        <v>30.810551558752195</v>
      </c>
      <c r="F212" s="40">
        <f t="shared" si="94"/>
        <v>69</v>
      </c>
      <c r="G212" s="3">
        <f t="shared" si="95"/>
        <v>416.75779376499122</v>
      </c>
      <c r="H212" s="3">
        <f t="shared" si="96"/>
        <v>221.47275588995251</v>
      </c>
      <c r="I212">
        <f t="shared" si="78"/>
        <v>2.214727558899525E-4</v>
      </c>
      <c r="J212" s="4">
        <f t="shared" si="97"/>
        <v>1424.1547043150445</v>
      </c>
      <c r="K212" s="40">
        <f t="shared" si="98"/>
        <v>6.4303832703589601</v>
      </c>
      <c r="L212" s="40">
        <f t="shared" si="79"/>
        <v>0</v>
      </c>
      <c r="M212" s="10">
        <f t="shared" si="99"/>
        <v>6.0882855786299599</v>
      </c>
      <c r="N212" s="10">
        <f t="shared" si="80"/>
        <v>17.20418640980624</v>
      </c>
      <c r="O212" s="10">
        <f t="shared" si="81"/>
        <v>-0.14810000000000001</v>
      </c>
      <c r="P212" s="10">
        <f t="shared" si="100"/>
        <v>13.165896229863602</v>
      </c>
      <c r="Q212" s="45">
        <f t="shared" si="101"/>
        <v>0.47049772771207488</v>
      </c>
      <c r="R212" s="4">
        <f t="shared" si="102"/>
        <v>1247651.9601004848</v>
      </c>
      <c r="S212">
        <f t="shared" si="82"/>
        <v>1.2476519601004848E-3</v>
      </c>
      <c r="T212" s="44">
        <f t="shared" si="83"/>
        <v>8.28744434381519E-4</v>
      </c>
      <c r="U212" s="45">
        <f t="shared" si="103"/>
        <v>2.2271211313773707</v>
      </c>
      <c r="V212" s="45">
        <f t="shared" si="104"/>
        <v>1.5105461293848097</v>
      </c>
      <c r="W212" s="45">
        <f t="shared" si="105"/>
        <v>1.4916454773647756</v>
      </c>
      <c r="X212" s="45">
        <f t="shared" si="106"/>
        <v>1.8900652020034103E-2</v>
      </c>
      <c r="Y212" s="45">
        <f t="shared" si="89"/>
        <v>1.5591117692441722E-2</v>
      </c>
      <c r="Z212" s="10">
        <f t="shared" si="107"/>
        <v>18.812938036895737</v>
      </c>
      <c r="AA212">
        <f t="shared" si="84"/>
        <v>6090846.5518517504</v>
      </c>
      <c r="AB212" s="10">
        <f t="shared" si="85"/>
        <v>6.0908465518517501</v>
      </c>
      <c r="AC212" s="10">
        <f t="shared" si="86"/>
        <v>5.9898465518517501</v>
      </c>
      <c r="AD212" s="3">
        <f t="shared" si="87"/>
        <v>868.72321274137062</v>
      </c>
      <c r="AI212" s="100">
        <f t="shared" si="88"/>
        <v>1.4916454773647756</v>
      </c>
    </row>
    <row r="213" spans="2:35">
      <c r="B213" s="39">
        <f t="shared" si="90"/>
        <v>185</v>
      </c>
      <c r="C213" s="45">
        <f t="shared" si="91"/>
        <v>5.4346522781772073</v>
      </c>
      <c r="D213" s="10">
        <f t="shared" si="92"/>
        <v>19.065347721822945</v>
      </c>
      <c r="E213" s="40">
        <f t="shared" si="93"/>
        <v>30.869304556354109</v>
      </c>
      <c r="F213" s="40">
        <f t="shared" si="94"/>
        <v>69</v>
      </c>
      <c r="G213" s="3">
        <f t="shared" si="95"/>
        <v>416.52278177458356</v>
      </c>
      <c r="H213" s="3">
        <f t="shared" si="96"/>
        <v>221.47275588995251</v>
      </c>
      <c r="I213">
        <f t="shared" si="78"/>
        <v>2.214727558899525E-4</v>
      </c>
      <c r="J213" s="4">
        <f t="shared" si="97"/>
        <v>1427.0008902141572</v>
      </c>
      <c r="K213" s="40">
        <f t="shared" si="98"/>
        <v>6.443234448769938</v>
      </c>
      <c r="L213" s="40">
        <f t="shared" si="79"/>
        <v>0</v>
      </c>
      <c r="M213" s="10">
        <f t="shared" si="99"/>
        <v>6.0908465518517501</v>
      </c>
      <c r="N213" s="10">
        <f t="shared" si="80"/>
        <v>17.20418640980624</v>
      </c>
      <c r="O213" s="10">
        <f t="shared" si="81"/>
        <v>-0.14810000000000001</v>
      </c>
      <c r="P213" s="10">
        <f t="shared" si="100"/>
        <v>13.165076235893096</v>
      </c>
      <c r="Q213" s="45">
        <f t="shared" si="101"/>
        <v>0.47272912373854575</v>
      </c>
      <c r="R213" s="4">
        <f t="shared" si="102"/>
        <v>1245762.9010948089</v>
      </c>
      <c r="S213">
        <f t="shared" si="82"/>
        <v>1.2457629010948089E-3</v>
      </c>
      <c r="T213" s="44">
        <f t="shared" si="83"/>
        <v>8.3063349338719492E-4</v>
      </c>
      <c r="U213" s="45">
        <f t="shared" si="103"/>
        <v>2.2237490665992889</v>
      </c>
      <c r="V213" s="45">
        <f t="shared" si="104"/>
        <v>1.5111906349564022</v>
      </c>
      <c r="W213" s="45">
        <f t="shared" si="105"/>
        <v>1.4922835067478355</v>
      </c>
      <c r="X213" s="45">
        <f t="shared" si="106"/>
        <v>1.8907128208566659E-2</v>
      </c>
      <c r="Y213" s="45">
        <f t="shared" si="89"/>
        <v>1.5633306983198293E-2</v>
      </c>
      <c r="Z213" s="10">
        <f t="shared" si="107"/>
        <v>18.820944625587014</v>
      </c>
      <c r="AA213">
        <f t="shared" si="84"/>
        <v>6093395.7675867137</v>
      </c>
      <c r="AB213" s="10">
        <f t="shared" si="85"/>
        <v>6.0933957675867134</v>
      </c>
      <c r="AC213" s="10">
        <f t="shared" si="86"/>
        <v>5.9923957675867134</v>
      </c>
      <c r="AD213" s="3">
        <f t="shared" si="87"/>
        <v>869.09293220982067</v>
      </c>
      <c r="AI213" s="100">
        <f t="shared" si="88"/>
        <v>1.4922835067478355</v>
      </c>
    </row>
    <row r="214" spans="2:35">
      <c r="B214" s="39">
        <f t="shared" si="90"/>
        <v>186</v>
      </c>
      <c r="C214" s="45">
        <f t="shared" si="91"/>
        <v>5.4640287769781652</v>
      </c>
      <c r="D214" s="10">
        <f t="shared" si="92"/>
        <v>19.035971223021988</v>
      </c>
      <c r="E214" s="40">
        <f t="shared" si="93"/>
        <v>30.928057553956023</v>
      </c>
      <c r="F214" s="40">
        <f t="shared" si="94"/>
        <v>69</v>
      </c>
      <c r="G214" s="3">
        <f t="shared" si="95"/>
        <v>416.28776978417591</v>
      </c>
      <c r="H214" s="3">
        <f t="shared" si="96"/>
        <v>221.47275588995251</v>
      </c>
      <c r="I214">
        <f t="shared" si="78"/>
        <v>2.214727558899525E-4</v>
      </c>
      <c r="J214" s="4">
        <f t="shared" si="97"/>
        <v>1429.8524983682432</v>
      </c>
      <c r="K214" s="40">
        <f t="shared" si="98"/>
        <v>6.4561101098986731</v>
      </c>
      <c r="L214" s="40">
        <f t="shared" si="79"/>
        <v>0</v>
      </c>
      <c r="M214" s="10">
        <f t="shared" si="99"/>
        <v>6.0933957675867134</v>
      </c>
      <c r="N214" s="10">
        <f t="shared" si="80"/>
        <v>17.20418640980624</v>
      </c>
      <c r="O214" s="10">
        <f t="shared" si="81"/>
        <v>-0.14810000000000001</v>
      </c>
      <c r="P214" s="10">
        <f t="shared" si="100"/>
        <v>13.164260399555882</v>
      </c>
      <c r="Q214" s="45">
        <f t="shared" si="101"/>
        <v>0.47496065805261545</v>
      </c>
      <c r="R214" s="4">
        <f t="shared" si="102"/>
        <v>1243872.9226463295</v>
      </c>
      <c r="S214">
        <f t="shared" si="82"/>
        <v>1.2438729226463296E-3</v>
      </c>
      <c r="T214" s="44">
        <f t="shared" si="83"/>
        <v>8.3252347183567421E-4</v>
      </c>
      <c r="U214" s="45">
        <f t="shared" si="103"/>
        <v>2.2203753605698306</v>
      </c>
      <c r="V214" s="45">
        <f t="shared" si="104"/>
        <v>1.5118324679962485</v>
      </c>
      <c r="W214" s="45">
        <f t="shared" si="105"/>
        <v>1.4929186069233571</v>
      </c>
      <c r="X214" s="45">
        <f t="shared" si="106"/>
        <v>1.8913861072891391E-2</v>
      </c>
      <c r="Y214" s="45">
        <f t="shared" si="89"/>
        <v>1.5675513913193998E-2</v>
      </c>
      <c r="Z214" s="10">
        <f t="shared" si="107"/>
        <v>18.82891527205863</v>
      </c>
      <c r="AA214">
        <f t="shared" si="84"/>
        <v>6095933.5396875096</v>
      </c>
      <c r="AB214" s="10">
        <f t="shared" si="85"/>
        <v>6.0959335396875094</v>
      </c>
      <c r="AC214" s="10">
        <f t="shared" si="86"/>
        <v>5.9949335396875094</v>
      </c>
      <c r="AD214" s="3">
        <f t="shared" si="87"/>
        <v>869.46099197788396</v>
      </c>
      <c r="AI214" s="100">
        <f t="shared" si="88"/>
        <v>1.4929186069233571</v>
      </c>
    </row>
    <row r="215" spans="2:35">
      <c r="B215" s="39">
        <f t="shared" si="90"/>
        <v>187</v>
      </c>
      <c r="C215" s="45">
        <f t="shared" si="91"/>
        <v>5.4934052757791232</v>
      </c>
      <c r="D215" s="10">
        <f t="shared" si="92"/>
        <v>19.006594724221031</v>
      </c>
      <c r="E215" s="40">
        <f t="shared" si="93"/>
        <v>30.986810551557937</v>
      </c>
      <c r="F215" s="40">
        <f t="shared" si="94"/>
        <v>69</v>
      </c>
      <c r="G215" s="3">
        <f t="shared" si="95"/>
        <v>416.05275779376825</v>
      </c>
      <c r="H215" s="3">
        <f t="shared" si="96"/>
        <v>221.47275588995251</v>
      </c>
      <c r="I215">
        <f t="shared" si="78"/>
        <v>2.214727558899525E-4</v>
      </c>
      <c r="J215" s="4">
        <f t="shared" si="97"/>
        <v>1432.7095287773027</v>
      </c>
      <c r="K215" s="40">
        <f t="shared" si="98"/>
        <v>6.4690102537451653</v>
      </c>
      <c r="L215" s="40">
        <f t="shared" si="79"/>
        <v>0</v>
      </c>
      <c r="M215" s="10">
        <f t="shared" si="99"/>
        <v>6.0959335396875094</v>
      </c>
      <c r="N215" s="10">
        <f t="shared" si="80"/>
        <v>17.20418640980624</v>
      </c>
      <c r="O215" s="10">
        <f t="shared" si="81"/>
        <v>-0.14810000000000001</v>
      </c>
      <c r="P215" s="10">
        <f t="shared" si="100"/>
        <v>13.163448614705031</v>
      </c>
      <c r="Q215" s="45">
        <f t="shared" si="101"/>
        <v>0.47719232998455441</v>
      </c>
      <c r="R215" s="4">
        <f t="shared" si="102"/>
        <v>1241982.0285779312</v>
      </c>
      <c r="S215">
        <f t="shared" si="82"/>
        <v>1.2419820285779312E-3</v>
      </c>
      <c r="T215" s="44">
        <f t="shared" si="83"/>
        <v>8.3441436590407257E-4</v>
      </c>
      <c r="U215" s="45">
        <f t="shared" si="103"/>
        <v>2.2170000201130362</v>
      </c>
      <c r="V215" s="45">
        <f t="shared" si="104"/>
        <v>1.5124716175741013</v>
      </c>
      <c r="W215" s="45">
        <f t="shared" si="105"/>
        <v>1.4935508560831843</v>
      </c>
      <c r="X215" s="45">
        <f t="shared" si="106"/>
        <v>1.8920761490917037E-2</v>
      </c>
      <c r="Y215" s="45">
        <f t="shared" si="89"/>
        <v>1.5717738845544189E-2</v>
      </c>
      <c r="Z215" s="10">
        <f t="shared" si="107"/>
        <v>18.836850715668479</v>
      </c>
      <c r="AA215">
        <f t="shared" si="84"/>
        <v>6098460.1035581101</v>
      </c>
      <c r="AB215" s="10">
        <f t="shared" si="85"/>
        <v>6.0984601035581099</v>
      </c>
      <c r="AC215" s="10">
        <f t="shared" si="86"/>
        <v>5.9974601035581099</v>
      </c>
      <c r="AD215" s="3">
        <f t="shared" si="87"/>
        <v>869.827426186818</v>
      </c>
      <c r="AI215" s="100">
        <f t="shared" si="88"/>
        <v>1.4935508560831843</v>
      </c>
    </row>
    <row r="216" spans="2:35">
      <c r="B216" s="39">
        <f t="shared" si="90"/>
        <v>188</v>
      </c>
      <c r="C216" s="45">
        <f t="shared" si="91"/>
        <v>5.5227817745800811</v>
      </c>
      <c r="D216" s="10">
        <f t="shared" si="92"/>
        <v>18.977218225420074</v>
      </c>
      <c r="E216" s="40">
        <f t="shared" si="93"/>
        <v>31.045563549159851</v>
      </c>
      <c r="F216" s="40">
        <f t="shared" si="94"/>
        <v>69</v>
      </c>
      <c r="G216" s="3">
        <f t="shared" si="95"/>
        <v>415.81774580336059</v>
      </c>
      <c r="H216" s="3">
        <f t="shared" si="96"/>
        <v>221.47275588995251</v>
      </c>
      <c r="I216">
        <f t="shared" si="78"/>
        <v>2.214727558899525E-4</v>
      </c>
      <c r="J216" s="4">
        <f t="shared" si="97"/>
        <v>1435.5719814413369</v>
      </c>
      <c r="K216" s="40">
        <f t="shared" si="98"/>
        <v>6.4819348803094208</v>
      </c>
      <c r="L216" s="40">
        <f t="shared" si="79"/>
        <v>0</v>
      </c>
      <c r="M216" s="10">
        <f t="shared" si="99"/>
        <v>6.0984601035581099</v>
      </c>
      <c r="N216" s="10">
        <f t="shared" si="80"/>
        <v>17.20418640980624</v>
      </c>
      <c r="O216" s="10">
        <f t="shared" si="81"/>
        <v>-0.14810000000000001</v>
      </c>
      <c r="P216" s="10">
        <f t="shared" si="100"/>
        <v>13.162640800496014</v>
      </c>
      <c r="Q216" s="45">
        <f t="shared" si="101"/>
        <v>0.47942413887808971</v>
      </c>
      <c r="R216" s="4">
        <f t="shared" si="102"/>
        <v>1240090.2227124982</v>
      </c>
      <c r="S216">
        <f t="shared" si="82"/>
        <v>1.2400902227124981E-3</v>
      </c>
      <c r="T216" s="44">
        <f t="shared" si="83"/>
        <v>8.3630617176950572E-4</v>
      </c>
      <c r="U216" s="45">
        <f t="shared" si="103"/>
        <v>2.2136230520529447</v>
      </c>
      <c r="V216" s="45">
        <f t="shared" si="104"/>
        <v>1.5131080756391162</v>
      </c>
      <c r="W216" s="45">
        <f t="shared" si="105"/>
        <v>1.494180312874807</v>
      </c>
      <c r="X216" s="45">
        <f t="shared" si="106"/>
        <v>1.8927762764309186E-2</v>
      </c>
      <c r="Y216" s="45">
        <f t="shared" si="89"/>
        <v>1.5759981994816302E-2</v>
      </c>
      <c r="Z216" s="10">
        <f t="shared" si="107"/>
        <v>18.844751511842137</v>
      </c>
      <c r="AA216">
        <f t="shared" si="84"/>
        <v>6100975.6360403225</v>
      </c>
      <c r="AB216" s="10">
        <f t="shared" si="85"/>
        <v>6.1009756360403227</v>
      </c>
      <c r="AC216" s="10">
        <f t="shared" si="86"/>
        <v>5.9999756360403227</v>
      </c>
      <c r="AD216" s="3">
        <f t="shared" si="87"/>
        <v>870.1922604844558</v>
      </c>
      <c r="AI216" s="100">
        <f t="shared" si="88"/>
        <v>1.494180312874807</v>
      </c>
    </row>
    <row r="217" spans="2:35">
      <c r="B217" s="39">
        <f t="shared" si="90"/>
        <v>189</v>
      </c>
      <c r="C217" s="45">
        <f t="shared" si="91"/>
        <v>5.5521582733810391</v>
      </c>
      <c r="D217" s="10">
        <f t="shared" si="92"/>
        <v>18.947841726619117</v>
      </c>
      <c r="E217" s="40">
        <f t="shared" si="93"/>
        <v>31.104316546761765</v>
      </c>
      <c r="F217" s="40">
        <f t="shared" si="94"/>
        <v>69</v>
      </c>
      <c r="G217" s="3">
        <f t="shared" si="95"/>
        <v>415.58273381295294</v>
      </c>
      <c r="H217" s="3">
        <f t="shared" si="96"/>
        <v>221.47275588995251</v>
      </c>
      <c r="I217">
        <f t="shared" si="78"/>
        <v>2.214727558899525E-4</v>
      </c>
      <c r="J217" s="4">
        <f t="shared" si="97"/>
        <v>1438.4398563603449</v>
      </c>
      <c r="K217" s="40">
        <f t="shared" si="98"/>
        <v>6.4948839895914361</v>
      </c>
      <c r="L217" s="40">
        <f t="shared" si="79"/>
        <v>0</v>
      </c>
      <c r="M217" s="10">
        <f t="shared" si="99"/>
        <v>6.1009756360403227</v>
      </c>
      <c r="N217" s="10">
        <f t="shared" si="80"/>
        <v>17.20418640980624</v>
      </c>
      <c r="O217" s="10">
        <f t="shared" si="81"/>
        <v>-0.14810000000000001</v>
      </c>
      <c r="P217" s="10">
        <f t="shared" si="100"/>
        <v>13.161836894970893</v>
      </c>
      <c r="Q217" s="45">
        <f t="shared" si="101"/>
        <v>0.48165608408721039</v>
      </c>
      <c r="R217" s="4">
        <f t="shared" si="102"/>
        <v>1238197.508872916</v>
      </c>
      <c r="S217">
        <f t="shared" si="82"/>
        <v>1.2381975088729159E-3</v>
      </c>
      <c r="T217" s="44">
        <f t="shared" si="83"/>
        <v>8.3819888560908787E-4</v>
      </c>
      <c r="U217" s="45">
        <f t="shared" si="103"/>
        <v>2.2102444632135989</v>
      </c>
      <c r="V217" s="45">
        <f t="shared" si="104"/>
        <v>1.5137418362867863</v>
      </c>
      <c r="W217" s="45">
        <f t="shared" si="105"/>
        <v>1.4948070213558007</v>
      </c>
      <c r="X217" s="45">
        <f t="shared" si="106"/>
        <v>1.8934814930985588E-2</v>
      </c>
      <c r="Y217" s="45">
        <f t="shared" si="89"/>
        <v>1.5802243464287102E-2</v>
      </c>
      <c r="Z217" s="10">
        <f t="shared" si="107"/>
        <v>18.852618078589071</v>
      </c>
      <c r="AA217">
        <f t="shared" si="84"/>
        <v>6103480.2702240758</v>
      </c>
      <c r="AB217" s="10">
        <f t="shared" si="85"/>
        <v>6.1034802702240754</v>
      </c>
      <c r="AC217" s="10">
        <f t="shared" si="86"/>
        <v>6.0024802702240754</v>
      </c>
      <c r="AD217" s="3">
        <f t="shared" si="87"/>
        <v>870.55551417317997</v>
      </c>
      <c r="AI217" s="100">
        <f t="shared" si="88"/>
        <v>1.4948070213558007</v>
      </c>
    </row>
    <row r="218" spans="2:35">
      <c r="B218" s="39">
        <f t="shared" si="90"/>
        <v>190</v>
      </c>
      <c r="C218" s="45">
        <f t="shared" si="91"/>
        <v>5.581534772181997</v>
      </c>
      <c r="D218" s="10">
        <f t="shared" si="92"/>
        <v>18.91846522781816</v>
      </c>
      <c r="E218" s="40">
        <f t="shared" si="93"/>
        <v>31.16306954436368</v>
      </c>
      <c r="F218" s="40">
        <f t="shared" si="94"/>
        <v>69</v>
      </c>
      <c r="G218" s="3">
        <f t="shared" si="95"/>
        <v>415.34772182254528</v>
      </c>
      <c r="H218" s="3">
        <f t="shared" si="96"/>
        <v>221.47275588995251</v>
      </c>
      <c r="I218">
        <f t="shared" si="78"/>
        <v>2.214727558899525E-4</v>
      </c>
      <c r="J218" s="4">
        <f t="shared" si="97"/>
        <v>1441.3131535343268</v>
      </c>
      <c r="K218" s="40">
        <f t="shared" si="98"/>
        <v>6.5078575815912103</v>
      </c>
      <c r="L218" s="40">
        <f t="shared" si="79"/>
        <v>0</v>
      </c>
      <c r="M218" s="10">
        <f t="shared" si="99"/>
        <v>6.1034802702240754</v>
      </c>
      <c r="N218" s="10">
        <f t="shared" si="80"/>
        <v>17.20418640980624</v>
      </c>
      <c r="O218" s="10">
        <f t="shared" si="81"/>
        <v>-0.14810000000000001</v>
      </c>
      <c r="P218" s="10">
        <f t="shared" si="100"/>
        <v>13.161036850282562</v>
      </c>
      <c r="Q218" s="45">
        <f t="shared" si="101"/>
        <v>0.48388816497378029</v>
      </c>
      <c r="R218" s="4">
        <f t="shared" si="102"/>
        <v>1236303.890882069</v>
      </c>
      <c r="S218">
        <f t="shared" si="82"/>
        <v>1.2363038908820691E-3</v>
      </c>
      <c r="T218" s="44">
        <f t="shared" si="83"/>
        <v>8.4009250359993472E-4</v>
      </c>
      <c r="U218" s="45">
        <f t="shared" si="103"/>
        <v>2.2068642604190374</v>
      </c>
      <c r="V218" s="45">
        <f t="shared" si="104"/>
        <v>1.5143728952206474</v>
      </c>
      <c r="W218" s="45">
        <f t="shared" si="105"/>
        <v>1.4954310146835921</v>
      </c>
      <c r="X218" s="45">
        <f t="shared" si="106"/>
        <v>1.8941880537055367E-2</v>
      </c>
      <c r="Y218" s="45">
        <f t="shared" si="89"/>
        <v>1.5844523273789553E-2</v>
      </c>
      <c r="Z218" s="10">
        <f t="shared" si="107"/>
        <v>18.860450731191104</v>
      </c>
      <c r="AA218">
        <f t="shared" si="84"/>
        <v>6105974.1064918684</v>
      </c>
      <c r="AB218" s="10">
        <f t="shared" si="85"/>
        <v>6.1059741064918684</v>
      </c>
      <c r="AC218" s="10">
        <f t="shared" si="86"/>
        <v>6.0049741064918685</v>
      </c>
      <c r="AD218" s="3">
        <f t="shared" si="87"/>
        <v>870.91720181172855</v>
      </c>
      <c r="AI218" s="100">
        <f t="shared" si="88"/>
        <v>1.4954310146835921</v>
      </c>
    </row>
    <row r="219" spans="2:35">
      <c r="B219" s="39">
        <f t="shared" si="90"/>
        <v>191</v>
      </c>
      <c r="C219" s="45">
        <f t="shared" si="91"/>
        <v>5.6109112709829549</v>
      </c>
      <c r="D219" s="10">
        <f t="shared" si="92"/>
        <v>18.889088729017203</v>
      </c>
      <c r="E219" s="40">
        <f t="shared" si="93"/>
        <v>31.221822541965594</v>
      </c>
      <c r="F219" s="40">
        <f t="shared" si="94"/>
        <v>69</v>
      </c>
      <c r="G219" s="3">
        <f t="shared" si="95"/>
        <v>415.11270983213763</v>
      </c>
      <c r="H219" s="3">
        <f t="shared" si="96"/>
        <v>221.47275588995251</v>
      </c>
      <c r="I219">
        <f t="shared" si="78"/>
        <v>2.214727558899525E-4</v>
      </c>
      <c r="J219" s="4">
        <f t="shared" si="97"/>
        <v>1444.1918729632821</v>
      </c>
      <c r="K219" s="40">
        <f t="shared" si="98"/>
        <v>6.5208556563087416</v>
      </c>
      <c r="L219" s="40">
        <f t="shared" si="79"/>
        <v>0</v>
      </c>
      <c r="M219" s="10">
        <f t="shared" si="99"/>
        <v>6.1059741064918684</v>
      </c>
      <c r="N219" s="10">
        <f t="shared" si="80"/>
        <v>17.20418640980624</v>
      </c>
      <c r="O219" s="10">
        <f t="shared" si="81"/>
        <v>-0.14810000000000001</v>
      </c>
      <c r="P219" s="10">
        <f t="shared" si="100"/>
        <v>13.160240629135078</v>
      </c>
      <c r="Q219" s="45">
        <f t="shared" si="101"/>
        <v>0.4861203809057536</v>
      </c>
      <c r="R219" s="4">
        <f t="shared" si="102"/>
        <v>1234409.3725628424</v>
      </c>
      <c r="S219">
        <f t="shared" si="82"/>
        <v>1.2344093725628425E-3</v>
      </c>
      <c r="T219" s="44">
        <f t="shared" si="83"/>
        <v>8.4198702191916135E-4</v>
      </c>
      <c r="U219" s="45">
        <f t="shared" si="103"/>
        <v>2.2034824504933019</v>
      </c>
      <c r="V219" s="45">
        <f t="shared" si="104"/>
        <v>1.5150012493396521</v>
      </c>
      <c r="W219" s="45">
        <f t="shared" si="105"/>
        <v>1.4960523178670282</v>
      </c>
      <c r="X219" s="45">
        <f t="shared" si="106"/>
        <v>1.8948931472623887E-2</v>
      </c>
      <c r="Y219" s="45">
        <f t="shared" si="89"/>
        <v>1.5886821380516614E-2</v>
      </c>
      <c r="Z219" s="10">
        <f t="shared" si="107"/>
        <v>18.868249708060105</v>
      </c>
      <c r="AA219">
        <f t="shared" si="84"/>
        <v>6108457.2207515948</v>
      </c>
      <c r="AB219" s="10">
        <f t="shared" si="85"/>
        <v>6.1084572207515944</v>
      </c>
      <c r="AC219" s="10">
        <f t="shared" si="86"/>
        <v>6.0074572207515944</v>
      </c>
      <c r="AD219" s="3">
        <f t="shared" si="87"/>
        <v>871.27733440922327</v>
      </c>
      <c r="AI219" s="100">
        <f t="shared" si="88"/>
        <v>1.4960523178670282</v>
      </c>
    </row>
    <row r="220" spans="2:35">
      <c r="B220" s="39">
        <f t="shared" si="90"/>
        <v>192</v>
      </c>
      <c r="C220" s="45">
        <f t="shared" si="91"/>
        <v>5.6402877697839129</v>
      </c>
      <c r="D220" s="10">
        <f t="shared" si="92"/>
        <v>18.859712230216246</v>
      </c>
      <c r="E220" s="40">
        <f t="shared" si="93"/>
        <v>31.280575539567508</v>
      </c>
      <c r="F220" s="40">
        <f t="shared" si="94"/>
        <v>69</v>
      </c>
      <c r="G220" s="3">
        <f t="shared" si="95"/>
        <v>414.87769784172997</v>
      </c>
      <c r="H220" s="3">
        <f t="shared" si="96"/>
        <v>221.47275588995251</v>
      </c>
      <c r="I220">
        <f t="shared" ref="I220:I230" si="108">H220/1000^2</f>
        <v>2.214727558899525E-4</v>
      </c>
      <c r="J220" s="4">
        <f t="shared" si="97"/>
        <v>1447.0760146472117</v>
      </c>
      <c r="K220" s="40">
        <f t="shared" si="98"/>
        <v>6.5338782137440354</v>
      </c>
      <c r="L220" s="40">
        <f t="shared" ref="L220:L230" si="109">IF((gstar-K220)&lt;0,0,gstar-K220)</f>
        <v>0</v>
      </c>
      <c r="M220" s="10">
        <f t="shared" si="99"/>
        <v>6.1084572207515944</v>
      </c>
      <c r="N220" s="10">
        <f t="shared" ref="N220:N283" si="110">IF(fueltype=1,VLOOKUP($M220,kndxbn_,4),IF(fueltype=2,VLOOKUP($M220,knsobn_,4),IF(fueltype=3,VLOOKUP($M220,knsbcobn_,4),IF(fueltype=4,VLOOKUP($M220,knsubn_,4),IF(fueltype=5,am_1,IF(fueltype=6,am_0,IF(fueltype=7,am_3,am_4)))))))</f>
        <v>17.20418640980624</v>
      </c>
      <c r="O220" s="10">
        <f t="shared" ref="O220:O283" si="111">IF(fueltype=1,VLOOKUP($M220,kndxbn_,5),IF(fueltype=2,VLOOKUP($M220,knsobn_,5),IF(fueltype=3,VLOOKUP($M220,knsbcobn_,5),IF(fueltype=4,VLOOKUP($M220,knsubn_,5),IF(fueltype=5,nm_1,IF(fueltype=6,an_0,IF(fueltype=7,nm_3,nm_4)))))))</f>
        <v>-0.14810000000000001</v>
      </c>
      <c r="P220" s="10">
        <f t="shared" si="100"/>
        <v>13.159448202131436</v>
      </c>
      <c r="Q220" s="45">
        <f t="shared" si="101"/>
        <v>0.48835273125583895</v>
      </c>
      <c r="R220" s="4">
        <f t="shared" si="102"/>
        <v>1232513.9577381206</v>
      </c>
      <c r="S220">
        <f t="shared" ref="S220:S230" si="112">R220/1000^3</f>
        <v>1.2325139577381205E-3</v>
      </c>
      <c r="T220" s="44">
        <f t="shared" ref="T220:T230" si="113">(vc/1000^3-S220)</f>
        <v>8.4388243674388326E-4</v>
      </c>
      <c r="U220" s="45">
        <f t="shared" si="103"/>
        <v>2.2000990402604321</v>
      </c>
      <c r="V220" s="45">
        <f t="shared" si="104"/>
        <v>1.5156268964414394</v>
      </c>
      <c r="W220" s="45">
        <f t="shared" si="105"/>
        <v>1.49667094981746</v>
      </c>
      <c r="X220" s="45">
        <f t="shared" si="106"/>
        <v>1.895594662397948E-2</v>
      </c>
      <c r="Y220" s="45">
        <f t="shared" si="89"/>
        <v>1.5929137694598854E-2</v>
      </c>
      <c r="Z220" s="10">
        <f t="shared" si="107"/>
        <v>18.876015190055814</v>
      </c>
      <c r="AA220">
        <f t="shared" ref="AA220:AA230" si="114">Z220*rat*to+patm*1000000</f>
        <v>6110929.6705871401</v>
      </c>
      <c r="AB220" s="10">
        <f t="shared" ref="AB220:AB230" si="115">AA220/1000000</f>
        <v>6.1109296705871401</v>
      </c>
      <c r="AC220" s="10">
        <f t="shared" ref="AC220:AC230" si="116">AB220-patm</f>
        <v>6.0099296705871401</v>
      </c>
      <c r="AD220" s="3">
        <f t="shared" ref="AD220:AD230" si="117">AC220*1000000/6895</f>
        <v>871.63592031720668</v>
      </c>
      <c r="AI220" s="100">
        <f t="shared" si="88"/>
        <v>1.49667094981746</v>
      </c>
    </row>
    <row r="221" spans="2:35">
      <c r="B221" s="39">
        <f t="shared" si="90"/>
        <v>193</v>
      </c>
      <c r="C221" s="45">
        <f t="shared" si="91"/>
        <v>5.6696642685848708</v>
      </c>
      <c r="D221" s="10">
        <f t="shared" si="92"/>
        <v>18.830335731415289</v>
      </c>
      <c r="E221" s="40">
        <f t="shared" si="93"/>
        <v>31.339328537169422</v>
      </c>
      <c r="F221" s="40">
        <f t="shared" si="94"/>
        <v>69</v>
      </c>
      <c r="G221" s="3">
        <f t="shared" si="95"/>
        <v>414.64268585132231</v>
      </c>
      <c r="H221" s="3">
        <f t="shared" si="96"/>
        <v>221.47275588995251</v>
      </c>
      <c r="I221">
        <f t="shared" si="108"/>
        <v>2.214727558899525E-4</v>
      </c>
      <c r="J221" s="4">
        <f t="shared" si="97"/>
        <v>1449.965578586115</v>
      </c>
      <c r="K221" s="40">
        <f t="shared" si="98"/>
        <v>6.5469252538970872</v>
      </c>
      <c r="L221" s="40">
        <f t="shared" si="109"/>
        <v>0</v>
      </c>
      <c r="M221" s="10">
        <f t="shared" si="99"/>
        <v>6.1109296705871401</v>
      </c>
      <c r="N221" s="10">
        <f t="shared" si="110"/>
        <v>17.20418640980624</v>
      </c>
      <c r="O221" s="10">
        <f t="shared" si="111"/>
        <v>-0.14810000000000001</v>
      </c>
      <c r="P221" s="10">
        <f t="shared" si="100"/>
        <v>13.158659545793103</v>
      </c>
      <c r="Q221" s="45">
        <f t="shared" si="101"/>
        <v>0.4905852154004986</v>
      </c>
      <c r="R221" s="4">
        <f t="shared" si="102"/>
        <v>1230617.6502307886</v>
      </c>
      <c r="S221">
        <f t="shared" si="112"/>
        <v>1.2306176502307885E-3</v>
      </c>
      <c r="T221" s="44">
        <f t="shared" si="113"/>
        <v>8.4577874425121528E-4</v>
      </c>
      <c r="U221" s="45">
        <f t="shared" si="103"/>
        <v>2.1967140365444693</v>
      </c>
      <c r="V221" s="45">
        <f t="shared" si="104"/>
        <v>1.5162498349921738</v>
      </c>
      <c r="W221" s="45">
        <f t="shared" si="105"/>
        <v>1.4972869248810792</v>
      </c>
      <c r="X221" s="45">
        <f t="shared" si="106"/>
        <v>1.8962910111094633E-2</v>
      </c>
      <c r="Y221" s="45">
        <f t="shared" si="89"/>
        <v>1.5971472090758478E-2</v>
      </c>
      <c r="Z221" s="10">
        <f t="shared" si="107"/>
        <v>18.883747314906028</v>
      </c>
      <c r="AA221">
        <f t="shared" si="114"/>
        <v>6113391.4998496249</v>
      </c>
      <c r="AB221" s="10">
        <f t="shared" si="115"/>
        <v>6.1133914998496248</v>
      </c>
      <c r="AC221" s="10">
        <f t="shared" si="116"/>
        <v>6.0123914998496248</v>
      </c>
      <c r="AD221" s="3">
        <f t="shared" si="117"/>
        <v>871.99296589552216</v>
      </c>
      <c r="AI221" s="100">
        <f t="shared" ref="AI221:AI230" si="118">($M221-patm)*1000000*$I221/SQRT(rat*to)*SQRT(k)*(2/(k+1))^((k+1)/2/(k-1))</f>
        <v>1.4972869248810792</v>
      </c>
    </row>
    <row r="222" spans="2:35">
      <c r="B222" s="39">
        <f t="shared" si="90"/>
        <v>194</v>
      </c>
      <c r="C222" s="45">
        <f t="shared" si="91"/>
        <v>5.6990407673858288</v>
      </c>
      <c r="D222" s="10">
        <f t="shared" si="92"/>
        <v>18.800959232614332</v>
      </c>
      <c r="E222" s="40">
        <f t="shared" si="93"/>
        <v>31.398081534771336</v>
      </c>
      <c r="F222" s="40">
        <f t="shared" si="94"/>
        <v>69</v>
      </c>
      <c r="G222" s="3">
        <f t="shared" si="95"/>
        <v>414.40767386091466</v>
      </c>
      <c r="H222" s="3">
        <f t="shared" si="96"/>
        <v>221.47275588995251</v>
      </c>
      <c r="I222">
        <f t="shared" si="108"/>
        <v>2.214727558899525E-4</v>
      </c>
      <c r="J222" s="4">
        <f t="shared" si="97"/>
        <v>1452.8605647799923</v>
      </c>
      <c r="K222" s="40">
        <f t="shared" si="98"/>
        <v>6.5599967767678997</v>
      </c>
      <c r="L222" s="40">
        <f t="shared" si="109"/>
        <v>0</v>
      </c>
      <c r="M222" s="10">
        <f t="shared" si="99"/>
        <v>6.1133914998496248</v>
      </c>
      <c r="N222" s="10">
        <f t="shared" si="110"/>
        <v>17.20418640980624</v>
      </c>
      <c r="O222" s="10">
        <f t="shared" si="111"/>
        <v>-0.14810000000000001</v>
      </c>
      <c r="P222" s="10">
        <f t="shared" si="100"/>
        <v>13.157874641082335</v>
      </c>
      <c r="Q222" s="45">
        <f t="shared" si="101"/>
        <v>0.49281783271919816</v>
      </c>
      <c r="R222" s="4">
        <f t="shared" si="102"/>
        <v>1228720.4538637314</v>
      </c>
      <c r="S222">
        <f t="shared" si="112"/>
        <v>1.2287204538637313E-3</v>
      </c>
      <c r="T222" s="44">
        <f t="shared" si="113"/>
        <v>8.476759406182725E-4</v>
      </c>
      <c r="U222" s="45">
        <f t="shared" si="103"/>
        <v>2.1933274461694539</v>
      </c>
      <c r="V222" s="45">
        <f t="shared" si="104"/>
        <v>1.5168700639606389</v>
      </c>
      <c r="W222" s="45">
        <f t="shared" si="105"/>
        <v>1.4979002539827568</v>
      </c>
      <c r="X222" s="45">
        <f t="shared" si="106"/>
        <v>1.8969809977882113E-2</v>
      </c>
      <c r="Y222" s="45">
        <f t="shared" ref="Y222:Y285" si="119">IF((X222*(Q222-Q221)+Y221)&lt;0,0,X222*(Q222-Q221)+Y221)</f>
        <v>1.6013824417047538E-2</v>
      </c>
      <c r="Z222" s="10">
        <f t="shared" si="107"/>
        <v>18.891446187994291</v>
      </c>
      <c r="AA222">
        <f t="shared" si="114"/>
        <v>6115842.7420920879</v>
      </c>
      <c r="AB222" s="10">
        <f t="shared" si="115"/>
        <v>6.115842742092088</v>
      </c>
      <c r="AC222" s="10">
        <f t="shared" si="116"/>
        <v>6.014842742092088</v>
      </c>
      <c r="AD222" s="3">
        <f t="shared" si="117"/>
        <v>872.3484760104551</v>
      </c>
      <c r="AI222" s="100">
        <f t="shared" si="118"/>
        <v>1.4979002539827568</v>
      </c>
    </row>
    <row r="223" spans="2:35">
      <c r="B223" s="39">
        <f t="shared" si="90"/>
        <v>195</v>
      </c>
      <c r="C223" s="45">
        <f t="shared" si="91"/>
        <v>5.7284172661867867</v>
      </c>
      <c r="D223" s="10">
        <f t="shared" si="92"/>
        <v>18.771582733813375</v>
      </c>
      <c r="E223" s="40">
        <f t="shared" si="93"/>
        <v>31.45683453237325</v>
      </c>
      <c r="F223" s="40">
        <f t="shared" si="94"/>
        <v>69</v>
      </c>
      <c r="G223" s="3">
        <f t="shared" si="95"/>
        <v>414.172661870507</v>
      </c>
      <c r="H223" s="3">
        <f t="shared" si="96"/>
        <v>221.47275588995251</v>
      </c>
      <c r="I223">
        <f t="shared" si="108"/>
        <v>2.214727558899525E-4</v>
      </c>
      <c r="J223" s="4">
        <f t="shared" si="97"/>
        <v>1455.7609732288443</v>
      </c>
      <c r="K223" s="40">
        <f t="shared" si="98"/>
        <v>6.5730927823564747</v>
      </c>
      <c r="L223" s="40">
        <f t="shared" si="109"/>
        <v>0</v>
      </c>
      <c r="M223" s="10">
        <f t="shared" si="99"/>
        <v>6.115842742092088</v>
      </c>
      <c r="N223" s="10">
        <f t="shared" si="110"/>
        <v>17.20418640980624</v>
      </c>
      <c r="O223" s="10">
        <f t="shared" si="111"/>
        <v>-0.14810000000000001</v>
      </c>
      <c r="P223" s="10">
        <f t="shared" si="100"/>
        <v>13.157093472297218</v>
      </c>
      <c r="Q223" s="45">
        <f t="shared" si="101"/>
        <v>0.49505058259384266</v>
      </c>
      <c r="R223" s="4">
        <f t="shared" si="102"/>
        <v>1226822.372459833</v>
      </c>
      <c r="S223">
        <f t="shared" si="112"/>
        <v>1.226822372459833E-3</v>
      </c>
      <c r="T223" s="44">
        <f t="shared" si="113"/>
        <v>8.4957402202217084E-4</v>
      </c>
      <c r="U223" s="45">
        <f t="shared" si="103"/>
        <v>2.1899392759594249</v>
      </c>
      <c r="V223" s="45">
        <f t="shared" si="104"/>
        <v>1.5174875826914427</v>
      </c>
      <c r="W223" s="45">
        <f t="shared" si="105"/>
        <v>1.4985109454817469</v>
      </c>
      <c r="X223" s="45">
        <f t="shared" si="106"/>
        <v>1.8976637209695779E-2</v>
      </c>
      <c r="Y223" s="45">
        <f t="shared" si="119"/>
        <v>1.6056194501398662E-2</v>
      </c>
      <c r="Z223" s="10">
        <f t="shared" si="107"/>
        <v>18.899111890428838</v>
      </c>
      <c r="AA223">
        <f t="shared" si="114"/>
        <v>6118283.4231385589</v>
      </c>
      <c r="AB223" s="10">
        <f t="shared" si="115"/>
        <v>6.1182834231385588</v>
      </c>
      <c r="AC223" s="10">
        <f t="shared" si="116"/>
        <v>6.0172834231385588</v>
      </c>
      <c r="AD223" s="3">
        <f t="shared" si="117"/>
        <v>872.70245440733265</v>
      </c>
      <c r="AI223" s="100">
        <f t="shared" si="118"/>
        <v>1.4985109454817469</v>
      </c>
    </row>
    <row r="224" spans="2:35">
      <c r="B224" s="39">
        <f t="shared" si="90"/>
        <v>196</v>
      </c>
      <c r="C224" s="45">
        <f t="shared" si="91"/>
        <v>5.7577937649877446</v>
      </c>
      <c r="D224" s="10">
        <f t="shared" si="92"/>
        <v>18.742206235012418</v>
      </c>
      <c r="E224" s="40">
        <f t="shared" si="93"/>
        <v>31.515587529975164</v>
      </c>
      <c r="F224" s="40">
        <f t="shared" si="94"/>
        <v>69</v>
      </c>
      <c r="G224" s="3">
        <f t="shared" si="95"/>
        <v>413.93764988009934</v>
      </c>
      <c r="H224" s="3">
        <f t="shared" si="96"/>
        <v>221.47275588995251</v>
      </c>
      <c r="I224">
        <f t="shared" si="108"/>
        <v>2.214727558899525E-4</v>
      </c>
      <c r="J224" s="4">
        <f t="shared" si="97"/>
        <v>1458.6668039326692</v>
      </c>
      <c r="K224" s="40">
        <f t="shared" si="98"/>
        <v>6.5862132706628049</v>
      </c>
      <c r="L224" s="40">
        <f t="shared" si="109"/>
        <v>0</v>
      </c>
      <c r="M224" s="10">
        <f t="shared" si="99"/>
        <v>6.1182834231385588</v>
      </c>
      <c r="N224" s="10">
        <f t="shared" si="110"/>
        <v>17.20418640980624</v>
      </c>
      <c r="O224" s="10">
        <f t="shared" si="111"/>
        <v>-0.14810000000000001</v>
      </c>
      <c r="P224" s="10">
        <f t="shared" si="100"/>
        <v>13.156316026245582</v>
      </c>
      <c r="Q224" s="45">
        <f t="shared" si="101"/>
        <v>0.49728346440835325</v>
      </c>
      <c r="R224" s="4">
        <f t="shared" si="102"/>
        <v>1224923.4098419792</v>
      </c>
      <c r="S224">
        <f t="shared" si="112"/>
        <v>1.2249234098419791E-3</v>
      </c>
      <c r="T224" s="44">
        <f t="shared" si="113"/>
        <v>8.5147298464002472E-4</v>
      </c>
      <c r="U224" s="45">
        <f t="shared" si="103"/>
        <v>2.1865495327384248</v>
      </c>
      <c r="V224" s="45">
        <f t="shared" si="104"/>
        <v>1.5181023908079694</v>
      </c>
      <c r="W224" s="45">
        <f t="shared" si="105"/>
        <v>1.4991190058117321</v>
      </c>
      <c r="X224" s="45">
        <f t="shared" si="106"/>
        <v>1.8983384996237307E-2</v>
      </c>
      <c r="Y224" s="45">
        <f t="shared" si="119"/>
        <v>1.6098582156534612E-2</v>
      </c>
      <c r="Z224" s="10">
        <f t="shared" si="107"/>
        <v>18.906744485076732</v>
      </c>
      <c r="AA224">
        <f t="shared" si="114"/>
        <v>6120713.5630052676</v>
      </c>
      <c r="AB224" s="10">
        <f t="shared" si="115"/>
        <v>6.1207135630052676</v>
      </c>
      <c r="AC224" s="10">
        <f t="shared" si="116"/>
        <v>6.0197135630052676</v>
      </c>
      <c r="AD224" s="3">
        <f t="shared" si="117"/>
        <v>873.0549039891614</v>
      </c>
      <c r="AI224" s="100">
        <f t="shared" si="118"/>
        <v>1.4991190058117321</v>
      </c>
    </row>
    <row r="225" spans="2:35">
      <c r="B225" s="39">
        <f t="shared" si="90"/>
        <v>197</v>
      </c>
      <c r="C225" s="45">
        <f t="shared" si="91"/>
        <v>5.7871702637887026</v>
      </c>
      <c r="D225" s="10">
        <f t="shared" si="92"/>
        <v>18.712829736211461</v>
      </c>
      <c r="E225" s="40">
        <f t="shared" si="93"/>
        <v>31.574340527577078</v>
      </c>
      <c r="F225" s="40">
        <f t="shared" si="94"/>
        <v>69</v>
      </c>
      <c r="G225" s="3">
        <f t="shared" si="95"/>
        <v>413.70263788969169</v>
      </c>
      <c r="H225" s="3">
        <f t="shared" si="96"/>
        <v>221.47275588995251</v>
      </c>
      <c r="I225">
        <f t="shared" si="108"/>
        <v>2.214727558899525E-4</v>
      </c>
      <c r="J225" s="4">
        <f t="shared" si="97"/>
        <v>1461.5780568914683</v>
      </c>
      <c r="K225" s="40">
        <f t="shared" si="98"/>
        <v>6.5993582416868968</v>
      </c>
      <c r="L225" s="40">
        <f t="shared" si="109"/>
        <v>0</v>
      </c>
      <c r="M225" s="10">
        <f t="shared" si="99"/>
        <v>6.1207135630052676</v>
      </c>
      <c r="N225" s="10">
        <f t="shared" si="110"/>
        <v>17.20418640980624</v>
      </c>
      <c r="O225" s="10">
        <f t="shared" si="111"/>
        <v>-0.14810000000000001</v>
      </c>
      <c r="P225" s="10">
        <f t="shared" si="100"/>
        <v>13.155542291627446</v>
      </c>
      <c r="Q225" s="45">
        <f t="shared" si="101"/>
        <v>0.49951647754834777</v>
      </c>
      <c r="R225" s="4">
        <f t="shared" si="102"/>
        <v>1223023.5698330542</v>
      </c>
      <c r="S225">
        <f t="shared" si="112"/>
        <v>1.2230235698330542E-3</v>
      </c>
      <c r="T225" s="44">
        <f t="shared" si="113"/>
        <v>8.5337282464894963E-4</v>
      </c>
      <c r="U225" s="45">
        <f t="shared" si="103"/>
        <v>2.1831582233304934</v>
      </c>
      <c r="V225" s="45">
        <f t="shared" si="104"/>
        <v>1.5187144881466033</v>
      </c>
      <c r="W225" s="45">
        <f t="shared" si="105"/>
        <v>1.4997244399594665</v>
      </c>
      <c r="X225" s="45">
        <f t="shared" si="106"/>
        <v>1.8990048187136788E-2</v>
      </c>
      <c r="Y225" s="45">
        <f t="shared" si="119"/>
        <v>1.6140987183665616E-2</v>
      </c>
      <c r="Z225" s="10">
        <f t="shared" si="107"/>
        <v>18.914344021097115</v>
      </c>
      <c r="AA225">
        <f t="shared" si="114"/>
        <v>6123133.1773439785</v>
      </c>
      <c r="AB225" s="10">
        <f t="shared" si="115"/>
        <v>6.1231331773439788</v>
      </c>
      <c r="AC225" s="10">
        <f t="shared" si="116"/>
        <v>6.0221331773439788</v>
      </c>
      <c r="AD225" s="3">
        <f t="shared" si="117"/>
        <v>873.40582702595771</v>
      </c>
      <c r="AI225" s="100">
        <f t="shared" si="118"/>
        <v>1.4997244399594665</v>
      </c>
    </row>
    <row r="226" spans="2:35">
      <c r="B226" s="39">
        <f t="shared" si="90"/>
        <v>198</v>
      </c>
      <c r="C226" s="45">
        <f t="shared" si="91"/>
        <v>5.8165467625896605</v>
      </c>
      <c r="D226" s="10">
        <f t="shared" si="92"/>
        <v>18.683453237410504</v>
      </c>
      <c r="E226" s="40">
        <f t="shared" si="93"/>
        <v>31.633093525178992</v>
      </c>
      <c r="F226" s="40">
        <f t="shared" si="94"/>
        <v>69</v>
      </c>
      <c r="G226" s="3">
        <f t="shared" si="95"/>
        <v>413.46762589928403</v>
      </c>
      <c r="H226" s="3">
        <f t="shared" si="96"/>
        <v>221.47275588995251</v>
      </c>
      <c r="I226">
        <f t="shared" si="108"/>
        <v>2.214727558899525E-4</v>
      </c>
      <c r="J226" s="4">
        <f t="shared" si="97"/>
        <v>1464.4947321052414</v>
      </c>
      <c r="K226" s="40">
        <f t="shared" si="98"/>
        <v>6.6125276954287484</v>
      </c>
      <c r="L226" s="40">
        <f t="shared" si="109"/>
        <v>0</v>
      </c>
      <c r="M226" s="10">
        <f t="shared" si="99"/>
        <v>6.1231331773439788</v>
      </c>
      <c r="N226" s="10">
        <f t="shared" si="110"/>
        <v>17.20418640980624</v>
      </c>
      <c r="O226" s="10">
        <f t="shared" si="111"/>
        <v>-0.14810000000000001</v>
      </c>
      <c r="P226" s="10">
        <f t="shared" si="100"/>
        <v>13.154772258571338</v>
      </c>
      <c r="Q226" s="45">
        <f t="shared" si="101"/>
        <v>0.5017496214009004</v>
      </c>
      <c r="R226" s="4">
        <f t="shared" si="102"/>
        <v>1221122.856255943</v>
      </c>
      <c r="S226">
        <f t="shared" si="112"/>
        <v>1.2211228562559429E-3</v>
      </c>
      <c r="T226" s="44">
        <f t="shared" si="113"/>
        <v>8.5527353822606087E-4</v>
      </c>
      <c r="U226" s="45">
        <f t="shared" si="103"/>
        <v>2.1797653545596711</v>
      </c>
      <c r="V226" s="45">
        <f t="shared" si="104"/>
        <v>1.5193238746997677</v>
      </c>
      <c r="W226" s="45">
        <f t="shared" si="105"/>
        <v>1.5003272518243602</v>
      </c>
      <c r="X226" s="45">
        <f t="shared" si="106"/>
        <v>1.8996622875407487E-2</v>
      </c>
      <c r="Y226" s="45">
        <f t="shared" si="119"/>
        <v>1.6183409375259094E-2</v>
      </c>
      <c r="Z226" s="10">
        <f t="shared" si="107"/>
        <v>18.921910537329861</v>
      </c>
      <c r="AA226">
        <f t="shared" si="114"/>
        <v>6125542.2785209119</v>
      </c>
      <c r="AB226" s="10">
        <f t="shared" si="115"/>
        <v>6.1255422785209124</v>
      </c>
      <c r="AC226" s="10">
        <f t="shared" si="116"/>
        <v>6.0245422785209124</v>
      </c>
      <c r="AD226" s="3">
        <f t="shared" si="117"/>
        <v>873.75522531122726</v>
      </c>
      <c r="AI226" s="100">
        <f t="shared" si="118"/>
        <v>1.5003272518243602</v>
      </c>
    </row>
    <row r="227" spans="2:35">
      <c r="B227" s="39">
        <f t="shared" si="90"/>
        <v>199</v>
      </c>
      <c r="C227" s="45">
        <f t="shared" si="91"/>
        <v>5.8459232613906185</v>
      </c>
      <c r="D227" s="10">
        <f t="shared" si="92"/>
        <v>18.654076738609547</v>
      </c>
      <c r="E227" s="40">
        <f t="shared" si="93"/>
        <v>31.691846522780907</v>
      </c>
      <c r="F227" s="40">
        <f t="shared" si="94"/>
        <v>69</v>
      </c>
      <c r="G227" s="3">
        <f t="shared" si="95"/>
        <v>413.23261390887637</v>
      </c>
      <c r="H227" s="3">
        <f t="shared" si="96"/>
        <v>221.47275588995251</v>
      </c>
      <c r="I227">
        <f t="shared" si="108"/>
        <v>2.214727558899525E-4</v>
      </c>
      <c r="J227" s="4">
        <f t="shared" si="97"/>
        <v>1467.4168295739883</v>
      </c>
      <c r="K227" s="40">
        <f t="shared" si="98"/>
        <v>6.6257216318883589</v>
      </c>
      <c r="L227" s="40">
        <f t="shared" si="109"/>
        <v>0</v>
      </c>
      <c r="M227" s="10">
        <f t="shared" si="99"/>
        <v>6.1255422785209124</v>
      </c>
      <c r="N227" s="10">
        <f t="shared" si="110"/>
        <v>17.20418640980624</v>
      </c>
      <c r="O227" s="10">
        <f t="shared" si="111"/>
        <v>-0.14810000000000001</v>
      </c>
      <c r="P227" s="10">
        <f t="shared" si="100"/>
        <v>13.154005918287723</v>
      </c>
      <c r="Q227" s="45">
        <f t="shared" si="101"/>
        <v>0.50398289535435947</v>
      </c>
      <c r="R227" s="4">
        <f t="shared" si="102"/>
        <v>1219221.2729335304</v>
      </c>
      <c r="S227">
        <f t="shared" si="112"/>
        <v>1.2192212729335303E-3</v>
      </c>
      <c r="T227" s="44">
        <f t="shared" si="113"/>
        <v>8.5717512154847349E-4</v>
      </c>
      <c r="U227" s="45">
        <f t="shared" si="103"/>
        <v>2.1763709332499985</v>
      </c>
      <c r="V227" s="45">
        <f t="shared" si="104"/>
        <v>1.519930550578023</v>
      </c>
      <c r="W227" s="45">
        <f t="shared" si="105"/>
        <v>1.500927444487278</v>
      </c>
      <c r="X227" s="45">
        <f t="shared" si="106"/>
        <v>1.9003106090744959E-2</v>
      </c>
      <c r="Y227" s="45">
        <f t="shared" si="119"/>
        <v>1.6225848517126374E-2</v>
      </c>
      <c r="Z227" s="10">
        <f t="shared" si="107"/>
        <v>18.929444064842471</v>
      </c>
      <c r="AA227">
        <f t="shared" si="114"/>
        <v>6127940.8764276383</v>
      </c>
      <c r="AB227" s="10">
        <f t="shared" si="115"/>
        <v>6.1279408764276386</v>
      </c>
      <c r="AC227" s="10">
        <f t="shared" si="116"/>
        <v>6.0269408764276386</v>
      </c>
      <c r="AD227" s="3">
        <f t="shared" si="117"/>
        <v>874.10310027957041</v>
      </c>
      <c r="AI227" s="100">
        <f t="shared" si="118"/>
        <v>1.500927444487278</v>
      </c>
    </row>
    <row r="228" spans="2:35">
      <c r="B228" s="39">
        <f t="shared" si="90"/>
        <v>200</v>
      </c>
      <c r="C228" s="45">
        <f t="shared" si="91"/>
        <v>5.8752997601915764</v>
      </c>
      <c r="D228" s="10">
        <f t="shared" si="92"/>
        <v>18.62470023980859</v>
      </c>
      <c r="E228" s="40">
        <f t="shared" si="93"/>
        <v>31.750599520382821</v>
      </c>
      <c r="F228" s="40">
        <f t="shared" si="94"/>
        <v>69</v>
      </c>
      <c r="G228" s="3">
        <f t="shared" si="95"/>
        <v>412.99760191846872</v>
      </c>
      <c r="H228" s="3">
        <f t="shared" si="96"/>
        <v>221.47275588995251</v>
      </c>
      <c r="I228">
        <f t="shared" si="108"/>
        <v>2.214727558899525E-4</v>
      </c>
      <c r="J228" s="4">
        <f t="shared" si="97"/>
        <v>1470.344349297709</v>
      </c>
      <c r="K228" s="40">
        <f t="shared" si="98"/>
        <v>6.6389400510657284</v>
      </c>
      <c r="L228" s="40">
        <f t="shared" si="109"/>
        <v>0</v>
      </c>
      <c r="M228" s="10">
        <f t="shared" si="99"/>
        <v>6.1279408764276386</v>
      </c>
      <c r="N228" s="10">
        <f t="shared" si="110"/>
        <v>17.20418640980624</v>
      </c>
      <c r="O228" s="10">
        <f t="shared" si="111"/>
        <v>-0.14810000000000001</v>
      </c>
      <c r="P228" s="10">
        <f t="shared" si="100"/>
        <v>13.153243262808719</v>
      </c>
      <c r="Q228" s="45">
        <f t="shared" si="101"/>
        <v>0.50621629879820973</v>
      </c>
      <c r="R228" s="4">
        <f t="shared" si="102"/>
        <v>1217318.8236887013</v>
      </c>
      <c r="S228">
        <f t="shared" si="112"/>
        <v>1.2173188236887012E-3</v>
      </c>
      <c r="T228" s="44">
        <f t="shared" si="113"/>
        <v>8.5907757079330257E-4</v>
      </c>
      <c r="U228" s="45">
        <f t="shared" si="103"/>
        <v>2.172974966225516</v>
      </c>
      <c r="V228" s="45">
        <f t="shared" si="104"/>
        <v>1.5205345159798258</v>
      </c>
      <c r="W228" s="45">
        <f t="shared" si="105"/>
        <v>1.5015250204125614</v>
      </c>
      <c r="X228" s="45">
        <f t="shared" si="106"/>
        <v>1.9009495567264389E-2</v>
      </c>
      <c r="Y228" s="45">
        <f t="shared" si="119"/>
        <v>1.6268304389992157E-2</v>
      </c>
      <c r="Z228" s="10">
        <f t="shared" si="107"/>
        <v>18.936944628841179</v>
      </c>
      <c r="AA228">
        <f t="shared" si="114"/>
        <v>6130328.9790895665</v>
      </c>
      <c r="AB228" s="10">
        <f t="shared" si="115"/>
        <v>6.1303289790895663</v>
      </c>
      <c r="AC228" s="10">
        <f t="shared" si="116"/>
        <v>6.0293289790895663</v>
      </c>
      <c r="AD228" s="3">
        <f t="shared" si="117"/>
        <v>874.44945309493346</v>
      </c>
      <c r="AI228" s="100">
        <f t="shared" si="118"/>
        <v>1.5015250204125614</v>
      </c>
    </row>
    <row r="229" spans="2:35">
      <c r="B229" s="39">
        <f t="shared" si="90"/>
        <v>201</v>
      </c>
      <c r="C229" s="45">
        <f t="shared" si="91"/>
        <v>5.9046762589925343</v>
      </c>
      <c r="D229" s="10">
        <f t="shared" si="92"/>
        <v>18.595323741007633</v>
      </c>
      <c r="E229" s="40">
        <f t="shared" si="93"/>
        <v>31.809352517984735</v>
      </c>
      <c r="F229" s="40">
        <f t="shared" si="94"/>
        <v>69</v>
      </c>
      <c r="G229" s="3">
        <f t="shared" si="95"/>
        <v>412.76258992806106</v>
      </c>
      <c r="H229" s="3">
        <f t="shared" si="96"/>
        <v>221.47275588995251</v>
      </c>
      <c r="I229">
        <f t="shared" si="108"/>
        <v>2.214727558899525E-4</v>
      </c>
      <c r="J229" s="4">
        <f t="shared" si="97"/>
        <v>1473.277291276404</v>
      </c>
      <c r="K229" s="40">
        <f t="shared" si="98"/>
        <v>6.6521829529608603</v>
      </c>
      <c r="L229" s="40">
        <f t="shared" si="109"/>
        <v>0</v>
      </c>
      <c r="M229" s="10">
        <f t="shared" si="99"/>
        <v>6.1303289790895663</v>
      </c>
      <c r="N229" s="10">
        <f t="shared" si="110"/>
        <v>17.20418640980624</v>
      </c>
      <c r="O229" s="10">
        <f t="shared" si="111"/>
        <v>-0.14810000000000001</v>
      </c>
      <c r="P229" s="10">
        <f t="shared" si="100"/>
        <v>13.152484284792763</v>
      </c>
      <c r="Q229" s="45">
        <f t="shared" si="101"/>
        <v>0.50844983112296782</v>
      </c>
      <c r="R229" s="4">
        <f t="shared" si="102"/>
        <v>1215415.5123443403</v>
      </c>
      <c r="S229">
        <f t="shared" si="112"/>
        <v>1.2154155123443404E-3</v>
      </c>
      <c r="T229" s="44">
        <f t="shared" si="113"/>
        <v>8.6098088213766339E-4</v>
      </c>
      <c r="U229" s="45">
        <f t="shared" si="103"/>
        <v>2.1695774603102649</v>
      </c>
      <c r="V229" s="45">
        <f t="shared" si="104"/>
        <v>1.5211357711687004</v>
      </c>
      <c r="W229" s="45">
        <f t="shared" si="105"/>
        <v>1.5021199815996242</v>
      </c>
      <c r="X229" s="45">
        <f t="shared" si="106"/>
        <v>1.9015789569076125E-2</v>
      </c>
      <c r="Y229" s="45">
        <f t="shared" si="119"/>
        <v>1.6310776770675488E-2</v>
      </c>
      <c r="Z229" s="10">
        <f t="shared" si="107"/>
        <v>18.944412250105614</v>
      </c>
      <c r="AA229">
        <f t="shared" si="114"/>
        <v>6132706.5931227179</v>
      </c>
      <c r="AB229" s="10">
        <f t="shared" si="115"/>
        <v>6.1327065931227178</v>
      </c>
      <c r="AC229" s="10">
        <f t="shared" si="116"/>
        <v>6.0317065931227178</v>
      </c>
      <c r="AD229" s="3">
        <f t="shared" si="117"/>
        <v>874.79428471685537</v>
      </c>
      <c r="AI229" s="100">
        <f t="shared" si="118"/>
        <v>1.5021199815996242</v>
      </c>
    </row>
    <row r="230" spans="2:35">
      <c r="B230" s="39">
        <f t="shared" si="90"/>
        <v>202</v>
      </c>
      <c r="C230" s="45">
        <f t="shared" si="91"/>
        <v>5.9340527577934923</v>
      </c>
      <c r="D230" s="10">
        <f t="shared" si="92"/>
        <v>18.565947242206676</v>
      </c>
      <c r="E230" s="40">
        <f t="shared" si="93"/>
        <v>31.868105515586649</v>
      </c>
      <c r="F230" s="40">
        <f t="shared" si="94"/>
        <v>69</v>
      </c>
      <c r="G230" s="3">
        <f t="shared" si="95"/>
        <v>412.5275779376534</v>
      </c>
      <c r="H230" s="3">
        <f t="shared" si="96"/>
        <v>221.47275588995251</v>
      </c>
      <c r="I230">
        <f t="shared" si="108"/>
        <v>2.214727558899525E-4</v>
      </c>
      <c r="J230" s="4">
        <f t="shared" si="97"/>
        <v>1476.2156555100723</v>
      </c>
      <c r="K230" s="40">
        <f t="shared" si="98"/>
        <v>6.6654503375737484</v>
      </c>
      <c r="L230" s="40">
        <f t="shared" si="109"/>
        <v>0</v>
      </c>
      <c r="M230" s="10">
        <f t="shared" si="99"/>
        <v>6.1327065931227178</v>
      </c>
      <c r="N230" s="10">
        <f t="shared" si="110"/>
        <v>17.20418640980624</v>
      </c>
      <c r="O230" s="10">
        <f t="shared" si="111"/>
        <v>-0.14810000000000001</v>
      </c>
      <c r="P230" s="10">
        <f t="shared" si="100"/>
        <v>13.151728977378056</v>
      </c>
      <c r="Q230" s="45">
        <f t="shared" si="101"/>
        <v>0.51068349172010208</v>
      </c>
      <c r="R230" s="4">
        <f t="shared" si="102"/>
        <v>1213511.3427233323</v>
      </c>
      <c r="S230">
        <f t="shared" si="112"/>
        <v>1.2135113427233324E-3</v>
      </c>
      <c r="T230" s="44">
        <f t="shared" si="113"/>
        <v>8.6288505175867143E-4</v>
      </c>
      <c r="U230" s="45">
        <f t="shared" si="103"/>
        <v>2.1661784223282843</v>
      </c>
      <c r="V230" s="45">
        <f t="shared" si="104"/>
        <v>1.5217343164585975</v>
      </c>
      <c r="W230" s="45">
        <f t="shared" si="105"/>
        <v>1.5027123296967535</v>
      </c>
      <c r="X230" s="45">
        <f t="shared" si="106"/>
        <v>1.9021986761843968E-2</v>
      </c>
      <c r="Y230" s="45">
        <f t="shared" si="119"/>
        <v>1.635326543298463E-2</v>
      </c>
      <c r="Z230" s="10">
        <f t="shared" si="107"/>
        <v>18.951846946073012</v>
      </c>
      <c r="AA230">
        <f t="shared" si="114"/>
        <v>6135073.7240789263</v>
      </c>
      <c r="AB230" s="10">
        <f t="shared" si="115"/>
        <v>6.1350737240789259</v>
      </c>
      <c r="AC230" s="10">
        <f t="shared" si="116"/>
        <v>6.0340737240789259</v>
      </c>
      <c r="AD230" s="3">
        <f t="shared" si="117"/>
        <v>875.13759595053318</v>
      </c>
      <c r="AI230" s="100">
        <f t="shared" si="118"/>
        <v>1.5027123296967535</v>
      </c>
    </row>
    <row r="231" spans="2:35">
      <c r="B231" s="39">
        <f t="shared" si="90"/>
        <v>203</v>
      </c>
      <c r="C231" s="45">
        <f t="shared" si="91"/>
        <v>5.9634292565944502</v>
      </c>
      <c r="D231" s="10">
        <f t="shared" si="92"/>
        <v>18.536570743405719</v>
      </c>
      <c r="E231" s="40">
        <f t="shared" si="93"/>
        <v>31.926858513188563</v>
      </c>
      <c r="F231" s="40">
        <f t="shared" si="94"/>
        <v>69</v>
      </c>
      <c r="G231" s="3">
        <f t="shared" si="95"/>
        <v>412.29256594724575</v>
      </c>
      <c r="H231" s="3">
        <f t="shared" si="96"/>
        <v>221.47275588995251</v>
      </c>
      <c r="I231">
        <f t="shared" ref="I231:I294" si="120">H231/1000^2</f>
        <v>2.214727558899525E-4</v>
      </c>
      <c r="J231" s="4">
        <f t="shared" si="97"/>
        <v>1479.159441998715</v>
      </c>
      <c r="K231" s="40">
        <f t="shared" si="98"/>
        <v>6.6787422049043981</v>
      </c>
      <c r="L231" s="40">
        <f t="shared" ref="L231:L294" si="121">IF((gstar-K231)&lt;0,0,gstar-K231)</f>
        <v>0</v>
      </c>
      <c r="M231" s="10">
        <f t="shared" si="99"/>
        <v>6.1350737240789259</v>
      </c>
      <c r="N231" s="10">
        <f t="shared" si="110"/>
        <v>17.20418640980624</v>
      </c>
      <c r="O231" s="10">
        <f t="shared" si="111"/>
        <v>-0.14810000000000001</v>
      </c>
      <c r="P231" s="10">
        <f t="shared" si="100"/>
        <v>13.150977334071838</v>
      </c>
      <c r="Q231" s="45">
        <f t="shared" si="101"/>
        <v>0.51291727998197134</v>
      </c>
      <c r="R231" s="4">
        <f t="shared" si="102"/>
        <v>1211606.3186485621</v>
      </c>
      <c r="S231">
        <f t="shared" ref="S231:S294" si="122">R231/1000^3</f>
        <v>1.211606318648562E-3</v>
      </c>
      <c r="T231" s="44">
        <f t="shared" ref="T231:T294" si="123">(vc/1000^3-S231)</f>
        <v>8.6479007583344179E-4</v>
      </c>
      <c r="U231" s="45">
        <f t="shared" si="103"/>
        <v>2.162777859103616</v>
      </c>
      <c r="V231" s="45">
        <f t="shared" si="104"/>
        <v>1.5223301521974477</v>
      </c>
      <c r="W231" s="45">
        <f t="shared" si="105"/>
        <v>1.5033020660871073</v>
      </c>
      <c r="X231" s="45">
        <f t="shared" si="106"/>
        <v>1.9028086110340459E-2</v>
      </c>
      <c r="Y231" s="45">
        <f t="shared" si="119"/>
        <v>1.6395770148383747E-2</v>
      </c>
      <c r="Z231" s="10">
        <f t="shared" si="107"/>
        <v>18.959248731644287</v>
      </c>
      <c r="AA231">
        <f t="shared" ref="AA231:AA294" si="124">Z231*rat*to+patm*1000000</f>
        <v>6137430.3767024931</v>
      </c>
      <c r="AB231" s="10">
        <f t="shared" ref="AB231:AB294" si="125">AA231/1000000</f>
        <v>6.1374303767024934</v>
      </c>
      <c r="AC231" s="10">
        <f t="shared" ref="AC231:AC294" si="126">AB231-patm</f>
        <v>6.0364303767024934</v>
      </c>
      <c r="AD231" s="3">
        <f t="shared" ref="AD231:AD294" si="127">AC231*1000000/6895</f>
        <v>875.47938748404545</v>
      </c>
      <c r="AI231" s="100">
        <f t="shared" ref="AI231:AI294" si="128">($M231-patm)*1000000*$I231/SQRT(rat*to)*SQRT(k)*(2/(k+1))^((k+1)/2/(k-1))</f>
        <v>1.5033020660871073</v>
      </c>
    </row>
    <row r="232" spans="2:35">
      <c r="B232" s="39">
        <f t="shared" ref="B232:B295" si="129">1+B231</f>
        <v>204</v>
      </c>
      <c r="C232" s="45">
        <f t="shared" ref="C232:C295" si="130">xincp+C231</f>
        <v>5.9928057553954082</v>
      </c>
      <c r="D232" s="10">
        <f t="shared" ref="D232:D295" si="131">(F232-E232)/2</f>
        <v>18.507194244604761</v>
      </c>
      <c r="E232" s="40">
        <f t="shared" ref="E232:E295" si="132">E231+ci*2*xincp</f>
        <v>31.985611510790477</v>
      </c>
      <c r="F232" s="40">
        <f t="shared" ref="F232:F295" si="133">F231-osi*2*xincp</f>
        <v>69</v>
      </c>
      <c r="G232" s="3">
        <f t="shared" ref="G232:G295" si="134">G231-ei*n*2*xincp</f>
        <v>412.05755395683809</v>
      </c>
      <c r="H232" s="3">
        <f t="shared" ref="H232:H295" si="135">PI()/4*(dto+erate*(two-D232)/two)^2</f>
        <v>221.47275588995251</v>
      </c>
      <c r="I232">
        <f t="shared" si="120"/>
        <v>2.214727558899525E-4</v>
      </c>
      <c r="J232" s="4">
        <f t="shared" ref="J232:J295" si="136">PI()/4*dc^2-PI()/4*(F232^2-E232^2)</f>
        <v>1482.108650742332</v>
      </c>
      <c r="K232" s="40">
        <f t="shared" ref="K232:K295" si="137">J232/H232</f>
        <v>6.6920585549528093</v>
      </c>
      <c r="L232" s="40">
        <f t="shared" si="121"/>
        <v>0</v>
      </c>
      <c r="M232" s="10">
        <f t="shared" ref="M232:M295" si="138">AB231</f>
        <v>6.1374303767024934</v>
      </c>
      <c r="N232" s="10">
        <f t="shared" si="110"/>
        <v>17.20418640980624</v>
      </c>
      <c r="O232" s="10">
        <f t="shared" si="111"/>
        <v>-0.14810000000000001</v>
      </c>
      <c r="P232" s="10">
        <f t="shared" ref="P232:P295" si="139">(1+kv*L232)*N232*M232^O232</f>
        <v>13.15022934866804</v>
      </c>
      <c r="Q232" s="45">
        <f t="shared" ref="Q232:Q295" si="140">xincp/P232+Q231</f>
        <v>0.51515119530177778</v>
      </c>
      <c r="R232" s="4">
        <f t="shared" ref="R232:R295" si="141">PI()/4*(F232^2-E232^2)*G232</f>
        <v>1209700.443942914</v>
      </c>
      <c r="S232">
        <f t="shared" si="122"/>
        <v>1.2097004439429141E-3</v>
      </c>
      <c r="T232" s="44">
        <f t="shared" si="123"/>
        <v>8.6669595053908972E-4</v>
      </c>
      <c r="U232" s="45">
        <f t="shared" ref="U232:U295" si="142">rhopgrain*R232/1000^2</f>
        <v>2.1593757774602986</v>
      </c>
      <c r="V232" s="45">
        <f t="shared" ref="V232:V295" si="143">(U231-U232)/(Q232-Q231)</f>
        <v>1.5229232787624782</v>
      </c>
      <c r="W232" s="45">
        <f t="shared" ref="W232:W295" si="144">IF(V232&lt;AI232,IF(AB231&gt;pbd,AI232,0),AI232)</f>
        <v>1.5038891919526596</v>
      </c>
      <c r="X232" s="45">
        <f t="shared" ref="X232:X295" si="145">V232-W232</f>
        <v>1.9034086809818662E-2</v>
      </c>
      <c r="Y232" s="45">
        <f t="shared" si="119"/>
        <v>1.6438290686506728E-2</v>
      </c>
      <c r="Z232" s="10">
        <f t="shared" ref="Z232:Z295" si="146">Y232/T232</f>
        <v>18.966617619803138</v>
      </c>
      <c r="AA232">
        <f t="shared" si="124"/>
        <v>6139776.5551272938</v>
      </c>
      <c r="AB232" s="10">
        <f t="shared" si="125"/>
        <v>6.1397765551272938</v>
      </c>
      <c r="AC232" s="10">
        <f t="shared" si="126"/>
        <v>6.0387765551272938</v>
      </c>
      <c r="AD232" s="3">
        <f t="shared" si="127"/>
        <v>875.81965991693892</v>
      </c>
      <c r="AI232" s="100">
        <f t="shared" si="128"/>
        <v>1.5038891919526596</v>
      </c>
    </row>
    <row r="233" spans="2:35">
      <c r="B233" s="39">
        <f t="shared" si="129"/>
        <v>205</v>
      </c>
      <c r="C233" s="45">
        <f t="shared" si="130"/>
        <v>6.0221822541963661</v>
      </c>
      <c r="D233" s="10">
        <f t="shared" si="131"/>
        <v>18.477817745803804</v>
      </c>
      <c r="E233" s="40">
        <f t="shared" si="132"/>
        <v>32.044364508392391</v>
      </c>
      <c r="F233" s="40">
        <f t="shared" si="133"/>
        <v>69</v>
      </c>
      <c r="G233" s="3">
        <f t="shared" si="134"/>
        <v>411.82254196643044</v>
      </c>
      <c r="H233" s="3">
        <f t="shared" si="135"/>
        <v>221.47275588995251</v>
      </c>
      <c r="I233">
        <f t="shared" si="120"/>
        <v>2.214727558899525E-4</v>
      </c>
      <c r="J233" s="4">
        <f t="shared" si="136"/>
        <v>1485.0632817409223</v>
      </c>
      <c r="K233" s="40">
        <f t="shared" si="137"/>
        <v>6.7053993877189786</v>
      </c>
      <c r="L233" s="40">
        <f t="shared" si="121"/>
        <v>0</v>
      </c>
      <c r="M233" s="10">
        <f t="shared" si="138"/>
        <v>6.1397765551272938</v>
      </c>
      <c r="N233" s="10">
        <f t="shared" si="110"/>
        <v>17.20418640980624</v>
      </c>
      <c r="O233" s="10">
        <f t="shared" si="111"/>
        <v>-0.14810000000000001</v>
      </c>
      <c r="P233" s="10">
        <f t="shared" si="139"/>
        <v>13.149485015184066</v>
      </c>
      <c r="Q233" s="45">
        <f t="shared" si="140"/>
        <v>0.51738523707353046</v>
      </c>
      <c r="R233" s="4">
        <f t="shared" si="141"/>
        <v>1207793.7224292739</v>
      </c>
      <c r="S233">
        <f t="shared" si="122"/>
        <v>1.2077937224292739E-3</v>
      </c>
      <c r="T233" s="44">
        <f t="shared" si="123"/>
        <v>8.6860267205272988E-4</v>
      </c>
      <c r="U233" s="45">
        <f t="shared" si="142"/>
        <v>2.1559721842223754</v>
      </c>
      <c r="V233" s="45">
        <f t="shared" si="143"/>
        <v>1.523513696546972</v>
      </c>
      <c r="W233" s="45">
        <f t="shared" si="144"/>
        <v>1.5044737083233064</v>
      </c>
      <c r="X233" s="45">
        <f t="shared" si="145"/>
        <v>1.9039988223665594E-2</v>
      </c>
      <c r="Y233" s="45">
        <f t="shared" si="119"/>
        <v>1.6480826815532076E-2</v>
      </c>
      <c r="Z233" s="10">
        <f t="shared" si="146"/>
        <v>18.973953622067125</v>
      </c>
      <c r="AA233">
        <f t="shared" si="124"/>
        <v>6142112.2630204009</v>
      </c>
      <c r="AB233" s="10">
        <f t="shared" si="125"/>
        <v>6.142112263020401</v>
      </c>
      <c r="AC233" s="10">
        <f t="shared" si="126"/>
        <v>6.0411122630204011</v>
      </c>
      <c r="AD233" s="3">
        <f t="shared" si="127"/>
        <v>876.15841378105881</v>
      </c>
      <c r="AI233" s="100">
        <f t="shared" si="128"/>
        <v>1.5044737083233064</v>
      </c>
    </row>
    <row r="234" spans="2:35">
      <c r="B234" s="39">
        <f t="shared" si="129"/>
        <v>206</v>
      </c>
      <c r="C234" s="45">
        <f t="shared" si="130"/>
        <v>6.051558752997324</v>
      </c>
      <c r="D234" s="10">
        <f t="shared" si="131"/>
        <v>18.448441247002847</v>
      </c>
      <c r="E234" s="40">
        <f t="shared" si="132"/>
        <v>32.103117505994305</v>
      </c>
      <c r="F234" s="40">
        <f t="shared" si="133"/>
        <v>69</v>
      </c>
      <c r="G234" s="3">
        <f t="shared" si="134"/>
        <v>411.58752997602278</v>
      </c>
      <c r="H234" s="3">
        <f t="shared" si="135"/>
        <v>221.47275588995251</v>
      </c>
      <c r="I234">
        <f t="shared" si="120"/>
        <v>2.214727558899525E-4</v>
      </c>
      <c r="J234" s="4">
        <f t="shared" si="136"/>
        <v>1488.0233349944865</v>
      </c>
      <c r="K234" s="40">
        <f t="shared" si="137"/>
        <v>6.7187647032029068</v>
      </c>
      <c r="L234" s="40">
        <f t="shared" si="121"/>
        <v>0</v>
      </c>
      <c r="M234" s="10">
        <f t="shared" si="138"/>
        <v>6.142112263020401</v>
      </c>
      <c r="N234" s="10">
        <f t="shared" si="110"/>
        <v>17.20418640980624</v>
      </c>
      <c r="O234" s="10">
        <f t="shared" si="111"/>
        <v>-0.14810000000000001</v>
      </c>
      <c r="P234" s="10">
        <f t="shared" si="139"/>
        <v>13.148744327814711</v>
      </c>
      <c r="Q234" s="45">
        <f t="shared" si="140"/>
        <v>0.51961940469201662</v>
      </c>
      <c r="R234" s="4">
        <f t="shared" si="141"/>
        <v>1205886.1579305257</v>
      </c>
      <c r="S234">
        <f t="shared" si="122"/>
        <v>1.2058861579305256E-3</v>
      </c>
      <c r="T234" s="44">
        <f t="shared" si="123"/>
        <v>8.7051023655147818E-4</v>
      </c>
      <c r="U234" s="45">
        <f t="shared" si="142"/>
        <v>2.1525670862138848</v>
      </c>
      <c r="V234" s="45">
        <f t="shared" si="143"/>
        <v>1.5241014059624507</v>
      </c>
      <c r="W234" s="45">
        <f t="shared" si="144"/>
        <v>1.5050556161126447</v>
      </c>
      <c r="X234" s="45">
        <f t="shared" si="145"/>
        <v>1.9045789849805983E-2</v>
      </c>
      <c r="Y234" s="45">
        <f t="shared" si="119"/>
        <v>1.6523378302483006E-2</v>
      </c>
      <c r="Z234" s="10">
        <f t="shared" si="146"/>
        <v>18.981256748846842</v>
      </c>
      <c r="AA234">
        <f t="shared" si="124"/>
        <v>6144437.5036964426</v>
      </c>
      <c r="AB234" s="10">
        <f t="shared" si="125"/>
        <v>6.1444375036964427</v>
      </c>
      <c r="AC234" s="10">
        <f t="shared" si="126"/>
        <v>6.0434375036964427</v>
      </c>
      <c r="AD234" s="3">
        <f t="shared" si="127"/>
        <v>876.49564955713458</v>
      </c>
      <c r="AI234" s="100">
        <f t="shared" si="128"/>
        <v>1.5050556161126447</v>
      </c>
    </row>
    <row r="235" spans="2:35">
      <c r="B235" s="39">
        <f t="shared" si="129"/>
        <v>207</v>
      </c>
      <c r="C235" s="45">
        <f t="shared" si="130"/>
        <v>6.080935251798282</v>
      </c>
      <c r="D235" s="10">
        <f t="shared" si="131"/>
        <v>18.41906474820189</v>
      </c>
      <c r="E235" s="40">
        <f t="shared" si="132"/>
        <v>32.161870503596219</v>
      </c>
      <c r="F235" s="40">
        <f t="shared" si="133"/>
        <v>69</v>
      </c>
      <c r="G235" s="3">
        <f t="shared" si="134"/>
        <v>411.35251798561512</v>
      </c>
      <c r="H235" s="3">
        <f t="shared" si="135"/>
        <v>221.47275588995251</v>
      </c>
      <c r="I235">
        <f t="shared" si="120"/>
        <v>2.214727558899525E-4</v>
      </c>
      <c r="J235" s="4">
        <f t="shared" si="136"/>
        <v>1490.988810503025</v>
      </c>
      <c r="K235" s="40">
        <f t="shared" si="137"/>
        <v>6.7321545014045956</v>
      </c>
      <c r="L235" s="40">
        <f t="shared" si="121"/>
        <v>0</v>
      </c>
      <c r="M235" s="10">
        <f t="shared" si="138"/>
        <v>6.1444375036964427</v>
      </c>
      <c r="N235" s="10">
        <f t="shared" si="110"/>
        <v>17.20418640980624</v>
      </c>
      <c r="O235" s="10">
        <f t="shared" si="111"/>
        <v>-0.14810000000000001</v>
      </c>
      <c r="P235" s="10">
        <f t="shared" si="139"/>
        <v>13.148007280895468</v>
      </c>
      <c r="Q235" s="45">
        <f t="shared" si="140"/>
        <v>0.52185369755277911</v>
      </c>
      <c r="R235" s="4">
        <f t="shared" si="141"/>
        <v>1203977.7542695545</v>
      </c>
      <c r="S235">
        <f t="shared" si="122"/>
        <v>1.2039777542695545E-3</v>
      </c>
      <c r="T235" s="44">
        <f t="shared" si="123"/>
        <v>8.7241864021244927E-4</v>
      </c>
      <c r="U235" s="45">
        <f t="shared" si="142"/>
        <v>2.1491604902588684</v>
      </c>
      <c r="V235" s="45">
        <f t="shared" si="143"/>
        <v>1.5246864074273201</v>
      </c>
      <c r="W235" s="45">
        <f t="shared" si="144"/>
        <v>1.5056349161464664</v>
      </c>
      <c r="X235" s="45">
        <f t="shared" si="145"/>
        <v>1.9051491280853705E-2</v>
      </c>
      <c r="Y235" s="45">
        <f t="shared" si="119"/>
        <v>1.6565944913438695E-2</v>
      </c>
      <c r="Z235" s="10">
        <f t="shared" si="146"/>
        <v>18.988527009698689</v>
      </c>
      <c r="AA235">
        <f t="shared" si="124"/>
        <v>6146752.2801980758</v>
      </c>
      <c r="AB235" s="10">
        <f t="shared" si="125"/>
        <v>6.1467522801980756</v>
      </c>
      <c r="AC235" s="10">
        <f t="shared" si="126"/>
        <v>6.0457522801980756</v>
      </c>
      <c r="AD235" s="3">
        <f t="shared" si="127"/>
        <v>876.83136768645045</v>
      </c>
      <c r="AI235" s="100">
        <f t="shared" si="128"/>
        <v>1.5056349161464664</v>
      </c>
    </row>
    <row r="236" spans="2:35">
      <c r="B236" s="39">
        <f t="shared" si="129"/>
        <v>208</v>
      </c>
      <c r="C236" s="45">
        <f t="shared" si="130"/>
        <v>6.1103117505992399</v>
      </c>
      <c r="D236" s="10">
        <f t="shared" si="131"/>
        <v>18.389688249400933</v>
      </c>
      <c r="E236" s="40">
        <f t="shared" si="132"/>
        <v>32.220623501198133</v>
      </c>
      <c r="F236" s="40">
        <f t="shared" si="133"/>
        <v>69</v>
      </c>
      <c r="G236" s="3">
        <f t="shared" si="134"/>
        <v>411.11750599520747</v>
      </c>
      <c r="H236" s="3">
        <f t="shared" si="135"/>
        <v>221.47275588995251</v>
      </c>
      <c r="I236">
        <f t="shared" si="120"/>
        <v>2.214727558899525E-4</v>
      </c>
      <c r="J236" s="4">
        <f t="shared" si="136"/>
        <v>1493.9597082665368</v>
      </c>
      <c r="K236" s="40">
        <f t="shared" si="137"/>
        <v>6.7455687823240424</v>
      </c>
      <c r="L236" s="40">
        <f t="shared" si="121"/>
        <v>0</v>
      </c>
      <c r="M236" s="10">
        <f t="shared" si="138"/>
        <v>6.1467522801980756</v>
      </c>
      <c r="N236" s="10">
        <f t="shared" si="110"/>
        <v>17.20418640980624</v>
      </c>
      <c r="O236" s="10">
        <f t="shared" si="111"/>
        <v>-0.14810000000000001</v>
      </c>
      <c r="P236" s="10">
        <f t="shared" si="139"/>
        <v>13.147273868876683</v>
      </c>
      <c r="Q236" s="45">
        <f t="shared" si="140"/>
        <v>0.52408811505209818</v>
      </c>
      <c r="R236" s="4">
        <f t="shared" si="141"/>
        <v>1202068.5152692453</v>
      </c>
      <c r="S236">
        <f t="shared" si="122"/>
        <v>1.2020685152692452E-3</v>
      </c>
      <c r="T236" s="44">
        <f t="shared" si="123"/>
        <v>8.7432787921275863E-4</v>
      </c>
      <c r="U236" s="45">
        <f t="shared" si="142"/>
        <v>2.145752403181366</v>
      </c>
      <c r="V236" s="45">
        <f t="shared" si="143"/>
        <v>1.5252687013689212</v>
      </c>
      <c r="W236" s="45">
        <f t="shared" si="144"/>
        <v>1.5062116091828062</v>
      </c>
      <c r="X236" s="45">
        <f t="shared" si="145"/>
        <v>1.9057092186115066E-2</v>
      </c>
      <c r="Y236" s="45">
        <f t="shared" si="119"/>
        <v>1.6608526413705488E-2</v>
      </c>
      <c r="Z236" s="10">
        <f t="shared" si="146"/>
        <v>18.995764413528413</v>
      </c>
      <c r="AA236">
        <f t="shared" si="124"/>
        <v>6149056.5953608016</v>
      </c>
      <c r="AB236" s="10">
        <f t="shared" si="125"/>
        <v>6.1490565953608014</v>
      </c>
      <c r="AC236" s="10">
        <f t="shared" si="126"/>
        <v>6.0480565953608014</v>
      </c>
      <c r="AD236" s="3">
        <f t="shared" si="127"/>
        <v>877.16556858024683</v>
      </c>
      <c r="AI236" s="100">
        <f t="shared" si="128"/>
        <v>1.5062116091828062</v>
      </c>
    </row>
    <row r="237" spans="2:35">
      <c r="B237" s="39">
        <f t="shared" si="129"/>
        <v>209</v>
      </c>
      <c r="C237" s="45">
        <f t="shared" si="130"/>
        <v>6.1396882494001979</v>
      </c>
      <c r="D237" s="10">
        <f t="shared" si="131"/>
        <v>18.360311750599976</v>
      </c>
      <c r="E237" s="40">
        <f t="shared" si="132"/>
        <v>32.279376498800048</v>
      </c>
      <c r="F237" s="40">
        <f t="shared" si="133"/>
        <v>69</v>
      </c>
      <c r="G237" s="3">
        <f t="shared" si="134"/>
        <v>410.88249400479981</v>
      </c>
      <c r="H237" s="3">
        <f t="shared" si="135"/>
        <v>221.47275588995251</v>
      </c>
      <c r="I237">
        <f t="shared" si="120"/>
        <v>2.214727558899525E-4</v>
      </c>
      <c r="J237" s="4">
        <f t="shared" si="136"/>
        <v>1496.936028285023</v>
      </c>
      <c r="K237" s="40">
        <f t="shared" si="137"/>
        <v>6.7590075459612509</v>
      </c>
      <c r="L237" s="40">
        <f t="shared" si="121"/>
        <v>0</v>
      </c>
      <c r="M237" s="10">
        <f t="shared" si="138"/>
        <v>6.1490565953608014</v>
      </c>
      <c r="N237" s="10">
        <f t="shared" si="110"/>
        <v>17.20418640980624</v>
      </c>
      <c r="O237" s="10">
        <f t="shared" si="111"/>
        <v>-0.14810000000000001</v>
      </c>
      <c r="P237" s="10">
        <f t="shared" si="139"/>
        <v>13.146544086302709</v>
      </c>
      <c r="Q237" s="45">
        <f t="shared" si="140"/>
        <v>0.52632265658697697</v>
      </c>
      <c r="R237" s="4">
        <f t="shared" si="141"/>
        <v>1200158.4447524825</v>
      </c>
      <c r="S237">
        <f t="shared" si="122"/>
        <v>1.2001584447524825E-3</v>
      </c>
      <c r="T237" s="44">
        <f t="shared" si="123"/>
        <v>8.7623794972952135E-4</v>
      </c>
      <c r="U237" s="45">
        <f t="shared" si="142"/>
        <v>2.1423428318054185</v>
      </c>
      <c r="V237" s="45">
        <f t="shared" si="143"/>
        <v>1.5258482882182778</v>
      </c>
      <c r="W237" s="45">
        <f t="shared" si="144"/>
        <v>1.506785695928087</v>
      </c>
      <c r="X237" s="45">
        <f t="shared" si="145"/>
        <v>1.9062592290190805E-2</v>
      </c>
      <c r="Y237" s="45">
        <f t="shared" si="119"/>
        <v>1.665112256794038E-2</v>
      </c>
      <c r="Z237" s="10">
        <f t="shared" si="146"/>
        <v>19.002968968737633</v>
      </c>
      <c r="AA237">
        <f t="shared" si="124"/>
        <v>6151350.4518596074</v>
      </c>
      <c r="AB237" s="10">
        <f t="shared" si="125"/>
        <v>6.1513504518596074</v>
      </c>
      <c r="AC237" s="10">
        <f t="shared" si="126"/>
        <v>6.0503504518596074</v>
      </c>
      <c r="AD237" s="3">
        <f t="shared" si="127"/>
        <v>877.49825262648403</v>
      </c>
      <c r="AI237" s="100">
        <f t="shared" si="128"/>
        <v>1.506785695928087</v>
      </c>
    </row>
    <row r="238" spans="2:35">
      <c r="B238" s="39">
        <f t="shared" si="129"/>
        <v>210</v>
      </c>
      <c r="C238" s="45">
        <f t="shared" si="130"/>
        <v>6.1690647482011558</v>
      </c>
      <c r="D238" s="10">
        <f t="shared" si="131"/>
        <v>18.330935251799019</v>
      </c>
      <c r="E238" s="40">
        <f t="shared" si="132"/>
        <v>32.338129496401962</v>
      </c>
      <c r="F238" s="40">
        <f t="shared" si="133"/>
        <v>69</v>
      </c>
      <c r="G238" s="3">
        <f t="shared" si="134"/>
        <v>410.64748201439215</v>
      </c>
      <c r="H238" s="3">
        <f t="shared" si="135"/>
        <v>221.47275588995251</v>
      </c>
      <c r="I238">
        <f t="shared" si="120"/>
        <v>2.214727558899525E-4</v>
      </c>
      <c r="J238" s="4">
        <f t="shared" si="136"/>
        <v>1499.9177705584825</v>
      </c>
      <c r="K238" s="40">
        <f t="shared" si="137"/>
        <v>6.7724707923162155</v>
      </c>
      <c r="L238" s="40">
        <f t="shared" si="121"/>
        <v>0</v>
      </c>
      <c r="M238" s="10">
        <f t="shared" si="138"/>
        <v>6.1513504518596074</v>
      </c>
      <c r="N238" s="10">
        <f t="shared" si="110"/>
        <v>17.20418640980624</v>
      </c>
      <c r="O238" s="10">
        <f t="shared" si="111"/>
        <v>-0.14810000000000001</v>
      </c>
      <c r="P238" s="10">
        <f t="shared" si="139"/>
        <v>13.145817927796909</v>
      </c>
      <c r="Q238" s="45">
        <f t="shared" si="140"/>
        <v>0.52855732155512936</v>
      </c>
      <c r="R238" s="4">
        <f t="shared" si="141"/>
        <v>1198247.5465421514</v>
      </c>
      <c r="S238">
        <f t="shared" si="122"/>
        <v>1.1982475465421513E-3</v>
      </c>
      <c r="T238" s="44">
        <f t="shared" si="123"/>
        <v>8.7814884793985248E-4</v>
      </c>
      <c r="U238" s="45">
        <f t="shared" si="142"/>
        <v>2.1389317829550674</v>
      </c>
      <c r="V238" s="45">
        <f t="shared" si="143"/>
        <v>1.5264251684096477</v>
      </c>
      <c r="W238" s="45">
        <f t="shared" si="144"/>
        <v>1.5073571770487437</v>
      </c>
      <c r="X238" s="45">
        <f t="shared" si="145"/>
        <v>1.906799136090398E-2</v>
      </c>
      <c r="Y238" s="45">
        <f t="shared" si="119"/>
        <v>1.6693733140247625E-2</v>
      </c>
      <c r="Z238" s="10">
        <f t="shared" si="146"/>
        <v>19.010140683337816</v>
      </c>
      <c r="AA238">
        <f t="shared" si="124"/>
        <v>6153633.8522452638</v>
      </c>
      <c r="AB238" s="10">
        <f t="shared" si="125"/>
        <v>6.1536338522452638</v>
      </c>
      <c r="AC238" s="10">
        <f t="shared" si="126"/>
        <v>6.0526338522452638</v>
      </c>
      <c r="AD238" s="3">
        <f t="shared" si="127"/>
        <v>877.8294201951071</v>
      </c>
      <c r="AI238" s="100">
        <f t="shared" si="128"/>
        <v>1.5073571770487437</v>
      </c>
    </row>
    <row r="239" spans="2:35">
      <c r="B239" s="39">
        <f t="shared" si="129"/>
        <v>211</v>
      </c>
      <c r="C239" s="45">
        <f t="shared" si="130"/>
        <v>6.1984412470021137</v>
      </c>
      <c r="D239" s="10">
        <f t="shared" si="131"/>
        <v>18.301558752998062</v>
      </c>
      <c r="E239" s="40">
        <f t="shared" si="132"/>
        <v>32.396882494003876</v>
      </c>
      <c r="F239" s="40">
        <f t="shared" si="133"/>
        <v>69</v>
      </c>
      <c r="G239" s="3">
        <f t="shared" si="134"/>
        <v>410.4124700239845</v>
      </c>
      <c r="H239" s="3">
        <f t="shared" si="135"/>
        <v>221.47275588995251</v>
      </c>
      <c r="I239">
        <f t="shared" si="120"/>
        <v>2.214727558899525E-4</v>
      </c>
      <c r="J239" s="4">
        <f t="shared" si="136"/>
        <v>1502.9049350869168</v>
      </c>
      <c r="K239" s="40">
        <f t="shared" si="137"/>
        <v>6.7859585213889444</v>
      </c>
      <c r="L239" s="40">
        <f t="shared" si="121"/>
        <v>0</v>
      </c>
      <c r="M239" s="10">
        <f t="shared" si="138"/>
        <v>6.1536338522452638</v>
      </c>
      <c r="N239" s="10">
        <f t="shared" si="110"/>
        <v>17.20418640980624</v>
      </c>
      <c r="O239" s="10">
        <f t="shared" si="111"/>
        <v>-0.14810000000000001</v>
      </c>
      <c r="P239" s="10">
        <f t="shared" si="139"/>
        <v>13.145095388049947</v>
      </c>
      <c r="Q239" s="45">
        <f t="shared" si="140"/>
        <v>0.53079210935497012</v>
      </c>
      <c r="R239" s="4">
        <f t="shared" si="141"/>
        <v>1196335.824461136</v>
      </c>
      <c r="S239">
        <f t="shared" si="122"/>
        <v>1.1963358244611361E-3</v>
      </c>
      <c r="T239" s="44">
        <f t="shared" si="123"/>
        <v>8.8006057002086775E-4</v>
      </c>
      <c r="U239" s="45">
        <f t="shared" si="142"/>
        <v>2.1355192634543507</v>
      </c>
      <c r="V239" s="45">
        <f t="shared" si="143"/>
        <v>1.5269993423804216</v>
      </c>
      <c r="W239" s="45">
        <f t="shared" si="144"/>
        <v>1.5079260531802638</v>
      </c>
      <c r="X239" s="45">
        <f t="shared" si="145"/>
        <v>1.9073289200157717E-2</v>
      </c>
      <c r="Y239" s="45">
        <f t="shared" si="119"/>
        <v>1.6736357894254972E-2</v>
      </c>
      <c r="Z239" s="10">
        <f t="shared" si="146"/>
        <v>19.017279565039626</v>
      </c>
      <c r="AA239">
        <f t="shared" si="124"/>
        <v>6155906.7989727659</v>
      </c>
      <c r="AB239" s="10">
        <f t="shared" si="125"/>
        <v>6.155906798972766</v>
      </c>
      <c r="AC239" s="10">
        <f t="shared" si="126"/>
        <v>6.0549067989727661</v>
      </c>
      <c r="AD239" s="3">
        <f t="shared" si="127"/>
        <v>878.1590716421706</v>
      </c>
      <c r="AI239" s="100">
        <f t="shared" si="128"/>
        <v>1.5079260531802638</v>
      </c>
    </row>
    <row r="240" spans="2:35">
      <c r="B240" s="39">
        <f t="shared" si="129"/>
        <v>212</v>
      </c>
      <c r="C240" s="45">
        <f t="shared" si="130"/>
        <v>6.2278177458030717</v>
      </c>
      <c r="D240" s="10">
        <f t="shared" si="131"/>
        <v>18.272182254197105</v>
      </c>
      <c r="E240" s="40">
        <f t="shared" si="132"/>
        <v>32.45563549160579</v>
      </c>
      <c r="F240" s="40">
        <f t="shared" si="133"/>
        <v>69</v>
      </c>
      <c r="G240" s="3">
        <f t="shared" si="134"/>
        <v>410.17745803357684</v>
      </c>
      <c r="H240" s="3">
        <f t="shared" si="135"/>
        <v>221.47275588995251</v>
      </c>
      <c r="I240">
        <f t="shared" si="120"/>
        <v>2.214727558899525E-4</v>
      </c>
      <c r="J240" s="4">
        <f t="shared" si="136"/>
        <v>1505.8975218703249</v>
      </c>
      <c r="K240" s="40">
        <f t="shared" si="137"/>
        <v>6.7994707331794331</v>
      </c>
      <c r="L240" s="40">
        <f t="shared" si="121"/>
        <v>0</v>
      </c>
      <c r="M240" s="10">
        <f t="shared" si="138"/>
        <v>6.155906798972766</v>
      </c>
      <c r="N240" s="10">
        <f t="shared" si="110"/>
        <v>17.20418640980624</v>
      </c>
      <c r="O240" s="10">
        <f t="shared" si="111"/>
        <v>-0.14810000000000001</v>
      </c>
      <c r="P240" s="10">
        <f t="shared" si="139"/>
        <v>13.144376461810589</v>
      </c>
      <c r="Q240" s="45">
        <f t="shared" si="140"/>
        <v>0.53302701938560626</v>
      </c>
      <c r="R240" s="4">
        <f t="shared" si="141"/>
        <v>1194423.2823323216</v>
      </c>
      <c r="S240">
        <f t="shared" si="122"/>
        <v>1.1944232823323216E-3</v>
      </c>
      <c r="T240" s="44">
        <f t="shared" si="123"/>
        <v>8.8197311214968221E-4</v>
      </c>
      <c r="U240" s="45">
        <f t="shared" si="142"/>
        <v>2.1321052801273108</v>
      </c>
      <c r="V240" s="45">
        <f t="shared" si="143"/>
        <v>1.5275708105655408</v>
      </c>
      <c r="W240" s="45">
        <f t="shared" si="144"/>
        <v>1.5084923249342739</v>
      </c>
      <c r="X240" s="45">
        <f t="shared" si="145"/>
        <v>1.9078485631266906E-2</v>
      </c>
      <c r="Y240" s="45">
        <f t="shared" si="119"/>
        <v>1.6778996593161639E-2</v>
      </c>
      <c r="Z240" s="10">
        <f t="shared" si="146"/>
        <v>19.024385621309083</v>
      </c>
      <c r="AA240">
        <f t="shared" si="124"/>
        <v>6158169.2944192179</v>
      </c>
      <c r="AB240" s="10">
        <f t="shared" si="125"/>
        <v>6.1581692944192179</v>
      </c>
      <c r="AC240" s="10">
        <f t="shared" si="126"/>
        <v>6.0571692944192179</v>
      </c>
      <c r="AD240" s="3">
        <f t="shared" si="127"/>
        <v>878.48720731243191</v>
      </c>
      <c r="AI240" s="100">
        <f t="shared" si="128"/>
        <v>1.5084923249342739</v>
      </c>
    </row>
    <row r="241" spans="2:35">
      <c r="B241" s="39">
        <f t="shared" si="129"/>
        <v>213</v>
      </c>
      <c r="C241" s="45">
        <f t="shared" si="130"/>
        <v>6.2571942446040296</v>
      </c>
      <c r="D241" s="10">
        <f t="shared" si="131"/>
        <v>18.242805755396148</v>
      </c>
      <c r="E241" s="40">
        <f t="shared" si="132"/>
        <v>32.514388489207704</v>
      </c>
      <c r="F241" s="40">
        <f t="shared" si="133"/>
        <v>69</v>
      </c>
      <c r="G241" s="3">
        <f t="shared" si="134"/>
        <v>409.94244604316918</v>
      </c>
      <c r="H241" s="3">
        <f t="shared" si="135"/>
        <v>221.47275588995251</v>
      </c>
      <c r="I241">
        <f t="shared" si="120"/>
        <v>2.214727558899525E-4</v>
      </c>
      <c r="J241" s="4">
        <f t="shared" si="136"/>
        <v>1508.8955309087064</v>
      </c>
      <c r="K241" s="40">
        <f t="shared" si="137"/>
        <v>6.813007427687678</v>
      </c>
      <c r="L241" s="40">
        <f t="shared" si="121"/>
        <v>0</v>
      </c>
      <c r="M241" s="10">
        <f t="shared" si="138"/>
        <v>6.1581692944192179</v>
      </c>
      <c r="N241" s="10">
        <f t="shared" si="110"/>
        <v>17.20418640980624</v>
      </c>
      <c r="O241" s="10">
        <f t="shared" si="111"/>
        <v>-0.14810000000000001</v>
      </c>
      <c r="P241" s="10">
        <f t="shared" si="139"/>
        <v>13.143661143879893</v>
      </c>
      <c r="Q241" s="45">
        <f t="shared" si="140"/>
        <v>0.53526205104682922</v>
      </c>
      <c r="R241" s="4">
        <f t="shared" si="141"/>
        <v>1192509.9239785934</v>
      </c>
      <c r="S241">
        <f t="shared" si="122"/>
        <v>1.1925099239785935E-3</v>
      </c>
      <c r="T241" s="44">
        <f t="shared" si="123"/>
        <v>8.8388647050341028E-4</v>
      </c>
      <c r="U241" s="45">
        <f t="shared" si="142"/>
        <v>2.1286898397979881</v>
      </c>
      <c r="V241" s="45">
        <f t="shared" si="143"/>
        <v>1.528139573402673</v>
      </c>
      <c r="W241" s="45">
        <f t="shared" si="144"/>
        <v>1.509055992902995</v>
      </c>
      <c r="X241" s="45">
        <f t="shared" si="145"/>
        <v>1.9083580499678066E-2</v>
      </c>
      <c r="Y241" s="45">
        <f t="shared" si="119"/>
        <v>1.6821648999787917E-2</v>
      </c>
      <c r="Z241" s="10">
        <f t="shared" si="146"/>
        <v>19.03145885942488</v>
      </c>
      <c r="AA241">
        <f t="shared" si="124"/>
        <v>6160421.3409020826</v>
      </c>
      <c r="AB241" s="10">
        <f t="shared" si="125"/>
        <v>6.1604213409020829</v>
      </c>
      <c r="AC241" s="10">
        <f t="shared" si="126"/>
        <v>6.059421340902083</v>
      </c>
      <c r="AD241" s="3">
        <f t="shared" si="127"/>
        <v>878.81382754199888</v>
      </c>
      <c r="AI241" s="100">
        <f t="shared" si="128"/>
        <v>1.509055992902995</v>
      </c>
    </row>
    <row r="242" spans="2:35">
      <c r="B242" s="39">
        <f t="shared" si="129"/>
        <v>214</v>
      </c>
      <c r="C242" s="45">
        <f t="shared" si="130"/>
        <v>6.2865707434049876</v>
      </c>
      <c r="D242" s="10">
        <f t="shared" si="131"/>
        <v>18.213429256595191</v>
      </c>
      <c r="E242" s="40">
        <f t="shared" si="132"/>
        <v>32.573141486809618</v>
      </c>
      <c r="F242" s="40">
        <f t="shared" si="133"/>
        <v>69</v>
      </c>
      <c r="G242" s="3">
        <f t="shared" si="134"/>
        <v>409.70743405276153</v>
      </c>
      <c r="H242" s="3">
        <f t="shared" si="135"/>
        <v>221.47275588995251</v>
      </c>
      <c r="I242">
        <f t="shared" si="120"/>
        <v>2.214727558899525E-4</v>
      </c>
      <c r="J242" s="4">
        <f t="shared" si="136"/>
        <v>1511.8989622020617</v>
      </c>
      <c r="K242" s="40">
        <f t="shared" si="137"/>
        <v>6.8265686049136827</v>
      </c>
      <c r="L242" s="40">
        <f t="shared" si="121"/>
        <v>0</v>
      </c>
      <c r="M242" s="10">
        <f t="shared" si="138"/>
        <v>6.1604213409020829</v>
      </c>
      <c r="N242" s="10">
        <f t="shared" si="110"/>
        <v>17.20418640980624</v>
      </c>
      <c r="O242" s="10">
        <f t="shared" si="111"/>
        <v>-0.14810000000000001</v>
      </c>
      <c r="P242" s="10">
        <f t="shared" si="139"/>
        <v>13.142949429105265</v>
      </c>
      <c r="Q242" s="45">
        <f t="shared" si="140"/>
        <v>0.5374972037391087</v>
      </c>
      <c r="R242" s="4">
        <f t="shared" si="141"/>
        <v>1190595.7532228357</v>
      </c>
      <c r="S242">
        <f t="shared" si="122"/>
        <v>1.1905957532228357E-3</v>
      </c>
      <c r="T242" s="44">
        <f t="shared" si="123"/>
        <v>8.8580064125916812E-4</v>
      </c>
      <c r="U242" s="45">
        <f t="shared" si="142"/>
        <v>2.1252729492904225</v>
      </c>
      <c r="V242" s="45">
        <f t="shared" si="143"/>
        <v>1.5287056313279905</v>
      </c>
      <c r="W242" s="45">
        <f t="shared" si="144"/>
        <v>1.5096170576637891</v>
      </c>
      <c r="X242" s="45">
        <f t="shared" si="145"/>
        <v>1.9088573664201469E-2</v>
      </c>
      <c r="Y242" s="45">
        <f t="shared" si="119"/>
        <v>1.6864314876605231E-2</v>
      </c>
      <c r="Z242" s="10">
        <f t="shared" si="146"/>
        <v>19.038499286512774</v>
      </c>
      <c r="AA242">
        <f t="shared" si="124"/>
        <v>6162662.9406901263</v>
      </c>
      <c r="AB242" s="10">
        <f t="shared" si="125"/>
        <v>6.1626629406901259</v>
      </c>
      <c r="AC242" s="10">
        <f t="shared" si="126"/>
        <v>6.0616629406901259</v>
      </c>
      <c r="AD242" s="3">
        <f t="shared" si="127"/>
        <v>879.1389326599168</v>
      </c>
      <c r="AI242" s="100">
        <f t="shared" si="128"/>
        <v>1.5096170576637891</v>
      </c>
    </row>
    <row r="243" spans="2:35">
      <c r="B243" s="39">
        <f t="shared" si="129"/>
        <v>215</v>
      </c>
      <c r="C243" s="45">
        <f t="shared" si="130"/>
        <v>6.3159472422059455</v>
      </c>
      <c r="D243" s="10">
        <f t="shared" si="131"/>
        <v>18.184052757794234</v>
      </c>
      <c r="E243" s="40">
        <f t="shared" si="132"/>
        <v>32.631894484411532</v>
      </c>
      <c r="F243" s="40">
        <f t="shared" si="133"/>
        <v>69</v>
      </c>
      <c r="G243" s="3">
        <f t="shared" si="134"/>
        <v>409.47242206235387</v>
      </c>
      <c r="H243" s="3">
        <f t="shared" si="135"/>
        <v>221.47275588995251</v>
      </c>
      <c r="I243">
        <f t="shared" si="120"/>
        <v>2.214727558899525E-4</v>
      </c>
      <c r="J243" s="4">
        <f t="shared" si="136"/>
        <v>1514.9078157503914</v>
      </c>
      <c r="K243" s="40">
        <f t="shared" si="137"/>
        <v>6.8401542648574489</v>
      </c>
      <c r="L243" s="40">
        <f t="shared" si="121"/>
        <v>0</v>
      </c>
      <c r="M243" s="10">
        <f t="shared" si="138"/>
        <v>6.1626629406901259</v>
      </c>
      <c r="N243" s="10">
        <f t="shared" si="110"/>
        <v>17.20418640980624</v>
      </c>
      <c r="O243" s="10">
        <f t="shared" si="111"/>
        <v>-0.14810000000000001</v>
      </c>
      <c r="P243" s="10">
        <f t="shared" si="139"/>
        <v>13.142241312376877</v>
      </c>
      <c r="Q243" s="45">
        <f t="shared" si="140"/>
        <v>0.5397324768635865</v>
      </c>
      <c r="R243" s="4">
        <f t="shared" si="141"/>
        <v>1188680.7738879332</v>
      </c>
      <c r="S243">
        <f t="shared" si="122"/>
        <v>1.1886807738879332E-3</v>
      </c>
      <c r="T243" s="44">
        <f t="shared" si="123"/>
        <v>8.8771562059407057E-4</v>
      </c>
      <c r="U243" s="45">
        <f t="shared" si="142"/>
        <v>2.1218546154286555</v>
      </c>
      <c r="V243" s="45">
        <f t="shared" si="143"/>
        <v>1.5292689847759109</v>
      </c>
      <c r="W243" s="45">
        <f t="shared" si="144"/>
        <v>1.5101755197818867</v>
      </c>
      <c r="X243" s="45">
        <f t="shared" si="145"/>
        <v>1.9093464994024201E-2</v>
      </c>
      <c r="Y243" s="45">
        <f t="shared" si="119"/>
        <v>1.6906993985759532E-2</v>
      </c>
      <c r="Z243" s="10">
        <f t="shared" si="146"/>
        <v>19.045506909572186</v>
      </c>
      <c r="AA243">
        <f t="shared" si="124"/>
        <v>6164894.0960118938</v>
      </c>
      <c r="AB243" s="10">
        <f t="shared" si="125"/>
        <v>6.1648940960118939</v>
      </c>
      <c r="AC243" s="10">
        <f t="shared" si="126"/>
        <v>6.0638940960118939</v>
      </c>
      <c r="AD243" s="3">
        <f t="shared" si="127"/>
        <v>879.46252298939726</v>
      </c>
      <c r="AI243" s="100">
        <f t="shared" si="128"/>
        <v>1.5101755197818867</v>
      </c>
    </row>
    <row r="244" spans="2:35">
      <c r="B244" s="39">
        <f t="shared" si="129"/>
        <v>216</v>
      </c>
      <c r="C244" s="45">
        <f t="shared" si="130"/>
        <v>6.3453237410069034</v>
      </c>
      <c r="D244" s="10">
        <f t="shared" si="131"/>
        <v>18.154676258993277</v>
      </c>
      <c r="E244" s="40">
        <f t="shared" si="132"/>
        <v>32.690647482013446</v>
      </c>
      <c r="F244" s="40">
        <f t="shared" si="133"/>
        <v>69</v>
      </c>
      <c r="G244" s="3">
        <f t="shared" si="134"/>
        <v>409.23741007194621</v>
      </c>
      <c r="H244" s="3">
        <f t="shared" si="135"/>
        <v>221.47275588995251</v>
      </c>
      <c r="I244">
        <f t="shared" si="120"/>
        <v>2.214727558899525E-4</v>
      </c>
      <c r="J244" s="4">
        <f t="shared" si="136"/>
        <v>1517.9220915536948</v>
      </c>
      <c r="K244" s="40">
        <f t="shared" si="137"/>
        <v>6.8537644075189741</v>
      </c>
      <c r="L244" s="40">
        <f t="shared" si="121"/>
        <v>0</v>
      </c>
      <c r="M244" s="10">
        <f t="shared" si="138"/>
        <v>6.1648940960118939</v>
      </c>
      <c r="N244" s="10">
        <f t="shared" si="110"/>
        <v>17.20418640980624</v>
      </c>
      <c r="O244" s="10">
        <f t="shared" si="111"/>
        <v>-0.14810000000000001</v>
      </c>
      <c r="P244" s="10">
        <f t="shared" si="139"/>
        <v>13.141536788624832</v>
      </c>
      <c r="Q244" s="45">
        <f t="shared" si="140"/>
        <v>0.54196786982207101</v>
      </c>
      <c r="R244" s="4">
        <f t="shared" si="141"/>
        <v>1186764.9897967712</v>
      </c>
      <c r="S244">
        <f t="shared" si="122"/>
        <v>1.1867649897967711E-3</v>
      </c>
      <c r="T244" s="44">
        <f t="shared" si="123"/>
        <v>8.8963140468523269E-4</v>
      </c>
      <c r="U244" s="45">
        <f t="shared" si="142"/>
        <v>2.1184348450367265</v>
      </c>
      <c r="V244" s="45">
        <f t="shared" si="143"/>
        <v>1.5298296341809223</v>
      </c>
      <c r="W244" s="45">
        <f t="shared" si="144"/>
        <v>1.5107313798124977</v>
      </c>
      <c r="X244" s="45">
        <f t="shared" si="145"/>
        <v>1.9098254368424605E-2</v>
      </c>
      <c r="Y244" s="45">
        <f t="shared" si="119"/>
        <v>1.6949686089094054E-2</v>
      </c>
      <c r="Z244" s="10">
        <f t="shared" si="146"/>
        <v>19.05248173550163</v>
      </c>
      <c r="AA244">
        <f t="shared" si="124"/>
        <v>6167114.8090637997</v>
      </c>
      <c r="AB244" s="10">
        <f t="shared" si="125"/>
        <v>6.1671148090637997</v>
      </c>
      <c r="AC244" s="10">
        <f t="shared" si="126"/>
        <v>6.0661148090637997</v>
      </c>
      <c r="AD244" s="3">
        <f t="shared" si="127"/>
        <v>879.784598848992</v>
      </c>
      <c r="AI244" s="100">
        <f t="shared" si="128"/>
        <v>1.5107313798124977</v>
      </c>
    </row>
    <row r="245" spans="2:35">
      <c r="B245" s="39">
        <f t="shared" si="129"/>
        <v>217</v>
      </c>
      <c r="C245" s="45">
        <f t="shared" si="130"/>
        <v>6.3747002398078614</v>
      </c>
      <c r="D245" s="10">
        <f t="shared" si="131"/>
        <v>18.12529976019232</v>
      </c>
      <c r="E245" s="40">
        <f t="shared" si="132"/>
        <v>32.74940047961536</v>
      </c>
      <c r="F245" s="40">
        <f t="shared" si="133"/>
        <v>69</v>
      </c>
      <c r="G245" s="3">
        <f t="shared" si="134"/>
        <v>409.00239808153856</v>
      </c>
      <c r="H245" s="3">
        <f t="shared" si="135"/>
        <v>221.47275588995251</v>
      </c>
      <c r="I245">
        <f t="shared" si="120"/>
        <v>2.214727558899525E-4</v>
      </c>
      <c r="J245" s="4">
        <f t="shared" si="136"/>
        <v>1520.9417896119726</v>
      </c>
      <c r="K245" s="40">
        <f t="shared" si="137"/>
        <v>6.8673990328982617</v>
      </c>
      <c r="L245" s="40">
        <f t="shared" si="121"/>
        <v>0</v>
      </c>
      <c r="M245" s="10">
        <f t="shared" si="138"/>
        <v>6.1671148090637997</v>
      </c>
      <c r="N245" s="10">
        <f t="shared" si="110"/>
        <v>17.20418640980624</v>
      </c>
      <c r="O245" s="10">
        <f t="shared" si="111"/>
        <v>-0.14810000000000001</v>
      </c>
      <c r="P245" s="10">
        <f t="shared" si="139"/>
        <v>13.140835852816497</v>
      </c>
      <c r="Q245" s="45">
        <f t="shared" si="140"/>
        <v>0.54420338201703244</v>
      </c>
      <c r="R245" s="4">
        <f t="shared" si="141"/>
        <v>1184848.4047722337</v>
      </c>
      <c r="S245">
        <f t="shared" si="122"/>
        <v>1.1848484047722336E-3</v>
      </c>
      <c r="T245" s="44">
        <f t="shared" si="123"/>
        <v>8.9154798970977021E-4</v>
      </c>
      <c r="U245" s="45">
        <f t="shared" si="142"/>
        <v>2.1150136449386756</v>
      </c>
      <c r="V245" s="45">
        <f t="shared" si="143"/>
        <v>1.530387579974682</v>
      </c>
      <c r="W245" s="45">
        <f t="shared" si="144"/>
        <v>1.5112846383028262</v>
      </c>
      <c r="X245" s="45">
        <f t="shared" si="145"/>
        <v>1.9102941671855778E-2</v>
      </c>
      <c r="Y245" s="45">
        <f t="shared" si="119"/>
        <v>1.6992390948161126E-2</v>
      </c>
      <c r="Z245" s="10">
        <f t="shared" si="146"/>
        <v>19.059423771111568</v>
      </c>
      <c r="AA245">
        <f t="shared" si="124"/>
        <v>6169325.0820142282</v>
      </c>
      <c r="AB245" s="10">
        <f t="shared" si="125"/>
        <v>6.169325082014228</v>
      </c>
      <c r="AC245" s="10">
        <f t="shared" si="126"/>
        <v>6.068325082014228</v>
      </c>
      <c r="AD245" s="3">
        <f t="shared" si="127"/>
        <v>880.1051605531876</v>
      </c>
      <c r="AI245" s="100">
        <f t="shared" si="128"/>
        <v>1.5112846383028262</v>
      </c>
    </row>
    <row r="246" spans="2:35">
      <c r="B246" s="39">
        <f t="shared" si="129"/>
        <v>218</v>
      </c>
      <c r="C246" s="45">
        <f t="shared" si="130"/>
        <v>6.4040767386088193</v>
      </c>
      <c r="D246" s="10">
        <f t="shared" si="131"/>
        <v>18.095923261391363</v>
      </c>
      <c r="E246" s="40">
        <f t="shared" si="132"/>
        <v>32.808153477217274</v>
      </c>
      <c r="F246" s="40">
        <f t="shared" si="133"/>
        <v>69</v>
      </c>
      <c r="G246" s="3">
        <f t="shared" si="134"/>
        <v>408.7673860911309</v>
      </c>
      <c r="H246" s="3">
        <f t="shared" si="135"/>
        <v>221.47275588995251</v>
      </c>
      <c r="I246">
        <f t="shared" si="120"/>
        <v>2.214727558899525E-4</v>
      </c>
      <c r="J246" s="4">
        <f t="shared" si="136"/>
        <v>1523.9669099252237</v>
      </c>
      <c r="K246" s="40">
        <f t="shared" si="137"/>
        <v>6.8810581409953055</v>
      </c>
      <c r="L246" s="40">
        <f t="shared" si="121"/>
        <v>0</v>
      </c>
      <c r="M246" s="10">
        <f t="shared" si="138"/>
        <v>6.169325082014228</v>
      </c>
      <c r="N246" s="10">
        <f t="shared" si="110"/>
        <v>17.20418640980624</v>
      </c>
      <c r="O246" s="10">
        <f t="shared" si="111"/>
        <v>-0.14810000000000001</v>
      </c>
      <c r="P246" s="10">
        <f t="shared" si="139"/>
        <v>13.140138499955084</v>
      </c>
      <c r="Q246" s="45">
        <f t="shared" si="140"/>
        <v>0.54643901285159768</v>
      </c>
      <c r="R246" s="4">
        <f t="shared" si="141"/>
        <v>1182931.0226372064</v>
      </c>
      <c r="S246">
        <f t="shared" si="122"/>
        <v>1.1829310226372063E-3</v>
      </c>
      <c r="T246" s="44">
        <f t="shared" si="123"/>
        <v>8.9346537184479755E-4</v>
      </c>
      <c r="U246" s="45">
        <f t="shared" si="142"/>
        <v>2.1115910219585454</v>
      </c>
      <c r="V246" s="45">
        <f t="shared" si="143"/>
        <v>1.5309428225862614</v>
      </c>
      <c r="W246" s="45">
        <f t="shared" si="144"/>
        <v>1.5118352957930947</v>
      </c>
      <c r="X246" s="45">
        <f t="shared" si="145"/>
        <v>1.9107526793166629E-2</v>
      </c>
      <c r="Y246" s="45">
        <f t="shared" si="119"/>
        <v>1.7035108324232211E-2</v>
      </c>
      <c r="Z246" s="10">
        <f t="shared" si="146"/>
        <v>19.066333023135172</v>
      </c>
      <c r="AA246">
        <f t="shared" si="124"/>
        <v>6171524.917006949</v>
      </c>
      <c r="AB246" s="10">
        <f t="shared" si="125"/>
        <v>6.1715249170069493</v>
      </c>
      <c r="AC246" s="10">
        <f t="shared" si="126"/>
        <v>6.0705249170069493</v>
      </c>
      <c r="AD246" s="3">
        <f t="shared" si="127"/>
        <v>880.4242084129005</v>
      </c>
      <c r="AI246" s="100">
        <f t="shared" si="128"/>
        <v>1.5118352957930947</v>
      </c>
    </row>
    <row r="247" spans="2:35">
      <c r="B247" s="39">
        <f t="shared" si="129"/>
        <v>219</v>
      </c>
      <c r="C247" s="45">
        <f t="shared" si="130"/>
        <v>6.4334532374097773</v>
      </c>
      <c r="D247" s="10">
        <f t="shared" si="131"/>
        <v>18.066546762590406</v>
      </c>
      <c r="E247" s="40">
        <f t="shared" si="132"/>
        <v>32.866906474819189</v>
      </c>
      <c r="F247" s="40">
        <f t="shared" si="133"/>
        <v>69</v>
      </c>
      <c r="G247" s="3">
        <f t="shared" si="134"/>
        <v>408.53237410072325</v>
      </c>
      <c r="H247" s="3">
        <f t="shared" si="135"/>
        <v>221.47275588995251</v>
      </c>
      <c r="I247">
        <f t="shared" si="120"/>
        <v>2.214727558899525E-4</v>
      </c>
      <c r="J247" s="4">
        <f t="shared" si="136"/>
        <v>1526.9974524934487</v>
      </c>
      <c r="K247" s="40">
        <f t="shared" si="137"/>
        <v>6.8947417318101092</v>
      </c>
      <c r="L247" s="40">
        <f t="shared" si="121"/>
        <v>0</v>
      </c>
      <c r="M247" s="10">
        <f t="shared" si="138"/>
        <v>6.1715249170069493</v>
      </c>
      <c r="N247" s="10">
        <f t="shared" si="110"/>
        <v>17.20418640980624</v>
      </c>
      <c r="O247" s="10">
        <f t="shared" si="111"/>
        <v>-0.14810000000000001</v>
      </c>
      <c r="P247" s="10">
        <f t="shared" si="139"/>
        <v>13.139444725078445</v>
      </c>
      <c r="Q247" s="45">
        <f t="shared" si="140"/>
        <v>0.54867476172954599</v>
      </c>
      <c r="R247" s="4">
        <f t="shared" si="141"/>
        <v>1181012.8472145738</v>
      </c>
      <c r="S247">
        <f t="shared" si="122"/>
        <v>1.1810128472145738E-3</v>
      </c>
      <c r="T247" s="44">
        <f t="shared" si="123"/>
        <v>8.9538354726742997E-4</v>
      </c>
      <c r="U247" s="45">
        <f t="shared" si="142"/>
        <v>2.1081669829203746</v>
      </c>
      <c r="V247" s="45">
        <f t="shared" si="143"/>
        <v>1.5314953624456016</v>
      </c>
      <c r="W247" s="45">
        <f t="shared" si="144"/>
        <v>1.5123833528173918</v>
      </c>
      <c r="X247" s="45">
        <f t="shared" si="145"/>
        <v>1.9112009628209803E-2</v>
      </c>
      <c r="Y247" s="45">
        <f t="shared" si="119"/>
        <v>1.7077837978313817E-2</v>
      </c>
      <c r="Z247" s="10">
        <f t="shared" si="146"/>
        <v>19.073209498245415</v>
      </c>
      <c r="AA247">
        <f t="shared" si="124"/>
        <v>6173714.3161665704</v>
      </c>
      <c r="AB247" s="10">
        <f t="shared" si="125"/>
        <v>6.1737143161665706</v>
      </c>
      <c r="AC247" s="10">
        <f t="shared" si="126"/>
        <v>6.0727143161665706</v>
      </c>
      <c r="AD247" s="3">
        <f t="shared" si="127"/>
        <v>880.74174273626841</v>
      </c>
      <c r="AI247" s="100">
        <f t="shared" si="128"/>
        <v>1.5123833528173918</v>
      </c>
    </row>
    <row r="248" spans="2:35">
      <c r="B248" s="39">
        <f t="shared" si="129"/>
        <v>220</v>
      </c>
      <c r="C248" s="45">
        <f t="shared" si="130"/>
        <v>6.4628297362107352</v>
      </c>
      <c r="D248" s="10">
        <f t="shared" si="131"/>
        <v>18.037170263789449</v>
      </c>
      <c r="E248" s="40">
        <f t="shared" si="132"/>
        <v>32.925659472421103</v>
      </c>
      <c r="F248" s="40">
        <f t="shared" si="133"/>
        <v>69</v>
      </c>
      <c r="G248" s="3">
        <f t="shared" si="134"/>
        <v>408.29736211031559</v>
      </c>
      <c r="H248" s="3">
        <f t="shared" si="135"/>
        <v>221.47275588995251</v>
      </c>
      <c r="I248">
        <f t="shared" si="120"/>
        <v>2.214727558899525E-4</v>
      </c>
      <c r="J248" s="4">
        <f t="shared" si="136"/>
        <v>1530.033417316648</v>
      </c>
      <c r="K248" s="40">
        <f t="shared" si="137"/>
        <v>6.9084498053426735</v>
      </c>
      <c r="L248" s="40">
        <f t="shared" si="121"/>
        <v>0</v>
      </c>
      <c r="M248" s="10">
        <f t="shared" si="138"/>
        <v>6.1737143161665706</v>
      </c>
      <c r="N248" s="10">
        <f t="shared" si="110"/>
        <v>17.20418640980624</v>
      </c>
      <c r="O248" s="10">
        <f t="shared" si="111"/>
        <v>-0.14810000000000001</v>
      </c>
      <c r="P248" s="10">
        <f t="shared" si="139"/>
        <v>13.138754523257235</v>
      </c>
      <c r="Q248" s="45">
        <f t="shared" si="140"/>
        <v>0.55091062805530444</v>
      </c>
      <c r="R248" s="4">
        <f t="shared" si="141"/>
        <v>1179093.8823272204</v>
      </c>
      <c r="S248">
        <f t="shared" si="122"/>
        <v>1.1790938823272204E-3</v>
      </c>
      <c r="T248" s="44">
        <f t="shared" si="123"/>
        <v>8.9730251215478342E-4</v>
      </c>
      <c r="U248" s="45">
        <f t="shared" si="142"/>
        <v>2.1047415346482046</v>
      </c>
      <c r="V248" s="45">
        <f t="shared" si="143"/>
        <v>1.5320451999777225</v>
      </c>
      <c r="W248" s="45">
        <f t="shared" si="144"/>
        <v>1.5129288099050329</v>
      </c>
      <c r="X248" s="45">
        <f t="shared" si="145"/>
        <v>1.9116390072689615E-2</v>
      </c>
      <c r="Y248" s="45">
        <f t="shared" si="119"/>
        <v>1.7120579671147409E-2</v>
      </c>
      <c r="Z248" s="10">
        <f t="shared" si="146"/>
        <v>19.080053203054149</v>
      </c>
      <c r="AA248">
        <f t="shared" si="124"/>
        <v>6175893.2815982364</v>
      </c>
      <c r="AB248" s="10">
        <f t="shared" si="125"/>
        <v>6.1758932815982366</v>
      </c>
      <c r="AC248" s="10">
        <f t="shared" si="126"/>
        <v>6.0748932815982366</v>
      </c>
      <c r="AD248" s="3">
        <f t="shared" si="127"/>
        <v>881.05776382860574</v>
      </c>
      <c r="AI248" s="100">
        <f t="shared" si="128"/>
        <v>1.5129288099050329</v>
      </c>
    </row>
    <row r="249" spans="2:35">
      <c r="B249" s="39">
        <f t="shared" si="129"/>
        <v>221</v>
      </c>
      <c r="C249" s="45">
        <f t="shared" si="130"/>
        <v>6.4922062350116931</v>
      </c>
      <c r="D249" s="10">
        <f t="shared" si="131"/>
        <v>18.007793764988492</v>
      </c>
      <c r="E249" s="40">
        <f t="shared" si="132"/>
        <v>32.984412470023017</v>
      </c>
      <c r="F249" s="40">
        <f t="shared" si="133"/>
        <v>69</v>
      </c>
      <c r="G249" s="3">
        <f t="shared" si="134"/>
        <v>408.06235011990793</v>
      </c>
      <c r="H249" s="3">
        <f t="shared" si="135"/>
        <v>221.47275588995251</v>
      </c>
      <c r="I249">
        <f t="shared" si="120"/>
        <v>2.214727558899525E-4</v>
      </c>
      <c r="J249" s="4">
        <f t="shared" si="136"/>
        <v>1533.0748043948206</v>
      </c>
      <c r="K249" s="40">
        <f t="shared" si="137"/>
        <v>6.9221823615929958</v>
      </c>
      <c r="L249" s="40">
        <f t="shared" si="121"/>
        <v>0</v>
      </c>
      <c r="M249" s="10">
        <f t="shared" si="138"/>
        <v>6.1758932815982366</v>
      </c>
      <c r="N249" s="10">
        <f t="shared" si="110"/>
        <v>17.20418640980624</v>
      </c>
      <c r="O249" s="10">
        <f t="shared" si="111"/>
        <v>-0.14810000000000001</v>
      </c>
      <c r="P249" s="10">
        <f t="shared" si="139"/>
        <v>13.138067889594902</v>
      </c>
      <c r="Q249" s="45">
        <f t="shared" si="140"/>
        <v>0.55314661123394393</v>
      </c>
      <c r="R249" s="4">
        <f t="shared" si="141"/>
        <v>1177174.1317980313</v>
      </c>
      <c r="S249">
        <f t="shared" si="122"/>
        <v>1.1771741317980313E-3</v>
      </c>
      <c r="T249" s="44">
        <f t="shared" si="123"/>
        <v>8.9922226268397253E-4</v>
      </c>
      <c r="U249" s="45">
        <f t="shared" si="142"/>
        <v>2.1013146839660757</v>
      </c>
      <c r="V249" s="45">
        <f t="shared" si="143"/>
        <v>1.5325923356069249</v>
      </c>
      <c r="W249" s="45">
        <f t="shared" si="144"/>
        <v>1.5134716675804845</v>
      </c>
      <c r="X249" s="45">
        <f t="shared" si="145"/>
        <v>1.9120668026440413E-2</v>
      </c>
      <c r="Y249" s="45">
        <f t="shared" si="119"/>
        <v>1.7163333163218879E-2</v>
      </c>
      <c r="Z249" s="10">
        <f t="shared" si="146"/>
        <v>19.0868641441219</v>
      </c>
      <c r="AA249">
        <f t="shared" si="124"/>
        <v>6178061.8153907536</v>
      </c>
      <c r="AB249" s="10">
        <f t="shared" si="125"/>
        <v>6.1780618153907536</v>
      </c>
      <c r="AC249" s="10">
        <f t="shared" si="126"/>
        <v>6.0770618153907536</v>
      </c>
      <c r="AD249" s="3">
        <f t="shared" si="127"/>
        <v>881.37227199285769</v>
      </c>
      <c r="AI249" s="100">
        <f t="shared" si="128"/>
        <v>1.5134716675804845</v>
      </c>
    </row>
    <row r="250" spans="2:35">
      <c r="B250" s="39">
        <f t="shared" si="129"/>
        <v>222</v>
      </c>
      <c r="C250" s="45">
        <f t="shared" si="130"/>
        <v>6.5215827338126511</v>
      </c>
      <c r="D250" s="10">
        <f t="shared" si="131"/>
        <v>17.978417266187535</v>
      </c>
      <c r="E250" s="40">
        <f t="shared" si="132"/>
        <v>33.043165467624931</v>
      </c>
      <c r="F250" s="40">
        <f t="shared" si="133"/>
        <v>69</v>
      </c>
      <c r="G250" s="3">
        <f t="shared" si="134"/>
        <v>407.82733812950028</v>
      </c>
      <c r="H250" s="3">
        <f t="shared" si="135"/>
        <v>221.47275588995251</v>
      </c>
      <c r="I250">
        <f t="shared" si="120"/>
        <v>2.214727558899525E-4</v>
      </c>
      <c r="J250" s="4">
        <f t="shared" si="136"/>
        <v>1536.1216137279675</v>
      </c>
      <c r="K250" s="40">
        <f t="shared" si="137"/>
        <v>6.9359394005610797</v>
      </c>
      <c r="L250" s="40">
        <f t="shared" si="121"/>
        <v>0</v>
      </c>
      <c r="M250" s="10">
        <f t="shared" si="138"/>
        <v>6.1780618153907536</v>
      </c>
      <c r="N250" s="10">
        <f t="shared" si="110"/>
        <v>17.20418640980624</v>
      </c>
      <c r="O250" s="10">
        <f t="shared" si="111"/>
        <v>-0.14810000000000001</v>
      </c>
      <c r="P250" s="10">
        <f t="shared" si="139"/>
        <v>13.137384819226595</v>
      </c>
      <c r="Q250" s="45">
        <f t="shared" si="140"/>
        <v>0.55538271067117484</v>
      </c>
      <c r="R250" s="4">
        <f t="shared" si="141"/>
        <v>1175253.5994498911</v>
      </c>
      <c r="S250">
        <f t="shared" si="122"/>
        <v>1.1752535994498912E-3</v>
      </c>
      <c r="T250" s="44">
        <f t="shared" si="123"/>
        <v>9.0114279503211259E-4</v>
      </c>
      <c r="U250" s="45">
        <f t="shared" si="142"/>
        <v>2.097886437698028</v>
      </c>
      <c r="V250" s="45">
        <f t="shared" si="143"/>
        <v>1.5331367697552454</v>
      </c>
      <c r="W250" s="45">
        <f t="shared" si="144"/>
        <v>1.5140119263641421</v>
      </c>
      <c r="X250" s="45">
        <f t="shared" si="145"/>
        <v>1.9124843391103319E-2</v>
      </c>
      <c r="Y250" s="45">
        <f t="shared" si="119"/>
        <v>1.7206098214762853E-2</v>
      </c>
      <c r="Z250" s="10">
        <f t="shared" si="146"/>
        <v>19.093642327961692</v>
      </c>
      <c r="AA250">
        <f t="shared" si="124"/>
        <v>6180219.9196178</v>
      </c>
      <c r="AB250" s="10">
        <f t="shared" si="125"/>
        <v>6.1802199196177998</v>
      </c>
      <c r="AC250" s="10">
        <f t="shared" si="126"/>
        <v>6.0792199196177998</v>
      </c>
      <c r="AD250" s="3">
        <f t="shared" si="127"/>
        <v>881.68526752977516</v>
      </c>
      <c r="AI250" s="100">
        <f t="shared" si="128"/>
        <v>1.5140119263641421</v>
      </c>
    </row>
    <row r="251" spans="2:35">
      <c r="B251" s="39">
        <f t="shared" si="129"/>
        <v>223</v>
      </c>
      <c r="C251" s="45">
        <f t="shared" si="130"/>
        <v>6.550959232613609</v>
      </c>
      <c r="D251" s="10">
        <f t="shared" si="131"/>
        <v>17.949040767386577</v>
      </c>
      <c r="E251" s="40">
        <f t="shared" si="132"/>
        <v>33.101918465226845</v>
      </c>
      <c r="F251" s="40">
        <f t="shared" si="133"/>
        <v>69</v>
      </c>
      <c r="G251" s="3">
        <f t="shared" si="134"/>
        <v>407.59232613909262</v>
      </c>
      <c r="H251" s="3">
        <f t="shared" si="135"/>
        <v>221.47275588995251</v>
      </c>
      <c r="I251">
        <f t="shared" si="120"/>
        <v>2.214727558899525E-4</v>
      </c>
      <c r="J251" s="4">
        <f t="shared" si="136"/>
        <v>1539.1738453160888</v>
      </c>
      <c r="K251" s="40">
        <f t="shared" si="137"/>
        <v>6.9497209222469243</v>
      </c>
      <c r="L251" s="40">
        <f t="shared" si="121"/>
        <v>0</v>
      </c>
      <c r="M251" s="10">
        <f t="shared" si="138"/>
        <v>6.1802199196177998</v>
      </c>
      <c r="N251" s="10">
        <f t="shared" si="110"/>
        <v>17.20418640980624</v>
      </c>
      <c r="O251" s="10">
        <f t="shared" si="111"/>
        <v>-0.14810000000000001</v>
      </c>
      <c r="P251" s="10">
        <f t="shared" si="139"/>
        <v>13.136705307318653</v>
      </c>
      <c r="Q251" s="45">
        <f t="shared" si="140"/>
        <v>0.55761892577334293</v>
      </c>
      <c r="R251" s="4">
        <f t="shared" si="141"/>
        <v>1173332.2891056847</v>
      </c>
      <c r="S251">
        <f t="shared" si="122"/>
        <v>1.1733322891056847E-3</v>
      </c>
      <c r="T251" s="44">
        <f t="shared" si="123"/>
        <v>9.0306410537631908E-4</v>
      </c>
      <c r="U251" s="45">
        <f t="shared" si="142"/>
        <v>2.0944568026681027</v>
      </c>
      <c r="V251" s="45">
        <f t="shared" si="143"/>
        <v>1.5336785028417246</v>
      </c>
      <c r="W251" s="45">
        <f t="shared" si="144"/>
        <v>1.5145495867726326</v>
      </c>
      <c r="X251" s="45">
        <f t="shared" si="145"/>
        <v>1.912891606909195E-2</v>
      </c>
      <c r="Y251" s="45">
        <f t="shared" si="119"/>
        <v>1.7248874585764663E-2</v>
      </c>
      <c r="Z251" s="10">
        <f t="shared" si="146"/>
        <v>19.100387761040313</v>
      </c>
      <c r="AA251">
        <f t="shared" si="124"/>
        <v>6182367.5963383364</v>
      </c>
      <c r="AB251" s="10">
        <f t="shared" si="125"/>
        <v>6.1823675963383362</v>
      </c>
      <c r="AC251" s="10">
        <f t="shared" si="126"/>
        <v>6.0813675963383362</v>
      </c>
      <c r="AD251" s="3">
        <f t="shared" si="127"/>
        <v>881.99675073797482</v>
      </c>
      <c r="AI251" s="100">
        <f t="shared" si="128"/>
        <v>1.5145495867726326</v>
      </c>
    </row>
    <row r="252" spans="2:35">
      <c r="B252" s="39">
        <f t="shared" si="129"/>
        <v>224</v>
      </c>
      <c r="C252" s="45">
        <f t="shared" si="130"/>
        <v>6.580335731414567</v>
      </c>
      <c r="D252" s="10">
        <f t="shared" si="131"/>
        <v>17.91966426858562</v>
      </c>
      <c r="E252" s="40">
        <f t="shared" si="132"/>
        <v>33.160671462828759</v>
      </c>
      <c r="F252" s="40">
        <f t="shared" si="133"/>
        <v>69</v>
      </c>
      <c r="G252" s="3">
        <f t="shared" si="134"/>
        <v>407.35731414868496</v>
      </c>
      <c r="H252" s="3">
        <f t="shared" si="135"/>
        <v>221.47275588995251</v>
      </c>
      <c r="I252">
        <f t="shared" si="120"/>
        <v>2.214727558899525E-4</v>
      </c>
      <c r="J252" s="4">
        <f t="shared" si="136"/>
        <v>1542.2314991591834</v>
      </c>
      <c r="K252" s="40">
        <f t="shared" si="137"/>
        <v>6.9635269266505269</v>
      </c>
      <c r="L252" s="40">
        <f t="shared" si="121"/>
        <v>0</v>
      </c>
      <c r="M252" s="10">
        <f t="shared" si="138"/>
        <v>6.1823675963383362</v>
      </c>
      <c r="N252" s="10">
        <f t="shared" si="110"/>
        <v>17.20418640980624</v>
      </c>
      <c r="O252" s="10">
        <f t="shared" si="111"/>
        <v>-0.14810000000000001</v>
      </c>
      <c r="P252" s="10">
        <f t="shared" si="139"/>
        <v>13.136029349068389</v>
      </c>
      <c r="Q252" s="45">
        <f t="shared" si="140"/>
        <v>0.55985525594742569</v>
      </c>
      <c r="R252" s="4">
        <f t="shared" si="141"/>
        <v>1171410.2045882971</v>
      </c>
      <c r="S252">
        <f t="shared" si="122"/>
        <v>1.1714102045882972E-3</v>
      </c>
      <c r="T252" s="44">
        <f t="shared" si="123"/>
        <v>9.0498618989370665E-4</v>
      </c>
      <c r="U252" s="45">
        <f t="shared" si="142"/>
        <v>2.0910257857003396</v>
      </c>
      <c r="V252" s="45">
        <f t="shared" si="143"/>
        <v>1.5342175352842999</v>
      </c>
      <c r="W252" s="45">
        <f t="shared" si="144"/>
        <v>1.5150846493189161</v>
      </c>
      <c r="X252" s="45">
        <f t="shared" si="145"/>
        <v>1.9132885965383872E-2</v>
      </c>
      <c r="Y252" s="45">
        <f t="shared" si="119"/>
        <v>1.7291662035966337E-2</v>
      </c>
      <c r="Z252" s="10">
        <f t="shared" si="146"/>
        <v>19.107100449783985</v>
      </c>
      <c r="AA252">
        <f t="shared" si="124"/>
        <v>6184504.8475984046</v>
      </c>
      <c r="AB252" s="10">
        <f t="shared" si="125"/>
        <v>6.1845048475984044</v>
      </c>
      <c r="AC252" s="10">
        <f t="shared" si="126"/>
        <v>6.0835048475984044</v>
      </c>
      <c r="AD252" s="3">
        <f t="shared" si="127"/>
        <v>882.30672191419933</v>
      </c>
      <c r="AI252" s="100">
        <f t="shared" si="128"/>
        <v>1.5150846493189161</v>
      </c>
    </row>
    <row r="253" spans="2:35">
      <c r="B253" s="39">
        <f t="shared" si="129"/>
        <v>225</v>
      </c>
      <c r="C253" s="45">
        <f t="shared" si="130"/>
        <v>6.6097122302155249</v>
      </c>
      <c r="D253" s="10">
        <f t="shared" si="131"/>
        <v>17.890287769784663</v>
      </c>
      <c r="E253" s="40">
        <f t="shared" si="132"/>
        <v>33.219424460430673</v>
      </c>
      <c r="F253" s="40">
        <f t="shared" si="133"/>
        <v>69</v>
      </c>
      <c r="G253" s="3">
        <f t="shared" si="134"/>
        <v>407.12230215827731</v>
      </c>
      <c r="H253" s="3">
        <f t="shared" si="135"/>
        <v>221.47275588995251</v>
      </c>
      <c r="I253">
        <f t="shared" si="120"/>
        <v>2.214727558899525E-4</v>
      </c>
      <c r="J253" s="4">
        <f t="shared" si="136"/>
        <v>1545.2945752572518</v>
      </c>
      <c r="K253" s="40">
        <f t="shared" si="137"/>
        <v>6.9773574137718883</v>
      </c>
      <c r="L253" s="40">
        <f t="shared" si="121"/>
        <v>0</v>
      </c>
      <c r="M253" s="10">
        <f t="shared" si="138"/>
        <v>6.1845048475984044</v>
      </c>
      <c r="N253" s="10">
        <f t="shared" si="110"/>
        <v>17.20418640980624</v>
      </c>
      <c r="O253" s="10">
        <f t="shared" si="111"/>
        <v>-0.14810000000000001</v>
      </c>
      <c r="P253" s="10">
        <f t="shared" si="139"/>
        <v>13.135356939703408</v>
      </c>
      <c r="Q253" s="45">
        <f t="shared" si="140"/>
        <v>0.56209170060102798</v>
      </c>
      <c r="R253" s="4">
        <f t="shared" si="141"/>
        <v>1169487.3497206129</v>
      </c>
      <c r="S253">
        <f t="shared" si="122"/>
        <v>1.1694873497206128E-3</v>
      </c>
      <c r="T253" s="44">
        <f t="shared" si="123"/>
        <v>9.0690904476139101E-4</v>
      </c>
      <c r="U253" s="45">
        <f t="shared" si="142"/>
        <v>2.0875933936187798</v>
      </c>
      <c r="V253" s="45">
        <f t="shared" si="143"/>
        <v>1.5347538674972978</v>
      </c>
      <c r="W253" s="45">
        <f t="shared" si="144"/>
        <v>1.5156171145127348</v>
      </c>
      <c r="X253" s="45">
        <f t="shared" si="145"/>
        <v>1.9136752984562966E-2</v>
      </c>
      <c r="Y253" s="45">
        <f t="shared" si="119"/>
        <v>1.733446032486597E-2</v>
      </c>
      <c r="Z253" s="10">
        <f t="shared" si="146"/>
        <v>19.113780400576655</v>
      </c>
      <c r="AA253">
        <f t="shared" si="124"/>
        <v>6186631.6754305884</v>
      </c>
      <c r="AB253" s="10">
        <f t="shared" si="125"/>
        <v>6.1866316754305881</v>
      </c>
      <c r="AC253" s="10">
        <f t="shared" si="126"/>
        <v>6.0856316754305881</v>
      </c>
      <c r="AD253" s="3">
        <f t="shared" si="127"/>
        <v>882.61518135323979</v>
      </c>
      <c r="AI253" s="100">
        <f t="shared" si="128"/>
        <v>1.5156171145127348</v>
      </c>
    </row>
    <row r="254" spans="2:35">
      <c r="B254" s="39">
        <f t="shared" si="129"/>
        <v>226</v>
      </c>
      <c r="C254" s="45">
        <f t="shared" si="130"/>
        <v>6.6390887290164828</v>
      </c>
      <c r="D254" s="10">
        <f t="shared" si="131"/>
        <v>17.860911270983706</v>
      </c>
      <c r="E254" s="40">
        <f t="shared" si="132"/>
        <v>33.278177458032587</v>
      </c>
      <c r="F254" s="40">
        <f t="shared" si="133"/>
        <v>69</v>
      </c>
      <c r="G254" s="3">
        <f t="shared" si="134"/>
        <v>406.88729016786965</v>
      </c>
      <c r="H254" s="3">
        <f t="shared" si="135"/>
        <v>221.47275588995251</v>
      </c>
      <c r="I254">
        <f t="shared" si="120"/>
        <v>2.214727558899525E-4</v>
      </c>
      <c r="J254" s="4">
        <f t="shared" si="136"/>
        <v>1548.3630736102946</v>
      </c>
      <c r="K254" s="40">
        <f t="shared" si="137"/>
        <v>6.9912123836110114</v>
      </c>
      <c r="L254" s="40">
        <f t="shared" si="121"/>
        <v>0</v>
      </c>
      <c r="M254" s="10">
        <f t="shared" si="138"/>
        <v>6.1866316754305881</v>
      </c>
      <c r="N254" s="10">
        <f t="shared" si="110"/>
        <v>17.20418640980624</v>
      </c>
      <c r="O254" s="10">
        <f t="shared" si="111"/>
        <v>-0.14810000000000001</v>
      </c>
      <c r="P254" s="10">
        <f t="shared" si="139"/>
        <v>13.134688074481675</v>
      </c>
      <c r="Q254" s="45">
        <f t="shared" si="140"/>
        <v>0.56432825914237861</v>
      </c>
      <c r="R254" s="4">
        <f t="shared" si="141"/>
        <v>1167563.7283255167</v>
      </c>
      <c r="S254">
        <f t="shared" si="122"/>
        <v>1.1675637283255166E-3</v>
      </c>
      <c r="T254" s="44">
        <f t="shared" si="123"/>
        <v>9.0883266615648722E-4</v>
      </c>
      <c r="U254" s="45">
        <f t="shared" si="142"/>
        <v>2.0841596332474635</v>
      </c>
      <c r="V254" s="45">
        <f t="shared" si="143"/>
        <v>1.5352874998938182</v>
      </c>
      <c r="W254" s="45">
        <f t="shared" si="144"/>
        <v>1.5161469828604772</v>
      </c>
      <c r="X254" s="45">
        <f t="shared" si="145"/>
        <v>1.9140517033340965E-2</v>
      </c>
      <c r="Y254" s="45">
        <f t="shared" si="119"/>
        <v>1.7377269211722755E-2</v>
      </c>
      <c r="Z254" s="10">
        <f t="shared" si="146"/>
        <v>19.120427619764552</v>
      </c>
      <c r="AA254">
        <f t="shared" si="124"/>
        <v>6188748.081855461</v>
      </c>
      <c r="AB254" s="10">
        <f t="shared" si="125"/>
        <v>6.1887480818554614</v>
      </c>
      <c r="AC254" s="10">
        <f t="shared" si="126"/>
        <v>6.0877480818554615</v>
      </c>
      <c r="AD254" s="3">
        <f t="shared" si="127"/>
        <v>882.92212934814518</v>
      </c>
      <c r="AI254" s="100">
        <f t="shared" si="128"/>
        <v>1.5161469828604772</v>
      </c>
    </row>
    <row r="255" spans="2:35">
      <c r="B255" s="39">
        <f t="shared" si="129"/>
        <v>227</v>
      </c>
      <c r="C255" s="45">
        <f t="shared" si="130"/>
        <v>6.6684652278174408</v>
      </c>
      <c r="D255" s="10">
        <f t="shared" si="131"/>
        <v>17.831534772182749</v>
      </c>
      <c r="E255" s="40">
        <f t="shared" si="132"/>
        <v>33.336930455634501</v>
      </c>
      <c r="F255" s="40">
        <f t="shared" si="133"/>
        <v>69</v>
      </c>
      <c r="G255" s="3">
        <f t="shared" si="134"/>
        <v>406.65227817746199</v>
      </c>
      <c r="H255" s="3">
        <f t="shared" si="135"/>
        <v>221.47275588995251</v>
      </c>
      <c r="I255">
        <f t="shared" si="120"/>
        <v>2.214727558899525E-4</v>
      </c>
      <c r="J255" s="4">
        <f t="shared" si="136"/>
        <v>1551.4369942183112</v>
      </c>
      <c r="K255" s="40">
        <f t="shared" si="137"/>
        <v>7.0050918361678942</v>
      </c>
      <c r="L255" s="40">
        <f t="shared" si="121"/>
        <v>0</v>
      </c>
      <c r="M255" s="10">
        <f t="shared" si="138"/>
        <v>6.1887480818554614</v>
      </c>
      <c r="N255" s="10">
        <f t="shared" si="110"/>
        <v>17.20418640980624</v>
      </c>
      <c r="O255" s="10">
        <f t="shared" si="111"/>
        <v>-0.14810000000000001</v>
      </c>
      <c r="P255" s="10">
        <f t="shared" si="139"/>
        <v>13.134022748690951</v>
      </c>
      <c r="Q255" s="45">
        <f t="shared" si="140"/>
        <v>0.56656493098032601</v>
      </c>
      <c r="R255" s="4">
        <f t="shared" si="141"/>
        <v>1165639.3442258937</v>
      </c>
      <c r="S255">
        <f t="shared" si="122"/>
        <v>1.1656393442258937E-3</v>
      </c>
      <c r="T255" s="44">
        <f t="shared" si="123"/>
        <v>9.1075705025611014E-4</v>
      </c>
      <c r="U255" s="45">
        <f t="shared" si="142"/>
        <v>2.0807245114104318</v>
      </c>
      <c r="V255" s="45">
        <f t="shared" si="143"/>
        <v>1.5358184328837754</v>
      </c>
      <c r="W255" s="45">
        <f t="shared" si="144"/>
        <v>1.5166742548655401</v>
      </c>
      <c r="X255" s="45">
        <f t="shared" si="145"/>
        <v>1.9144178018235314E-2</v>
      </c>
      <c r="Y255" s="45">
        <f t="shared" si="119"/>
        <v>1.7420088455556794E-2</v>
      </c>
      <c r="Z255" s="10">
        <f t="shared" si="146"/>
        <v>19.127042113654969</v>
      </c>
      <c r="AA255">
        <f t="shared" si="124"/>
        <v>6190854.0688812016</v>
      </c>
      <c r="AB255" s="10">
        <f t="shared" si="125"/>
        <v>6.1908540688812019</v>
      </c>
      <c r="AC255" s="10">
        <f t="shared" si="126"/>
        <v>6.089854068881202</v>
      </c>
      <c r="AD255" s="3">
        <f t="shared" si="127"/>
        <v>883.22756619016707</v>
      </c>
      <c r="AI255" s="100">
        <f t="shared" si="128"/>
        <v>1.5166742548655401</v>
      </c>
    </row>
    <row r="256" spans="2:35">
      <c r="B256" s="39">
        <f t="shared" si="129"/>
        <v>228</v>
      </c>
      <c r="C256" s="45">
        <f t="shared" si="130"/>
        <v>6.6978417266183987</v>
      </c>
      <c r="D256" s="10">
        <f t="shared" si="131"/>
        <v>17.802158273381792</v>
      </c>
      <c r="E256" s="40">
        <f t="shared" si="132"/>
        <v>33.395683453236416</v>
      </c>
      <c r="F256" s="40">
        <f t="shared" si="133"/>
        <v>69</v>
      </c>
      <c r="G256" s="3">
        <f t="shared" si="134"/>
        <v>406.41726618705434</v>
      </c>
      <c r="H256" s="3">
        <f t="shared" si="135"/>
        <v>221.47275588995251</v>
      </c>
      <c r="I256">
        <f t="shared" si="120"/>
        <v>2.214727558899525E-4</v>
      </c>
      <c r="J256" s="4">
        <f t="shared" si="136"/>
        <v>1554.5163370813011</v>
      </c>
      <c r="K256" s="40">
        <f t="shared" si="137"/>
        <v>7.0189957714425333</v>
      </c>
      <c r="L256" s="40">
        <f t="shared" si="121"/>
        <v>0</v>
      </c>
      <c r="M256" s="10">
        <f t="shared" si="138"/>
        <v>6.1908540688812019</v>
      </c>
      <c r="N256" s="10">
        <f t="shared" si="110"/>
        <v>17.20418640980624</v>
      </c>
      <c r="O256" s="10">
        <f t="shared" si="111"/>
        <v>-0.14810000000000001</v>
      </c>
      <c r="P256" s="10">
        <f t="shared" si="139"/>
        <v>13.133360957648819</v>
      </c>
      <c r="Q256" s="45">
        <f t="shared" si="140"/>
        <v>0.56880171552433478</v>
      </c>
      <c r="R256" s="4">
        <f t="shared" si="141"/>
        <v>1163714.2012446288</v>
      </c>
      <c r="S256">
        <f t="shared" si="122"/>
        <v>1.1637142012446288E-3</v>
      </c>
      <c r="T256" s="44">
        <f t="shared" si="123"/>
        <v>9.1268219323737505E-4</v>
      </c>
      <c r="U256" s="45">
        <f t="shared" si="142"/>
        <v>2.0772880349317249</v>
      </c>
      <c r="V256" s="45">
        <f t="shared" si="143"/>
        <v>1.5363466668756849</v>
      </c>
      <c r="W256" s="45">
        <f t="shared" si="144"/>
        <v>1.5171989310282317</v>
      </c>
      <c r="X256" s="45">
        <f t="shared" si="145"/>
        <v>1.9147735847453218E-2</v>
      </c>
      <c r="Y256" s="45">
        <f t="shared" si="119"/>
        <v>1.7462917815153141E-2</v>
      </c>
      <c r="Z256" s="10">
        <f t="shared" si="146"/>
        <v>19.133623888519644</v>
      </c>
      <c r="AA256">
        <f t="shared" si="124"/>
        <v>6192949.6385046653</v>
      </c>
      <c r="AB256" s="10">
        <f t="shared" si="125"/>
        <v>6.1929496385046656</v>
      </c>
      <c r="AC256" s="10">
        <f t="shared" si="126"/>
        <v>6.0919496385046656</v>
      </c>
      <c r="AD256" s="3">
        <f t="shared" si="127"/>
        <v>883.5314921689145</v>
      </c>
      <c r="AI256" s="100">
        <f t="shared" si="128"/>
        <v>1.5171989310282317</v>
      </c>
    </row>
    <row r="257" spans="2:35">
      <c r="B257" s="39">
        <f t="shared" si="129"/>
        <v>229</v>
      </c>
      <c r="C257" s="45">
        <f t="shared" si="130"/>
        <v>6.7272182254193567</v>
      </c>
      <c r="D257" s="10">
        <f t="shared" si="131"/>
        <v>17.772781774580835</v>
      </c>
      <c r="E257" s="40">
        <f t="shared" si="132"/>
        <v>33.45443645083833</v>
      </c>
      <c r="F257" s="40">
        <f t="shared" si="133"/>
        <v>69</v>
      </c>
      <c r="G257" s="3">
        <f t="shared" si="134"/>
        <v>406.18225419664668</v>
      </c>
      <c r="H257" s="3">
        <f t="shared" si="135"/>
        <v>221.47275588995251</v>
      </c>
      <c r="I257">
        <f t="shared" si="120"/>
        <v>2.214727558899525E-4</v>
      </c>
      <c r="J257" s="4">
        <f t="shared" si="136"/>
        <v>1557.6011021992654</v>
      </c>
      <c r="K257" s="40">
        <f t="shared" si="137"/>
        <v>7.0329241894349348</v>
      </c>
      <c r="L257" s="40">
        <f t="shared" si="121"/>
        <v>0</v>
      </c>
      <c r="M257" s="10">
        <f t="shared" si="138"/>
        <v>6.1929496385046656</v>
      </c>
      <c r="N257" s="10">
        <f t="shared" si="110"/>
        <v>17.20418640980624</v>
      </c>
      <c r="O257" s="10">
        <f t="shared" si="111"/>
        <v>-0.14810000000000001</v>
      </c>
      <c r="P257" s="10">
        <f t="shared" si="139"/>
        <v>13.132702696702239</v>
      </c>
      <c r="Q257" s="45">
        <f t="shared" si="140"/>
        <v>0.57103861218448182</v>
      </c>
      <c r="R257" s="4">
        <f t="shared" si="141"/>
        <v>1161788.3032046061</v>
      </c>
      <c r="S257">
        <f t="shared" si="122"/>
        <v>1.1617883032046061E-3</v>
      </c>
      <c r="T257" s="44">
        <f t="shared" si="123"/>
        <v>9.1460809127739766E-4</v>
      </c>
      <c r="U257" s="45">
        <f t="shared" si="142"/>
        <v>2.0738502106353818</v>
      </c>
      <c r="V257" s="45">
        <f t="shared" si="143"/>
        <v>1.5368722022755932</v>
      </c>
      <c r="W257" s="45">
        <f t="shared" si="144"/>
        <v>1.5177210118460396</v>
      </c>
      <c r="X257" s="45">
        <f t="shared" si="145"/>
        <v>1.91511904295536E-2</v>
      </c>
      <c r="Y257" s="45">
        <f t="shared" si="119"/>
        <v>1.7505757049062848E-2</v>
      </c>
      <c r="Z257" s="10">
        <f t="shared" si="146"/>
        <v>19.140172950594867</v>
      </c>
      <c r="AA257">
        <f t="shared" si="124"/>
        <v>6195034.7927114256</v>
      </c>
      <c r="AB257" s="10">
        <f t="shared" si="125"/>
        <v>6.195034792711426</v>
      </c>
      <c r="AC257" s="10">
        <f t="shared" si="126"/>
        <v>6.094034792711426</v>
      </c>
      <c r="AD257" s="3">
        <f t="shared" si="127"/>
        <v>883.83390757236054</v>
      </c>
      <c r="AI257" s="100">
        <f t="shared" si="128"/>
        <v>1.5177210118460396</v>
      </c>
    </row>
    <row r="258" spans="2:35">
      <c r="B258" s="39">
        <f t="shared" si="129"/>
        <v>230</v>
      </c>
      <c r="C258" s="45">
        <f t="shared" si="130"/>
        <v>6.7565947242203146</v>
      </c>
      <c r="D258" s="10">
        <f t="shared" si="131"/>
        <v>17.743405275779878</v>
      </c>
      <c r="E258" s="40">
        <f t="shared" si="132"/>
        <v>33.513189448440244</v>
      </c>
      <c r="F258" s="40">
        <f t="shared" si="133"/>
        <v>69</v>
      </c>
      <c r="G258" s="3">
        <f t="shared" si="134"/>
        <v>405.94724220623903</v>
      </c>
      <c r="H258" s="3">
        <f t="shared" si="135"/>
        <v>221.47275588995251</v>
      </c>
      <c r="I258">
        <f t="shared" si="120"/>
        <v>2.214727558899525E-4</v>
      </c>
      <c r="J258" s="4">
        <f t="shared" si="136"/>
        <v>1560.6912895722039</v>
      </c>
      <c r="K258" s="40">
        <f t="shared" si="137"/>
        <v>7.046877090145097</v>
      </c>
      <c r="L258" s="40">
        <f t="shared" si="121"/>
        <v>0</v>
      </c>
      <c r="M258" s="10">
        <f t="shared" si="138"/>
        <v>6.195034792711426</v>
      </c>
      <c r="N258" s="10">
        <f t="shared" si="110"/>
        <v>17.20418640980624</v>
      </c>
      <c r="O258" s="10">
        <f t="shared" si="111"/>
        <v>-0.14810000000000001</v>
      </c>
      <c r="P258" s="10">
        <f t="shared" si="139"/>
        <v>13.132047961227441</v>
      </c>
      <c r="Q258" s="45">
        <f t="shared" si="140"/>
        <v>0.57327562037145252</v>
      </c>
      <c r="R258" s="4">
        <f t="shared" si="141"/>
        <v>1159861.6539287108</v>
      </c>
      <c r="S258">
        <f t="shared" si="122"/>
        <v>1.1598616539287108E-3</v>
      </c>
      <c r="T258" s="44">
        <f t="shared" si="123"/>
        <v>9.1653474055329305E-4</v>
      </c>
      <c r="U258" s="45">
        <f t="shared" si="142"/>
        <v>2.0704110453454452</v>
      </c>
      <c r="V258" s="45">
        <f t="shared" si="143"/>
        <v>1.5373950394852265</v>
      </c>
      <c r="W258" s="45">
        <f t="shared" si="144"/>
        <v>1.5182404978136417</v>
      </c>
      <c r="X258" s="45">
        <f t="shared" si="145"/>
        <v>1.9154541671584813E-2</v>
      </c>
      <c r="Y258" s="45">
        <f t="shared" si="119"/>
        <v>1.7548605915599855E-2</v>
      </c>
      <c r="Z258" s="10">
        <f t="shared" si="146"/>
        <v>19.146689306077068</v>
      </c>
      <c r="AA258">
        <f t="shared" si="124"/>
        <v>6197109.5334743597</v>
      </c>
      <c r="AB258" s="10">
        <f t="shared" si="125"/>
        <v>6.19710953347436</v>
      </c>
      <c r="AC258" s="10">
        <f t="shared" si="126"/>
        <v>6.09610953347436</v>
      </c>
      <c r="AD258" s="3">
        <f t="shared" si="127"/>
        <v>884.13481268663668</v>
      </c>
      <c r="AI258" s="100">
        <f t="shared" si="128"/>
        <v>1.5182404978136417</v>
      </c>
    </row>
    <row r="259" spans="2:35">
      <c r="B259" s="39">
        <f t="shared" si="129"/>
        <v>231</v>
      </c>
      <c r="C259" s="45">
        <f t="shared" si="130"/>
        <v>6.7859712230212725</v>
      </c>
      <c r="D259" s="10">
        <f t="shared" si="131"/>
        <v>17.714028776978921</v>
      </c>
      <c r="E259" s="40">
        <f t="shared" si="132"/>
        <v>33.571942446042158</v>
      </c>
      <c r="F259" s="40">
        <f t="shared" si="133"/>
        <v>69</v>
      </c>
      <c r="G259" s="3">
        <f t="shared" si="134"/>
        <v>405.71223021583137</v>
      </c>
      <c r="H259" s="3">
        <f t="shared" si="135"/>
        <v>221.47275588995251</v>
      </c>
      <c r="I259">
        <f t="shared" si="120"/>
        <v>2.214727558899525E-4</v>
      </c>
      <c r="J259" s="4">
        <f t="shared" si="136"/>
        <v>1563.7868992001158</v>
      </c>
      <c r="K259" s="40">
        <f t="shared" si="137"/>
        <v>7.0608544735730163</v>
      </c>
      <c r="L259" s="40">
        <f t="shared" si="121"/>
        <v>0</v>
      </c>
      <c r="M259" s="10">
        <f t="shared" si="138"/>
        <v>6.19710953347436</v>
      </c>
      <c r="N259" s="10">
        <f t="shared" si="110"/>
        <v>17.20418640980624</v>
      </c>
      <c r="O259" s="10">
        <f t="shared" si="111"/>
        <v>-0.14810000000000001</v>
      </c>
      <c r="P259" s="10">
        <f t="shared" si="139"/>
        <v>13.131396746630257</v>
      </c>
      <c r="Q259" s="45">
        <f t="shared" si="140"/>
        <v>0.57551273949653692</v>
      </c>
      <c r="R259" s="4">
        <f t="shared" si="141"/>
        <v>1157934.2572398279</v>
      </c>
      <c r="S259">
        <f t="shared" si="122"/>
        <v>1.157934257239828E-3</v>
      </c>
      <c r="T259" s="44">
        <f t="shared" si="123"/>
        <v>9.1846213724217584E-4</v>
      </c>
      <c r="U259" s="45">
        <f t="shared" si="142"/>
        <v>2.0669705458859546</v>
      </c>
      <c r="V259" s="45">
        <f t="shared" si="143"/>
        <v>1.5379151789070451</v>
      </c>
      <c r="W259" s="45">
        <f t="shared" si="144"/>
        <v>1.5187573894225503</v>
      </c>
      <c r="X259" s="45">
        <f t="shared" si="145"/>
        <v>1.9157789484494758E-2</v>
      </c>
      <c r="Y259" s="45">
        <f t="shared" si="119"/>
        <v>1.7591464172849958E-2</v>
      </c>
      <c r="Z259" s="10">
        <f t="shared" si="146"/>
        <v>19.153172961131574</v>
      </c>
      <c r="AA259">
        <f t="shared" si="124"/>
        <v>6199173.8627564451</v>
      </c>
      <c r="AB259" s="10">
        <f t="shared" si="125"/>
        <v>6.199173862756445</v>
      </c>
      <c r="AC259" s="10">
        <f t="shared" si="126"/>
        <v>6.098173862756445</v>
      </c>
      <c r="AD259" s="3">
        <f t="shared" si="127"/>
        <v>884.43420779643873</v>
      </c>
      <c r="AI259" s="100">
        <f t="shared" si="128"/>
        <v>1.5187573894225503</v>
      </c>
    </row>
    <row r="260" spans="2:35">
      <c r="B260" s="39">
        <f t="shared" si="129"/>
        <v>232</v>
      </c>
      <c r="C260" s="45">
        <f t="shared" si="130"/>
        <v>6.8153477218222305</v>
      </c>
      <c r="D260" s="10">
        <f t="shared" si="131"/>
        <v>17.684652278177964</v>
      </c>
      <c r="E260" s="40">
        <f t="shared" si="132"/>
        <v>33.630695443644072</v>
      </c>
      <c r="F260" s="40">
        <f t="shared" si="133"/>
        <v>69</v>
      </c>
      <c r="G260" s="3">
        <f t="shared" si="134"/>
        <v>405.47721822542371</v>
      </c>
      <c r="H260" s="3">
        <f t="shared" si="135"/>
        <v>221.47275588995251</v>
      </c>
      <c r="I260">
        <f t="shared" si="120"/>
        <v>2.214727558899525E-4</v>
      </c>
      <c r="J260" s="4">
        <f t="shared" si="136"/>
        <v>1566.8879310830021</v>
      </c>
      <c r="K260" s="40">
        <f t="shared" si="137"/>
        <v>7.0748563397186981</v>
      </c>
      <c r="L260" s="40">
        <f t="shared" si="121"/>
        <v>0</v>
      </c>
      <c r="M260" s="10">
        <f t="shared" si="138"/>
        <v>6.199173862756445</v>
      </c>
      <c r="N260" s="10">
        <f t="shared" si="110"/>
        <v>17.20418640980624</v>
      </c>
      <c r="O260" s="10">
        <f t="shared" si="111"/>
        <v>-0.14810000000000001</v>
      </c>
      <c r="P260" s="10">
        <f t="shared" si="139"/>
        <v>13.130749048345155</v>
      </c>
      <c r="Q260" s="45">
        <f t="shared" si="140"/>
        <v>0.57774996897162612</v>
      </c>
      <c r="R260" s="4">
        <f t="shared" si="141"/>
        <v>1156006.1169608419</v>
      </c>
      <c r="S260">
        <f t="shared" si="122"/>
        <v>1.1560061169608418E-3</v>
      </c>
      <c r="T260" s="44">
        <f t="shared" si="123"/>
        <v>9.2039027752116196E-4</v>
      </c>
      <c r="U260" s="45">
        <f t="shared" si="142"/>
        <v>2.063528719080951</v>
      </c>
      <c r="V260" s="45">
        <f t="shared" si="143"/>
        <v>1.538432620939064</v>
      </c>
      <c r="W260" s="45">
        <f t="shared" si="144"/>
        <v>1.5192716871618139</v>
      </c>
      <c r="X260" s="45">
        <f t="shared" si="145"/>
        <v>1.9160933777250033E-2</v>
      </c>
      <c r="Y260" s="45">
        <f t="shared" si="119"/>
        <v>1.7634331578666652E-2</v>
      </c>
      <c r="Z260" s="10">
        <f t="shared" si="146"/>
        <v>19.159623921886983</v>
      </c>
      <c r="AA260">
        <f t="shared" si="124"/>
        <v>6201227.7825089647</v>
      </c>
      <c r="AB260" s="10">
        <f t="shared" si="125"/>
        <v>6.2012277825089646</v>
      </c>
      <c r="AC260" s="10">
        <f t="shared" si="126"/>
        <v>6.1002277825089646</v>
      </c>
      <c r="AD260" s="3">
        <f t="shared" si="127"/>
        <v>884.73209318476643</v>
      </c>
      <c r="AI260" s="100">
        <f t="shared" si="128"/>
        <v>1.5192716871618139</v>
      </c>
    </row>
    <row r="261" spans="2:35">
      <c r="B261" s="39">
        <f t="shared" si="129"/>
        <v>233</v>
      </c>
      <c r="C261" s="45">
        <f t="shared" si="130"/>
        <v>6.8447242206231884</v>
      </c>
      <c r="D261" s="10">
        <f t="shared" si="131"/>
        <v>17.655275779377007</v>
      </c>
      <c r="E261" s="40">
        <f t="shared" si="132"/>
        <v>33.689448441245986</v>
      </c>
      <c r="F261" s="40">
        <f t="shared" si="133"/>
        <v>69</v>
      </c>
      <c r="G261" s="3">
        <f t="shared" si="134"/>
        <v>405.24220623501606</v>
      </c>
      <c r="H261" s="3">
        <f t="shared" si="135"/>
        <v>221.47275588995251</v>
      </c>
      <c r="I261">
        <f t="shared" si="120"/>
        <v>2.214727558899525E-4</v>
      </c>
      <c r="J261" s="4">
        <f t="shared" si="136"/>
        <v>1569.9943852208621</v>
      </c>
      <c r="K261" s="40">
        <f t="shared" si="137"/>
        <v>7.0888826885821379</v>
      </c>
      <c r="L261" s="40">
        <f t="shared" si="121"/>
        <v>0</v>
      </c>
      <c r="M261" s="10">
        <f t="shared" si="138"/>
        <v>6.2012277825089646</v>
      </c>
      <c r="N261" s="10">
        <f t="shared" si="110"/>
        <v>17.20418640980624</v>
      </c>
      <c r="O261" s="10">
        <f t="shared" si="111"/>
        <v>-0.14810000000000001</v>
      </c>
      <c r="P261" s="10">
        <f t="shared" si="139"/>
        <v>13.13010486183571</v>
      </c>
      <c r="Q261" s="45">
        <f t="shared" si="140"/>
        <v>0.57998730820920863</v>
      </c>
      <c r="R261" s="4">
        <f t="shared" si="141"/>
        <v>1154077.236914638</v>
      </c>
      <c r="S261">
        <f t="shared" si="122"/>
        <v>1.154077236914638E-3</v>
      </c>
      <c r="T261" s="44">
        <f t="shared" si="123"/>
        <v>9.2231915756736584E-4</v>
      </c>
      <c r="U261" s="45">
        <f t="shared" si="142"/>
        <v>2.0600855717544744</v>
      </c>
      <c r="V261" s="45">
        <f t="shared" si="143"/>
        <v>1.5389473659779205</v>
      </c>
      <c r="W261" s="45">
        <f t="shared" si="144"/>
        <v>1.5197833915175658</v>
      </c>
      <c r="X261" s="45">
        <f t="shared" si="145"/>
        <v>1.9163974460354671E-2</v>
      </c>
      <c r="Y261" s="45">
        <f t="shared" si="119"/>
        <v>1.7677207890674833E-2</v>
      </c>
      <c r="Z261" s="10">
        <f t="shared" si="146"/>
        <v>19.166042194438205</v>
      </c>
      <c r="AA261">
        <f t="shared" si="124"/>
        <v>6203271.2946724761</v>
      </c>
      <c r="AB261" s="10">
        <f t="shared" si="125"/>
        <v>6.2032712946724757</v>
      </c>
      <c r="AC261" s="10">
        <f t="shared" si="126"/>
        <v>6.1022712946724758</v>
      </c>
      <c r="AD261" s="3">
        <f t="shared" si="127"/>
        <v>885.02846913306394</v>
      </c>
      <c r="AI261" s="100">
        <f t="shared" si="128"/>
        <v>1.5197833915175658</v>
      </c>
    </row>
    <row r="262" spans="2:35">
      <c r="B262" s="39">
        <f t="shared" si="129"/>
        <v>234</v>
      </c>
      <c r="C262" s="45">
        <f t="shared" si="130"/>
        <v>6.8741007194241464</v>
      </c>
      <c r="D262" s="10">
        <f t="shared" si="131"/>
        <v>17.62589928057605</v>
      </c>
      <c r="E262" s="40">
        <f t="shared" si="132"/>
        <v>33.7482014388479</v>
      </c>
      <c r="F262" s="40">
        <f t="shared" si="133"/>
        <v>69</v>
      </c>
      <c r="G262" s="3">
        <f t="shared" si="134"/>
        <v>405.0071942446084</v>
      </c>
      <c r="H262" s="3">
        <f t="shared" si="135"/>
        <v>221.47275588995251</v>
      </c>
      <c r="I262">
        <f t="shared" si="120"/>
        <v>2.214727558899525E-4</v>
      </c>
      <c r="J262" s="4">
        <f t="shared" si="136"/>
        <v>1573.106261613696</v>
      </c>
      <c r="K262" s="40">
        <f t="shared" si="137"/>
        <v>7.1029335201633383</v>
      </c>
      <c r="L262" s="40">
        <f t="shared" si="121"/>
        <v>0</v>
      </c>
      <c r="M262" s="10">
        <f t="shared" si="138"/>
        <v>6.2032712946724757</v>
      </c>
      <c r="N262" s="10">
        <f t="shared" si="110"/>
        <v>17.20418640980624</v>
      </c>
      <c r="O262" s="10">
        <f t="shared" si="111"/>
        <v>-0.14810000000000001</v>
      </c>
      <c r="P262" s="10">
        <f t="shared" si="139"/>
        <v>13.12946418259418</v>
      </c>
      <c r="Q262" s="45">
        <f t="shared" si="140"/>
        <v>0.5822247566223665</v>
      </c>
      <c r="R262" s="4">
        <f t="shared" si="141"/>
        <v>1152147.6209241005</v>
      </c>
      <c r="S262">
        <f t="shared" si="122"/>
        <v>1.1521476209241006E-3</v>
      </c>
      <c r="T262" s="44">
        <f t="shared" si="123"/>
        <v>9.2424877355790319E-4</v>
      </c>
      <c r="U262" s="45">
        <f t="shared" si="142"/>
        <v>2.0566411107305655</v>
      </c>
      <c r="V262" s="45">
        <f t="shared" si="143"/>
        <v>1.5394594144172529</v>
      </c>
      <c r="W262" s="45">
        <f t="shared" si="144"/>
        <v>1.5202925029732683</v>
      </c>
      <c r="X262" s="45">
        <f t="shared" si="145"/>
        <v>1.9166911443984525E-2</v>
      </c>
      <c r="Y262" s="45">
        <f t="shared" si="119"/>
        <v>1.7720092866270312E-2</v>
      </c>
      <c r="Z262" s="10">
        <f t="shared" si="146"/>
        <v>19.172427784844842</v>
      </c>
      <c r="AA262">
        <f t="shared" si="124"/>
        <v>6205304.4011762943</v>
      </c>
      <c r="AB262" s="10">
        <f t="shared" si="125"/>
        <v>6.2053044011762939</v>
      </c>
      <c r="AC262" s="10">
        <f t="shared" si="126"/>
        <v>6.1043044011762939</v>
      </c>
      <c r="AD262" s="3">
        <f t="shared" si="127"/>
        <v>885.32333592114492</v>
      </c>
      <c r="AI262" s="100">
        <f t="shared" si="128"/>
        <v>1.5202925029732683</v>
      </c>
    </row>
    <row r="263" spans="2:35">
      <c r="B263" s="39">
        <f t="shared" si="129"/>
        <v>235</v>
      </c>
      <c r="C263" s="45">
        <f t="shared" si="130"/>
        <v>6.9034772182251043</v>
      </c>
      <c r="D263" s="10">
        <f t="shared" si="131"/>
        <v>17.596522781775093</v>
      </c>
      <c r="E263" s="40">
        <f t="shared" si="132"/>
        <v>33.806954436449814</v>
      </c>
      <c r="F263" s="40">
        <f t="shared" si="133"/>
        <v>69</v>
      </c>
      <c r="G263" s="3">
        <f t="shared" si="134"/>
        <v>404.77218225420074</v>
      </c>
      <c r="H263" s="3">
        <f t="shared" si="135"/>
        <v>221.47275588995251</v>
      </c>
      <c r="I263">
        <f t="shared" si="120"/>
        <v>2.214727558899525E-4</v>
      </c>
      <c r="J263" s="4">
        <f t="shared" si="136"/>
        <v>1576.2235602615037</v>
      </c>
      <c r="K263" s="40">
        <f t="shared" si="137"/>
        <v>7.1170088344622968</v>
      </c>
      <c r="L263" s="40">
        <f t="shared" si="121"/>
        <v>0</v>
      </c>
      <c r="M263" s="10">
        <f t="shared" si="138"/>
        <v>6.2053044011762939</v>
      </c>
      <c r="N263" s="10">
        <f t="shared" si="110"/>
        <v>17.20418640980624</v>
      </c>
      <c r="O263" s="10">
        <f t="shared" si="111"/>
        <v>-0.14810000000000001</v>
      </c>
      <c r="P263" s="10">
        <f t="shared" si="139"/>
        <v>13.128827006141597</v>
      </c>
      <c r="Q263" s="45">
        <f t="shared" si="140"/>
        <v>0.58446231362477163</v>
      </c>
      <c r="R263" s="4">
        <f t="shared" si="141"/>
        <v>1150217.2728121146</v>
      </c>
      <c r="S263">
        <f t="shared" si="122"/>
        <v>1.1502172728121145E-3</v>
      </c>
      <c r="T263" s="44">
        <f t="shared" si="123"/>
        <v>9.2617912166988929E-4</v>
      </c>
      <c r="U263" s="45">
        <f t="shared" si="142"/>
        <v>2.053195342833265</v>
      </c>
      <c r="V263" s="45">
        <f t="shared" si="143"/>
        <v>1.5399687666489508</v>
      </c>
      <c r="W263" s="45">
        <f t="shared" si="144"/>
        <v>1.5207990220095815</v>
      </c>
      <c r="X263" s="45">
        <f t="shared" si="145"/>
        <v>1.9169744639369268E-2</v>
      </c>
      <c r="Y263" s="45">
        <f t="shared" si="119"/>
        <v>1.776298626262245E-2</v>
      </c>
      <c r="Z263" s="10">
        <f t="shared" si="146"/>
        <v>19.178780699133025</v>
      </c>
      <c r="AA263">
        <f t="shared" si="124"/>
        <v>6207327.1039390769</v>
      </c>
      <c r="AB263" s="10">
        <f t="shared" si="125"/>
        <v>6.2073271039390772</v>
      </c>
      <c r="AC263" s="10">
        <f t="shared" si="126"/>
        <v>6.1063271039390772</v>
      </c>
      <c r="AD263" s="3">
        <f t="shared" si="127"/>
        <v>885.61669382727723</v>
      </c>
      <c r="AI263" s="100">
        <f t="shared" si="128"/>
        <v>1.5207990220095815</v>
      </c>
    </row>
    <row r="264" spans="2:35">
      <c r="B264" s="39">
        <f t="shared" si="129"/>
        <v>236</v>
      </c>
      <c r="C264" s="45">
        <f t="shared" si="130"/>
        <v>6.9328537170260622</v>
      </c>
      <c r="D264" s="10">
        <f t="shared" si="131"/>
        <v>17.567146282974136</v>
      </c>
      <c r="E264" s="40">
        <f t="shared" si="132"/>
        <v>33.865707434051728</v>
      </c>
      <c r="F264" s="40">
        <f t="shared" si="133"/>
        <v>69</v>
      </c>
      <c r="G264" s="3">
        <f t="shared" si="134"/>
        <v>404.53717026379309</v>
      </c>
      <c r="H264" s="3">
        <f t="shared" si="135"/>
        <v>221.47275588995251</v>
      </c>
      <c r="I264">
        <f t="shared" si="120"/>
        <v>2.214727558899525E-4</v>
      </c>
      <c r="J264" s="4">
        <f t="shared" si="136"/>
        <v>1579.3462811642853</v>
      </c>
      <c r="K264" s="40">
        <f t="shared" si="137"/>
        <v>7.1311086314790151</v>
      </c>
      <c r="L264" s="40">
        <f t="shared" si="121"/>
        <v>0</v>
      </c>
      <c r="M264" s="10">
        <f t="shared" si="138"/>
        <v>6.2073271039390772</v>
      </c>
      <c r="N264" s="10">
        <f t="shared" si="110"/>
        <v>17.20418640980624</v>
      </c>
      <c r="O264" s="10">
        <f t="shared" si="111"/>
        <v>-0.14810000000000001</v>
      </c>
      <c r="P264" s="10">
        <f t="shared" si="139"/>
        <v>13.128193328027464</v>
      </c>
      <c r="Q264" s="45">
        <f t="shared" si="140"/>
        <v>0.58669997863068235</v>
      </c>
      <c r="R264" s="4">
        <f t="shared" si="141"/>
        <v>1148286.1964015649</v>
      </c>
      <c r="S264">
        <f t="shared" si="122"/>
        <v>1.1482861964015648E-3</v>
      </c>
      <c r="T264" s="44">
        <f t="shared" si="123"/>
        <v>9.2811019808043899E-4</v>
      </c>
      <c r="U264" s="45">
        <f t="shared" si="142"/>
        <v>2.0497482748866136</v>
      </c>
      <c r="V264" s="45">
        <f t="shared" si="143"/>
        <v>1.5404754230620228</v>
      </c>
      <c r="W264" s="45">
        <f t="shared" si="144"/>
        <v>1.5213029491045122</v>
      </c>
      <c r="X264" s="45">
        <f t="shared" si="145"/>
        <v>1.9172473957510539E-2</v>
      </c>
      <c r="Y264" s="45">
        <f t="shared" si="119"/>
        <v>1.7805887836673907E-2</v>
      </c>
      <c r="Z264" s="10">
        <f t="shared" si="146"/>
        <v>19.185100943294103</v>
      </c>
      <c r="AA264">
        <f t="shared" si="124"/>
        <v>6209339.4048684072</v>
      </c>
      <c r="AB264" s="10">
        <f t="shared" si="125"/>
        <v>6.2093394048684072</v>
      </c>
      <c r="AC264" s="10">
        <f t="shared" si="126"/>
        <v>6.1083394048684072</v>
      </c>
      <c r="AD264" s="3">
        <f t="shared" si="127"/>
        <v>885.90854312812291</v>
      </c>
      <c r="AI264" s="100">
        <f t="shared" si="128"/>
        <v>1.5213029491045122</v>
      </c>
    </row>
    <row r="265" spans="2:35">
      <c r="B265" s="39">
        <f t="shared" si="129"/>
        <v>237</v>
      </c>
      <c r="C265" s="45">
        <f t="shared" si="130"/>
        <v>6.9622302158270202</v>
      </c>
      <c r="D265" s="10">
        <f t="shared" si="131"/>
        <v>17.537769784173179</v>
      </c>
      <c r="E265" s="40">
        <f t="shared" si="132"/>
        <v>33.924460431653642</v>
      </c>
      <c r="F265" s="40">
        <f t="shared" si="133"/>
        <v>69</v>
      </c>
      <c r="G265" s="3">
        <f t="shared" si="134"/>
        <v>404.30215827338543</v>
      </c>
      <c r="H265" s="3">
        <f t="shared" si="135"/>
        <v>221.47275588995251</v>
      </c>
      <c r="I265">
        <f t="shared" si="120"/>
        <v>2.214727558899525E-4</v>
      </c>
      <c r="J265" s="4">
        <f t="shared" si="136"/>
        <v>1582.4744243220407</v>
      </c>
      <c r="K265" s="40">
        <f t="shared" si="137"/>
        <v>7.1452329112134931</v>
      </c>
      <c r="L265" s="40">
        <f t="shared" si="121"/>
        <v>0</v>
      </c>
      <c r="M265" s="10">
        <f t="shared" si="138"/>
        <v>6.2093394048684072</v>
      </c>
      <c r="N265" s="10">
        <f t="shared" si="110"/>
        <v>17.20418640980624</v>
      </c>
      <c r="O265" s="10">
        <f t="shared" si="111"/>
        <v>-0.14810000000000001</v>
      </c>
      <c r="P265" s="10">
        <f t="shared" si="139"/>
        <v>13.127563143829818</v>
      </c>
      <c r="Q265" s="45">
        <f t="shared" si="140"/>
        <v>0.58893775105493962</v>
      </c>
      <c r="R265" s="4">
        <f t="shared" si="141"/>
        <v>1146354.3955153362</v>
      </c>
      <c r="S265">
        <f t="shared" si="122"/>
        <v>1.1463543955153362E-3</v>
      </c>
      <c r="T265" s="44">
        <f t="shared" si="123"/>
        <v>9.3004199896666757E-4</v>
      </c>
      <c r="U265" s="45">
        <f t="shared" si="142"/>
        <v>2.0462999137146509</v>
      </c>
      <c r="V265" s="45">
        <f t="shared" si="143"/>
        <v>1.5409793840440291</v>
      </c>
      <c r="W265" s="45">
        <f t="shared" si="144"/>
        <v>1.5218042847333064</v>
      </c>
      <c r="X265" s="45">
        <f t="shared" si="145"/>
        <v>1.9175099310722699E-2</v>
      </c>
      <c r="Y265" s="45">
        <f t="shared" si="119"/>
        <v>1.7848797345143837E-2</v>
      </c>
      <c r="Z265" s="10">
        <f t="shared" si="146"/>
        <v>19.191388523287035</v>
      </c>
      <c r="AA265">
        <f t="shared" si="124"/>
        <v>6211341.3058615597</v>
      </c>
      <c r="AB265" s="10">
        <f t="shared" si="125"/>
        <v>6.2113413058615601</v>
      </c>
      <c r="AC265" s="10">
        <f t="shared" si="126"/>
        <v>6.1103413058615601</v>
      </c>
      <c r="AD265" s="3">
        <f t="shared" si="127"/>
        <v>886.19888409884845</v>
      </c>
      <c r="AI265" s="100">
        <f t="shared" si="128"/>
        <v>1.5218042847333064</v>
      </c>
    </row>
    <row r="266" spans="2:35">
      <c r="B266" s="39">
        <f t="shared" si="129"/>
        <v>238</v>
      </c>
      <c r="C266" s="45">
        <f t="shared" si="130"/>
        <v>6.9916067146279781</v>
      </c>
      <c r="D266" s="10">
        <f t="shared" si="131"/>
        <v>17.508393285372222</v>
      </c>
      <c r="E266" s="40">
        <f t="shared" si="132"/>
        <v>33.983213429255557</v>
      </c>
      <c r="F266" s="40">
        <f t="shared" si="133"/>
        <v>69</v>
      </c>
      <c r="G266" s="3">
        <f t="shared" si="134"/>
        <v>404.06714628297777</v>
      </c>
      <c r="H266" s="3">
        <f t="shared" si="135"/>
        <v>221.47275588995251</v>
      </c>
      <c r="I266">
        <f t="shared" si="120"/>
        <v>2.214727558899525E-4</v>
      </c>
      <c r="J266" s="4">
        <f t="shared" si="136"/>
        <v>1585.6079897347704</v>
      </c>
      <c r="K266" s="40">
        <f t="shared" si="137"/>
        <v>7.1593816736657327</v>
      </c>
      <c r="L266" s="40">
        <f t="shared" si="121"/>
        <v>0</v>
      </c>
      <c r="M266" s="10">
        <f t="shared" si="138"/>
        <v>6.2113413058615601</v>
      </c>
      <c r="N266" s="10">
        <f t="shared" si="110"/>
        <v>17.20418640980624</v>
      </c>
      <c r="O266" s="10">
        <f t="shared" si="111"/>
        <v>-0.14810000000000001</v>
      </c>
      <c r="P266" s="10">
        <f t="shared" si="139"/>
        <v>13.126936449154865</v>
      </c>
      <c r="Q266" s="45">
        <f t="shared" si="140"/>
        <v>0.59117563031296327</v>
      </c>
      <c r="R266" s="4">
        <f t="shared" si="141"/>
        <v>1144421.8739763133</v>
      </c>
      <c r="S266">
        <f t="shared" si="122"/>
        <v>1.1444218739763133E-3</v>
      </c>
      <c r="T266" s="44">
        <f t="shared" si="123"/>
        <v>9.3197452050569054E-4</v>
      </c>
      <c r="U266" s="45">
        <f t="shared" si="142"/>
        <v>2.0428502661414183</v>
      </c>
      <c r="V266" s="45">
        <f t="shared" si="143"/>
        <v>1.5414806499789109</v>
      </c>
      <c r="W266" s="45">
        <f t="shared" si="144"/>
        <v>1.5223030293686426</v>
      </c>
      <c r="X266" s="45">
        <f t="shared" si="145"/>
        <v>1.9177620610268287E-2</v>
      </c>
      <c r="Y266" s="45">
        <f t="shared" si="119"/>
        <v>1.7891714544525802E-2</v>
      </c>
      <c r="Z266" s="10">
        <f t="shared" si="146"/>
        <v>19.197643445035101</v>
      </c>
      <c r="AA266">
        <f t="shared" si="124"/>
        <v>6213332.8088044422</v>
      </c>
      <c r="AB266" s="10">
        <f t="shared" si="125"/>
        <v>6.2133328088044424</v>
      </c>
      <c r="AC266" s="10">
        <f t="shared" si="126"/>
        <v>6.1123328088044424</v>
      </c>
      <c r="AD266" s="3">
        <f t="shared" si="127"/>
        <v>886.48771701297198</v>
      </c>
      <c r="AI266" s="100">
        <f t="shared" si="128"/>
        <v>1.5223030293686426</v>
      </c>
    </row>
    <row r="267" spans="2:35">
      <c r="B267" s="39">
        <f t="shared" si="129"/>
        <v>239</v>
      </c>
      <c r="C267" s="45">
        <f t="shared" si="130"/>
        <v>7.0209832134289361</v>
      </c>
      <c r="D267" s="10">
        <f t="shared" si="131"/>
        <v>17.479016786571265</v>
      </c>
      <c r="E267" s="40">
        <f t="shared" si="132"/>
        <v>34.041966426857471</v>
      </c>
      <c r="F267" s="40">
        <f t="shared" si="133"/>
        <v>69</v>
      </c>
      <c r="G267" s="3">
        <f t="shared" si="134"/>
        <v>403.83213429257012</v>
      </c>
      <c r="H267" s="3">
        <f t="shared" si="135"/>
        <v>221.47275588995251</v>
      </c>
      <c r="I267">
        <f t="shared" si="120"/>
        <v>2.214727558899525E-4</v>
      </c>
      <c r="J267" s="4">
        <f t="shared" si="136"/>
        <v>1588.7469774024739</v>
      </c>
      <c r="K267" s="40">
        <f t="shared" si="137"/>
        <v>7.1735549188357313</v>
      </c>
      <c r="L267" s="40">
        <f t="shared" si="121"/>
        <v>0</v>
      </c>
      <c r="M267" s="10">
        <f t="shared" si="138"/>
        <v>6.2133328088044424</v>
      </c>
      <c r="N267" s="10">
        <f t="shared" si="110"/>
        <v>17.20418640980624</v>
      </c>
      <c r="O267" s="10">
        <f t="shared" si="111"/>
        <v>-0.14810000000000001</v>
      </c>
      <c r="P267" s="10">
        <f t="shared" si="139"/>
        <v>13.12631323963725</v>
      </c>
      <c r="Q267" s="45">
        <f t="shared" si="140"/>
        <v>0.59341361582074847</v>
      </c>
      <c r="R267" s="4">
        <f t="shared" si="141"/>
        <v>1142488.6356073809</v>
      </c>
      <c r="S267">
        <f t="shared" si="122"/>
        <v>1.1424886356073808E-3</v>
      </c>
      <c r="T267" s="44">
        <f t="shared" si="123"/>
        <v>9.3390775887462296E-4</v>
      </c>
      <c r="U267" s="45">
        <f t="shared" si="142"/>
        <v>2.0393993389909553</v>
      </c>
      <c r="V267" s="45">
        <f t="shared" si="143"/>
        <v>1.5419792212498276</v>
      </c>
      <c r="W267" s="45">
        <f t="shared" si="144"/>
        <v>1.5227991834803676</v>
      </c>
      <c r="X267" s="45">
        <f t="shared" si="145"/>
        <v>1.9180037769459979E-2</v>
      </c>
      <c r="Y267" s="45">
        <f t="shared" si="119"/>
        <v>1.7934639191092627E-2</v>
      </c>
      <c r="Z267" s="10">
        <f t="shared" si="146"/>
        <v>19.203865714430101</v>
      </c>
      <c r="AA267">
        <f t="shared" si="124"/>
        <v>6215313.915572946</v>
      </c>
      <c r="AB267" s="10">
        <f t="shared" si="125"/>
        <v>6.2153139155729455</v>
      </c>
      <c r="AC267" s="10">
        <f t="shared" si="126"/>
        <v>6.1143139155729456</v>
      </c>
      <c r="AD267" s="3">
        <f t="shared" si="127"/>
        <v>886.77504214255919</v>
      </c>
      <c r="AI267" s="100">
        <f t="shared" si="128"/>
        <v>1.5227991834803676</v>
      </c>
    </row>
    <row r="268" spans="2:35">
      <c r="B268" s="39">
        <f t="shared" si="129"/>
        <v>240</v>
      </c>
      <c r="C268" s="45">
        <f t="shared" si="130"/>
        <v>7.050359712229894</v>
      </c>
      <c r="D268" s="10">
        <f t="shared" si="131"/>
        <v>17.449640287770308</v>
      </c>
      <c r="E268" s="40">
        <f t="shared" si="132"/>
        <v>34.100719424459385</v>
      </c>
      <c r="F268" s="40">
        <f t="shared" si="133"/>
        <v>69</v>
      </c>
      <c r="G268" s="3">
        <f t="shared" si="134"/>
        <v>403.59712230216246</v>
      </c>
      <c r="H268" s="3">
        <f t="shared" si="135"/>
        <v>221.47275588995251</v>
      </c>
      <c r="I268">
        <f t="shared" si="120"/>
        <v>2.214727558899525E-4</v>
      </c>
      <c r="J268" s="4">
        <f t="shared" si="136"/>
        <v>1591.8913873251513</v>
      </c>
      <c r="K268" s="40">
        <f t="shared" si="137"/>
        <v>7.1877526467234887</v>
      </c>
      <c r="L268" s="40">
        <f t="shared" si="121"/>
        <v>0</v>
      </c>
      <c r="M268" s="10">
        <f t="shared" si="138"/>
        <v>6.2153139155729455</v>
      </c>
      <c r="N268" s="10">
        <f t="shared" si="110"/>
        <v>17.20418640980624</v>
      </c>
      <c r="O268" s="10">
        <f t="shared" si="111"/>
        <v>-0.14810000000000001</v>
      </c>
      <c r="P268" s="10">
        <f t="shared" si="139"/>
        <v>13.125693510939511</v>
      </c>
      <c r="Q268" s="45">
        <f t="shared" si="140"/>
        <v>0.59565170699486236</v>
      </c>
      <c r="R268" s="4">
        <f t="shared" si="141"/>
        <v>1140554.684231424</v>
      </c>
      <c r="S268">
        <f t="shared" si="122"/>
        <v>1.1405546842314239E-3</v>
      </c>
      <c r="T268" s="44">
        <f t="shared" si="123"/>
        <v>9.3584171025057989E-4</v>
      </c>
      <c r="U268" s="45">
        <f t="shared" si="142"/>
        <v>2.0359471390873036</v>
      </c>
      <c r="V268" s="45">
        <f t="shared" si="143"/>
        <v>1.5424750982356423</v>
      </c>
      <c r="W268" s="45">
        <f t="shared" si="144"/>
        <v>1.5232927475358324</v>
      </c>
      <c r="X268" s="45">
        <f t="shared" si="145"/>
        <v>1.9182350699809891E-2</v>
      </c>
      <c r="Y268" s="45">
        <f t="shared" si="119"/>
        <v>1.7977571040892627E-2</v>
      </c>
      <c r="Z268" s="10">
        <f t="shared" si="146"/>
        <v>19.210055337327265</v>
      </c>
      <c r="AA268">
        <f t="shared" si="124"/>
        <v>6217284.6280313153</v>
      </c>
      <c r="AB268" s="10">
        <f t="shared" si="125"/>
        <v>6.2172846280313152</v>
      </c>
      <c r="AC268" s="10">
        <f t="shared" si="126"/>
        <v>6.1162846280313152</v>
      </c>
      <c r="AD268" s="3">
        <f t="shared" si="127"/>
        <v>887.06085975798624</v>
      </c>
      <c r="AI268" s="100">
        <f t="shared" si="128"/>
        <v>1.5232927475358324</v>
      </c>
    </row>
    <row r="269" spans="2:35">
      <c r="B269" s="39">
        <f t="shared" si="129"/>
        <v>241</v>
      </c>
      <c r="C269" s="45">
        <f t="shared" si="130"/>
        <v>7.0797362110308519</v>
      </c>
      <c r="D269" s="10">
        <f t="shared" si="131"/>
        <v>17.420263788969351</v>
      </c>
      <c r="E269" s="40">
        <f t="shared" si="132"/>
        <v>34.159472422061299</v>
      </c>
      <c r="F269" s="40">
        <f t="shared" si="133"/>
        <v>69</v>
      </c>
      <c r="G269" s="3">
        <f t="shared" si="134"/>
        <v>403.3621103117548</v>
      </c>
      <c r="H269" s="3">
        <f t="shared" si="135"/>
        <v>221.47275588995251</v>
      </c>
      <c r="I269">
        <f t="shared" si="120"/>
        <v>2.214727558899525E-4</v>
      </c>
      <c r="J269" s="4">
        <f t="shared" si="136"/>
        <v>1595.0412195028025</v>
      </c>
      <c r="K269" s="40">
        <f t="shared" si="137"/>
        <v>7.2019748573290059</v>
      </c>
      <c r="L269" s="40">
        <f t="shared" si="121"/>
        <v>0</v>
      </c>
      <c r="M269" s="10">
        <f t="shared" si="138"/>
        <v>6.2172846280313152</v>
      </c>
      <c r="N269" s="10">
        <f t="shared" si="110"/>
        <v>17.20418640980624</v>
      </c>
      <c r="O269" s="10">
        <f t="shared" si="111"/>
        <v>-0.14810000000000001</v>
      </c>
      <c r="P269" s="10">
        <f t="shared" si="139"/>
        <v>13.125077258752517</v>
      </c>
      <c r="Q269" s="45">
        <f t="shared" si="140"/>
        <v>0.59788990325244007</v>
      </c>
      <c r="R269" s="4">
        <f t="shared" si="141"/>
        <v>1138620.0236713276</v>
      </c>
      <c r="S269">
        <f t="shared" si="122"/>
        <v>1.1386200236713276E-3</v>
      </c>
      <c r="T269" s="44">
        <f t="shared" si="123"/>
        <v>9.3777637081067619E-4</v>
      </c>
      <c r="U269" s="45">
        <f t="shared" si="142"/>
        <v>2.0324936732545034</v>
      </c>
      <c r="V269" s="45">
        <f t="shared" si="143"/>
        <v>1.5429682813149654</v>
      </c>
      <c r="W269" s="45">
        <f t="shared" si="144"/>
        <v>1.523783721999487</v>
      </c>
      <c r="X269" s="45">
        <f t="shared" si="145"/>
        <v>1.9184559315478467E-2</v>
      </c>
      <c r="Y269" s="45">
        <f t="shared" si="119"/>
        <v>1.8020509849755808E-2</v>
      </c>
      <c r="Z269" s="10">
        <f t="shared" si="146"/>
        <v>19.216212319550856</v>
      </c>
      <c r="AA269">
        <f t="shared" si="124"/>
        <v>6219244.9480339354</v>
      </c>
      <c r="AB269" s="10">
        <f t="shared" si="125"/>
        <v>6.2192449480339356</v>
      </c>
      <c r="AC269" s="10">
        <f t="shared" si="126"/>
        <v>6.1182449480339356</v>
      </c>
      <c r="AD269" s="3">
        <f t="shared" si="127"/>
        <v>887.34517012819947</v>
      </c>
      <c r="AI269" s="100">
        <f t="shared" si="128"/>
        <v>1.523783721999487</v>
      </c>
    </row>
    <row r="270" spans="2:35">
      <c r="B270" s="39">
        <f t="shared" si="129"/>
        <v>242</v>
      </c>
      <c r="C270" s="45">
        <f t="shared" si="130"/>
        <v>7.1091127098318099</v>
      </c>
      <c r="D270" s="10">
        <f t="shared" si="131"/>
        <v>17.390887290168394</v>
      </c>
      <c r="E270" s="40">
        <f t="shared" si="132"/>
        <v>34.218225419663213</v>
      </c>
      <c r="F270" s="40">
        <f t="shared" si="133"/>
        <v>69</v>
      </c>
      <c r="G270" s="3">
        <f t="shared" si="134"/>
        <v>403.12709832134715</v>
      </c>
      <c r="H270" s="3">
        <f t="shared" si="135"/>
        <v>221.47275588995251</v>
      </c>
      <c r="I270">
        <f t="shared" si="120"/>
        <v>2.214727558899525E-4</v>
      </c>
      <c r="J270" s="4">
        <f t="shared" si="136"/>
        <v>1598.1964739354275</v>
      </c>
      <c r="K270" s="40">
        <f t="shared" si="137"/>
        <v>7.2162215506522829</v>
      </c>
      <c r="L270" s="40">
        <f t="shared" si="121"/>
        <v>0</v>
      </c>
      <c r="M270" s="10">
        <f t="shared" si="138"/>
        <v>6.2192449480339356</v>
      </c>
      <c r="N270" s="10">
        <f t="shared" si="110"/>
        <v>17.20418640980624</v>
      </c>
      <c r="O270" s="10">
        <f t="shared" si="111"/>
        <v>-0.14810000000000001</v>
      </c>
      <c r="P270" s="10">
        <f t="shared" si="139"/>
        <v>13.124464478794813</v>
      </c>
      <c r="Q270" s="45">
        <f t="shared" si="140"/>
        <v>0.60012820401118128</v>
      </c>
      <c r="R270" s="4">
        <f t="shared" si="141"/>
        <v>1136684.657749976</v>
      </c>
      <c r="S270">
        <f t="shared" si="122"/>
        <v>1.136684657749976E-3</v>
      </c>
      <c r="T270" s="44">
        <f t="shared" si="123"/>
        <v>9.3971173673202779E-4</v>
      </c>
      <c r="U270" s="45">
        <f t="shared" si="142"/>
        <v>2.0290389483165949</v>
      </c>
      <c r="V270" s="45">
        <f t="shared" si="143"/>
        <v>1.5434587708630061</v>
      </c>
      <c r="W270" s="45">
        <f t="shared" si="144"/>
        <v>1.5242721073333236</v>
      </c>
      <c r="X270" s="45">
        <f t="shared" si="145"/>
        <v>1.9186663529682457E-2</v>
      </c>
      <c r="Y270" s="45">
        <f t="shared" si="119"/>
        <v>1.8063455373292008E-2</v>
      </c>
      <c r="Z270" s="10">
        <f t="shared" si="146"/>
        <v>19.222336666891135</v>
      </c>
      <c r="AA270">
        <f t="shared" si="124"/>
        <v>6221194.8774243677</v>
      </c>
      <c r="AB270" s="10">
        <f t="shared" si="125"/>
        <v>6.2211948774243675</v>
      </c>
      <c r="AC270" s="10">
        <f t="shared" si="126"/>
        <v>6.1201948774243675</v>
      </c>
      <c r="AD270" s="3">
        <f t="shared" si="127"/>
        <v>887.62797352057544</v>
      </c>
      <c r="AI270" s="100">
        <f t="shared" si="128"/>
        <v>1.5242721073333236</v>
      </c>
    </row>
    <row r="271" spans="2:35">
      <c r="B271" s="39">
        <f t="shared" si="129"/>
        <v>243</v>
      </c>
      <c r="C271" s="45">
        <f t="shared" si="130"/>
        <v>7.1384892086327678</v>
      </c>
      <c r="D271" s="10">
        <f t="shared" si="131"/>
        <v>17.361510791367436</v>
      </c>
      <c r="E271" s="40">
        <f t="shared" si="132"/>
        <v>34.276978417265127</v>
      </c>
      <c r="F271" s="40">
        <f t="shared" si="133"/>
        <v>69</v>
      </c>
      <c r="G271" s="3">
        <f t="shared" si="134"/>
        <v>402.89208633093949</v>
      </c>
      <c r="H271" s="3">
        <f t="shared" si="135"/>
        <v>221.47275588995251</v>
      </c>
      <c r="I271">
        <f t="shared" si="120"/>
        <v>2.214727558899525E-4</v>
      </c>
      <c r="J271" s="4">
        <f t="shared" si="136"/>
        <v>1601.3571506230264</v>
      </c>
      <c r="K271" s="40">
        <f t="shared" si="137"/>
        <v>7.2304927266933188</v>
      </c>
      <c r="L271" s="40">
        <f t="shared" si="121"/>
        <v>0</v>
      </c>
      <c r="M271" s="10">
        <f t="shared" si="138"/>
        <v>6.2211948774243675</v>
      </c>
      <c r="N271" s="10">
        <f t="shared" si="110"/>
        <v>17.20418640980624</v>
      </c>
      <c r="O271" s="10">
        <f t="shared" si="111"/>
        <v>-0.14810000000000001</v>
      </c>
      <c r="P271" s="10">
        <f t="shared" si="139"/>
        <v>13.123855166812827</v>
      </c>
      <c r="Q271" s="45">
        <f t="shared" si="140"/>
        <v>0.60236660868934655</v>
      </c>
      <c r="R271" s="4">
        <f t="shared" si="141"/>
        <v>1134748.5902902544</v>
      </c>
      <c r="S271">
        <f t="shared" si="122"/>
        <v>1.1347485902902545E-3</v>
      </c>
      <c r="T271" s="44">
        <f t="shared" si="123"/>
        <v>9.4164780419174932E-4</v>
      </c>
      <c r="U271" s="45">
        <f t="shared" si="142"/>
        <v>2.0255829710976188</v>
      </c>
      <c r="V271" s="45">
        <f t="shared" si="143"/>
        <v>1.5439465672529282</v>
      </c>
      <c r="W271" s="45">
        <f t="shared" si="144"/>
        <v>1.5247579039966399</v>
      </c>
      <c r="X271" s="45">
        <f t="shared" si="145"/>
        <v>1.9188663256288319E-2</v>
      </c>
      <c r="Y271" s="45">
        <f t="shared" si="119"/>
        <v>1.8106407366892622E-2</v>
      </c>
      <c r="Z271" s="10">
        <f t="shared" si="146"/>
        <v>19.228428385105207</v>
      </c>
      <c r="AA271">
        <f t="shared" si="124"/>
        <v>6223134.4180356143</v>
      </c>
      <c r="AB271" s="10">
        <f t="shared" si="125"/>
        <v>6.2231344180356141</v>
      </c>
      <c r="AC271" s="10">
        <f t="shared" si="126"/>
        <v>6.1221344180356141</v>
      </c>
      <c r="AD271" s="3">
        <f t="shared" si="127"/>
        <v>887.90927020095933</v>
      </c>
      <c r="AI271" s="100">
        <f t="shared" si="128"/>
        <v>1.5247579039966399</v>
      </c>
    </row>
    <row r="272" spans="2:35">
      <c r="B272" s="39">
        <f t="shared" si="129"/>
        <v>244</v>
      </c>
      <c r="C272" s="45">
        <f t="shared" si="130"/>
        <v>7.1678657074337258</v>
      </c>
      <c r="D272" s="10">
        <f t="shared" si="131"/>
        <v>17.332134292566479</v>
      </c>
      <c r="E272" s="40">
        <f t="shared" si="132"/>
        <v>34.335731414867041</v>
      </c>
      <c r="F272" s="40">
        <f t="shared" si="133"/>
        <v>69</v>
      </c>
      <c r="G272" s="3">
        <f t="shared" si="134"/>
        <v>402.65707434053184</v>
      </c>
      <c r="H272" s="3">
        <f t="shared" si="135"/>
        <v>221.47275588995251</v>
      </c>
      <c r="I272">
        <f t="shared" si="120"/>
        <v>2.214727558899525E-4</v>
      </c>
      <c r="J272" s="4">
        <f t="shared" si="136"/>
        <v>1604.5232495655996</v>
      </c>
      <c r="K272" s="40">
        <f t="shared" si="137"/>
        <v>7.2447883854521153</v>
      </c>
      <c r="L272" s="40">
        <f t="shared" si="121"/>
        <v>0</v>
      </c>
      <c r="M272" s="10">
        <f t="shared" si="138"/>
        <v>6.2231344180356141</v>
      </c>
      <c r="N272" s="10">
        <f t="shared" si="110"/>
        <v>17.20418640980624</v>
      </c>
      <c r="O272" s="10">
        <f t="shared" si="111"/>
        <v>-0.14810000000000001</v>
      </c>
      <c r="P272" s="10">
        <f t="shared" si="139"/>
        <v>13.123249318580704</v>
      </c>
      <c r="Q272" s="45">
        <f t="shared" si="140"/>
        <v>0.60460511670575412</v>
      </c>
      <c r="R272" s="4">
        <f t="shared" si="141"/>
        <v>1132811.8251150474</v>
      </c>
      <c r="S272">
        <f t="shared" si="122"/>
        <v>1.1328118251150473E-3</v>
      </c>
      <c r="T272" s="44">
        <f t="shared" si="123"/>
        <v>9.4358456936695649E-4</v>
      </c>
      <c r="U272" s="45">
        <f t="shared" si="142"/>
        <v>2.0221257484216153</v>
      </c>
      <c r="V272" s="45">
        <f t="shared" si="143"/>
        <v>1.5444316708553585</v>
      </c>
      <c r="W272" s="45">
        <f t="shared" si="144"/>
        <v>1.5252411124461009</v>
      </c>
      <c r="X272" s="45">
        <f t="shared" si="145"/>
        <v>1.9190558409257541E-2</v>
      </c>
      <c r="Y272" s="45">
        <f t="shared" si="119"/>
        <v>1.8149365585731082E-2</v>
      </c>
      <c r="Z272" s="10">
        <f t="shared" si="146"/>
        <v>19.234487479916453</v>
      </c>
      <c r="AA272">
        <f t="shared" si="124"/>
        <v>6225063.5716899391</v>
      </c>
      <c r="AB272" s="10">
        <f t="shared" si="125"/>
        <v>6.2250635716899394</v>
      </c>
      <c r="AC272" s="10">
        <f t="shared" si="126"/>
        <v>6.1240635716899394</v>
      </c>
      <c r="AD272" s="3">
        <f t="shared" si="127"/>
        <v>888.1890604336387</v>
      </c>
      <c r="AI272" s="100">
        <f t="shared" si="128"/>
        <v>1.5252411124461009</v>
      </c>
    </row>
    <row r="273" spans="2:35">
      <c r="B273" s="39">
        <f t="shared" si="129"/>
        <v>245</v>
      </c>
      <c r="C273" s="45">
        <f t="shared" si="130"/>
        <v>7.1972422062346837</v>
      </c>
      <c r="D273" s="10">
        <f t="shared" si="131"/>
        <v>17.302757793765522</v>
      </c>
      <c r="E273" s="40">
        <f t="shared" si="132"/>
        <v>34.394484412468955</v>
      </c>
      <c r="F273" s="40">
        <f t="shared" si="133"/>
        <v>69</v>
      </c>
      <c r="G273" s="3">
        <f t="shared" si="134"/>
        <v>402.42206235012418</v>
      </c>
      <c r="H273" s="3">
        <f t="shared" si="135"/>
        <v>221.47275588995251</v>
      </c>
      <c r="I273">
        <f t="shared" si="120"/>
        <v>2.214727558899525E-4</v>
      </c>
      <c r="J273" s="4">
        <f t="shared" si="136"/>
        <v>1607.6947707631466</v>
      </c>
      <c r="K273" s="40">
        <f t="shared" si="137"/>
        <v>7.2591085269286726</v>
      </c>
      <c r="L273" s="40">
        <f t="shared" si="121"/>
        <v>0</v>
      </c>
      <c r="M273" s="10">
        <f t="shared" si="138"/>
        <v>6.2250635716899394</v>
      </c>
      <c r="N273" s="10">
        <f t="shared" si="110"/>
        <v>17.20418640980624</v>
      </c>
      <c r="O273" s="10">
        <f t="shared" si="111"/>
        <v>-0.14810000000000001</v>
      </c>
      <c r="P273" s="10">
        <f t="shared" si="139"/>
        <v>13.122646929900263</v>
      </c>
      <c r="Q273" s="45">
        <f t="shared" si="140"/>
        <v>0.60684372747977589</v>
      </c>
      <c r="R273" s="4">
        <f t="shared" si="141"/>
        <v>1130874.3660472399</v>
      </c>
      <c r="S273">
        <f t="shared" si="122"/>
        <v>1.1308743660472399E-3</v>
      </c>
      <c r="T273" s="44">
        <f t="shared" si="123"/>
        <v>9.4552202843476395E-4</v>
      </c>
      <c r="U273" s="45">
        <f t="shared" si="142"/>
        <v>2.0186672871126254</v>
      </c>
      <c r="V273" s="45">
        <f t="shared" si="143"/>
        <v>1.544914082038735</v>
      </c>
      <c r="W273" s="45">
        <f t="shared" si="144"/>
        <v>1.5257217331356983</v>
      </c>
      <c r="X273" s="45">
        <f t="shared" si="145"/>
        <v>1.9192348903036782E-2</v>
      </c>
      <c r="Y273" s="45">
        <f t="shared" si="119"/>
        <v>1.8192329784764205E-2</v>
      </c>
      <c r="Z273" s="10">
        <f t="shared" si="146"/>
        <v>19.240513957014997</v>
      </c>
      <c r="AA273">
        <f t="shared" si="124"/>
        <v>6226982.3401990226</v>
      </c>
      <c r="AB273" s="10">
        <f t="shared" si="125"/>
        <v>6.2269823401990223</v>
      </c>
      <c r="AC273" s="10">
        <f t="shared" si="126"/>
        <v>6.1259823401990223</v>
      </c>
      <c r="AD273" s="3">
        <f t="shared" si="127"/>
        <v>888.46734448136658</v>
      </c>
      <c r="AI273" s="100">
        <f t="shared" si="128"/>
        <v>1.5257217331356983</v>
      </c>
    </row>
    <row r="274" spans="2:35">
      <c r="B274" s="39">
        <f t="shared" si="129"/>
        <v>246</v>
      </c>
      <c r="C274" s="45">
        <f t="shared" si="130"/>
        <v>7.2266187050356416</v>
      </c>
      <c r="D274" s="10">
        <f t="shared" si="131"/>
        <v>17.273381294964565</v>
      </c>
      <c r="E274" s="40">
        <f t="shared" si="132"/>
        <v>34.453237410070869</v>
      </c>
      <c r="F274" s="40">
        <f t="shared" si="133"/>
        <v>69</v>
      </c>
      <c r="G274" s="3">
        <f t="shared" si="134"/>
        <v>402.18705035971652</v>
      </c>
      <c r="H274" s="3">
        <f t="shared" si="135"/>
        <v>221.47275588995251</v>
      </c>
      <c r="I274">
        <f t="shared" si="120"/>
        <v>2.214727558899525E-4</v>
      </c>
      <c r="J274" s="4">
        <f t="shared" si="136"/>
        <v>1610.871714215667</v>
      </c>
      <c r="K274" s="40">
        <f t="shared" si="137"/>
        <v>7.2734531511229861</v>
      </c>
      <c r="L274" s="40">
        <f t="shared" si="121"/>
        <v>0</v>
      </c>
      <c r="M274" s="10">
        <f t="shared" si="138"/>
        <v>6.2269823401990223</v>
      </c>
      <c r="N274" s="10">
        <f t="shared" si="110"/>
        <v>17.20418640980624</v>
      </c>
      <c r="O274" s="10">
        <f t="shared" si="111"/>
        <v>-0.14810000000000001</v>
      </c>
      <c r="P274" s="10">
        <f t="shared" si="139"/>
        <v>13.122047996600877</v>
      </c>
      <c r="Q274" s="45">
        <f t="shared" si="140"/>
        <v>0.60908244043133397</v>
      </c>
      <c r="R274" s="4">
        <f t="shared" si="141"/>
        <v>1128936.2169097168</v>
      </c>
      <c r="S274">
        <f t="shared" si="122"/>
        <v>1.1289362169097168E-3</v>
      </c>
      <c r="T274" s="44">
        <f t="shared" si="123"/>
        <v>9.4746017757228696E-4</v>
      </c>
      <c r="U274" s="45">
        <f t="shared" si="142"/>
        <v>2.0152075939946901</v>
      </c>
      <c r="V274" s="45">
        <f t="shared" si="143"/>
        <v>1.545393801169334</v>
      </c>
      <c r="W274" s="45">
        <f t="shared" si="144"/>
        <v>1.5261997665167846</v>
      </c>
      <c r="X274" s="45">
        <f t="shared" si="145"/>
        <v>1.919403465254943E-2</v>
      </c>
      <c r="Y274" s="45">
        <f t="shared" si="119"/>
        <v>1.8235299718733521E-2</v>
      </c>
      <c r="Z274" s="10">
        <f t="shared" si="146"/>
        <v>19.246507822058039</v>
      </c>
      <c r="AA274">
        <f t="shared" si="124"/>
        <v>6228890.7253640573</v>
      </c>
      <c r="AB274" s="10">
        <f t="shared" si="125"/>
        <v>6.2288907253640575</v>
      </c>
      <c r="AC274" s="10">
        <f t="shared" si="126"/>
        <v>6.1278907253640575</v>
      </c>
      <c r="AD274" s="3">
        <f t="shared" si="127"/>
        <v>888.74412260537451</v>
      </c>
      <c r="AI274" s="100">
        <f t="shared" si="128"/>
        <v>1.5261997665167846</v>
      </c>
    </row>
    <row r="275" spans="2:35">
      <c r="B275" s="39">
        <f t="shared" si="129"/>
        <v>247</v>
      </c>
      <c r="C275" s="45">
        <f t="shared" si="130"/>
        <v>7.2559952038365996</v>
      </c>
      <c r="D275" s="10">
        <f t="shared" si="131"/>
        <v>17.244004796163608</v>
      </c>
      <c r="E275" s="40">
        <f t="shared" si="132"/>
        <v>34.511990407672783</v>
      </c>
      <c r="F275" s="40">
        <f t="shared" si="133"/>
        <v>69</v>
      </c>
      <c r="G275" s="3">
        <f t="shared" si="134"/>
        <v>401.95203836930887</v>
      </c>
      <c r="H275" s="3">
        <f t="shared" si="135"/>
        <v>221.47275588995251</v>
      </c>
      <c r="I275">
        <f t="shared" si="120"/>
        <v>2.214727558899525E-4</v>
      </c>
      <c r="J275" s="4">
        <f t="shared" si="136"/>
        <v>1614.0540799231617</v>
      </c>
      <c r="K275" s="40">
        <f t="shared" si="137"/>
        <v>7.287822258035062</v>
      </c>
      <c r="L275" s="40">
        <f t="shared" si="121"/>
        <v>0</v>
      </c>
      <c r="M275" s="10">
        <f t="shared" si="138"/>
        <v>6.2288907253640575</v>
      </c>
      <c r="N275" s="10">
        <f t="shared" si="110"/>
        <v>17.20418640980624</v>
      </c>
      <c r="O275" s="10">
        <f t="shared" si="111"/>
        <v>-0.14810000000000001</v>
      </c>
      <c r="P275" s="10">
        <f t="shared" si="139"/>
        <v>13.121452514539325</v>
      </c>
      <c r="Q275" s="45">
        <f t="shared" si="140"/>
        <v>0.61132125498089751</v>
      </c>
      <c r="R275" s="4">
        <f t="shared" si="141"/>
        <v>1126997.3815253626</v>
      </c>
      <c r="S275">
        <f t="shared" si="122"/>
        <v>1.1269973815253625E-3</v>
      </c>
      <c r="T275" s="44">
        <f t="shared" si="123"/>
        <v>9.4939901295664126E-4</v>
      </c>
      <c r="U275" s="45">
        <f t="shared" si="142"/>
        <v>2.0117466758918483</v>
      </c>
      <c r="V275" s="45">
        <f t="shared" si="143"/>
        <v>1.5458708286117231</v>
      </c>
      <c r="W275" s="45">
        <f t="shared" si="144"/>
        <v>1.5266752130381021</v>
      </c>
      <c r="X275" s="45">
        <f t="shared" si="145"/>
        <v>1.9195615573621039E-2</v>
      </c>
      <c r="Y275" s="45">
        <f t="shared" si="119"/>
        <v>1.8278275142167573E-2</v>
      </c>
      <c r="Z275" s="10">
        <f t="shared" si="146"/>
        <v>19.252469080671286</v>
      </c>
      <c r="AA275">
        <f t="shared" si="124"/>
        <v>6230788.7289762115</v>
      </c>
      <c r="AB275" s="10">
        <f t="shared" si="125"/>
        <v>6.2307887289762114</v>
      </c>
      <c r="AC275" s="10">
        <f t="shared" si="126"/>
        <v>6.1297887289762114</v>
      </c>
      <c r="AD275" s="3">
        <f t="shared" si="127"/>
        <v>889.01939506544045</v>
      </c>
      <c r="AI275" s="100">
        <f t="shared" si="128"/>
        <v>1.5266752130381021</v>
      </c>
    </row>
    <row r="276" spans="2:35">
      <c r="B276" s="39">
        <f t="shared" si="129"/>
        <v>248</v>
      </c>
      <c r="C276" s="45">
        <f t="shared" si="130"/>
        <v>7.2853717026375575</v>
      </c>
      <c r="D276" s="10">
        <f t="shared" si="131"/>
        <v>17.214628297362651</v>
      </c>
      <c r="E276" s="40">
        <f t="shared" si="132"/>
        <v>34.570743405274698</v>
      </c>
      <c r="F276" s="40">
        <f t="shared" si="133"/>
        <v>69</v>
      </c>
      <c r="G276" s="3">
        <f t="shared" si="134"/>
        <v>401.71702637890121</v>
      </c>
      <c r="H276" s="3">
        <f t="shared" si="135"/>
        <v>221.47275588995251</v>
      </c>
      <c r="I276">
        <f t="shared" si="120"/>
        <v>2.214727558899525E-4</v>
      </c>
      <c r="J276" s="4">
        <f t="shared" si="136"/>
        <v>1617.2418678856307</v>
      </c>
      <c r="K276" s="40">
        <f t="shared" si="137"/>
        <v>7.3022158476648986</v>
      </c>
      <c r="L276" s="40">
        <f t="shared" si="121"/>
        <v>0</v>
      </c>
      <c r="M276" s="10">
        <f t="shared" si="138"/>
        <v>6.2307887289762114</v>
      </c>
      <c r="N276" s="10">
        <f t="shared" si="110"/>
        <v>17.20418640980624</v>
      </c>
      <c r="O276" s="10">
        <f t="shared" si="111"/>
        <v>-0.14810000000000001</v>
      </c>
      <c r="P276" s="10">
        <f t="shared" si="139"/>
        <v>13.120860479599605</v>
      </c>
      <c r="Q276" s="45">
        <f t="shared" si="140"/>
        <v>0.61356017054947876</v>
      </c>
      <c r="R276" s="4">
        <f t="shared" si="141"/>
        <v>1125057.8637170622</v>
      </c>
      <c r="S276">
        <f t="shared" si="122"/>
        <v>1.1250578637170621E-3</v>
      </c>
      <c r="T276" s="44">
        <f t="shared" si="123"/>
        <v>9.5133853076494169E-4</v>
      </c>
      <c r="U276" s="45">
        <f t="shared" si="142"/>
        <v>2.0082845396281419</v>
      </c>
      <c r="V276" s="45">
        <f t="shared" si="143"/>
        <v>1.5463451647264566</v>
      </c>
      <c r="W276" s="45">
        <f t="shared" si="144"/>
        <v>1.527148073145894</v>
      </c>
      <c r="X276" s="45">
        <f t="shared" si="145"/>
        <v>1.9197091580562597E-2</v>
      </c>
      <c r="Y276" s="45">
        <f t="shared" si="119"/>
        <v>1.8321255809378774E-2</v>
      </c>
      <c r="Z276" s="10">
        <f t="shared" si="146"/>
        <v>19.258397738444614</v>
      </c>
      <c r="AA276">
        <f t="shared" si="124"/>
        <v>6232676.3528152434</v>
      </c>
      <c r="AB276" s="10">
        <f t="shared" si="125"/>
        <v>6.2326763528152433</v>
      </c>
      <c r="AC276" s="10">
        <f t="shared" si="126"/>
        <v>6.1316763528152434</v>
      </c>
      <c r="AD276" s="3">
        <f t="shared" si="127"/>
        <v>889.29316211968728</v>
      </c>
      <c r="AI276" s="100">
        <f t="shared" si="128"/>
        <v>1.527148073145894</v>
      </c>
    </row>
    <row r="277" spans="2:35">
      <c r="B277" s="39">
        <f t="shared" si="129"/>
        <v>249</v>
      </c>
      <c r="C277" s="45">
        <f t="shared" si="130"/>
        <v>7.3147482014385155</v>
      </c>
      <c r="D277" s="10">
        <f t="shared" si="131"/>
        <v>17.185251798561694</v>
      </c>
      <c r="E277" s="40">
        <f t="shared" si="132"/>
        <v>34.629496402876612</v>
      </c>
      <c r="F277" s="40">
        <f t="shared" si="133"/>
        <v>69</v>
      </c>
      <c r="G277" s="3">
        <f t="shared" si="134"/>
        <v>401.48201438849355</v>
      </c>
      <c r="H277" s="3">
        <f t="shared" si="135"/>
        <v>221.47275588995251</v>
      </c>
      <c r="I277">
        <f t="shared" si="120"/>
        <v>2.214727558899525E-4</v>
      </c>
      <c r="J277" s="4">
        <f t="shared" si="136"/>
        <v>1620.435078103073</v>
      </c>
      <c r="K277" s="40">
        <f t="shared" si="137"/>
        <v>7.3166339200124924</v>
      </c>
      <c r="L277" s="40">
        <f t="shared" si="121"/>
        <v>0</v>
      </c>
      <c r="M277" s="10">
        <f t="shared" si="138"/>
        <v>6.2326763528152433</v>
      </c>
      <c r="N277" s="10">
        <f t="shared" si="110"/>
        <v>17.20418640980624</v>
      </c>
      <c r="O277" s="10">
        <f t="shared" si="111"/>
        <v>-0.14810000000000001</v>
      </c>
      <c r="P277" s="10">
        <f t="shared" si="139"/>
        <v>13.120271887693233</v>
      </c>
      <c r="Q277" s="45">
        <f t="shared" si="140"/>
        <v>0.61579918655862964</v>
      </c>
      <c r="R277" s="4">
        <f t="shared" si="141"/>
        <v>1123117.6673077005</v>
      </c>
      <c r="S277">
        <f t="shared" si="122"/>
        <v>1.1231176673077005E-3</v>
      </c>
      <c r="T277" s="44">
        <f t="shared" si="123"/>
        <v>9.5327872717430331E-4</v>
      </c>
      <c r="U277" s="45">
        <f t="shared" si="142"/>
        <v>2.0048211920276109</v>
      </c>
      <c r="V277" s="45">
        <f t="shared" si="143"/>
        <v>1.5468168098737467</v>
      </c>
      <c r="W277" s="45">
        <f t="shared" si="144"/>
        <v>1.5276183472835616</v>
      </c>
      <c r="X277" s="45">
        <f t="shared" si="145"/>
        <v>1.9198462590185095E-2</v>
      </c>
      <c r="Y277" s="45">
        <f t="shared" si="119"/>
        <v>1.8364241474469283E-2</v>
      </c>
      <c r="Z277" s="10">
        <f t="shared" si="146"/>
        <v>19.264293800937249</v>
      </c>
      <c r="AA277">
        <f t="shared" si="124"/>
        <v>6234553.5986511549</v>
      </c>
      <c r="AB277" s="10">
        <f t="shared" si="125"/>
        <v>6.2345535986511553</v>
      </c>
      <c r="AC277" s="10">
        <f t="shared" si="126"/>
        <v>6.1335535986511553</v>
      </c>
      <c r="AD277" s="3">
        <f t="shared" si="127"/>
        <v>889.56542402482307</v>
      </c>
      <c r="AI277" s="100">
        <f t="shared" si="128"/>
        <v>1.5276183472835616</v>
      </c>
    </row>
    <row r="278" spans="2:35">
      <c r="B278" s="39">
        <f t="shared" si="129"/>
        <v>250</v>
      </c>
      <c r="C278" s="45">
        <f t="shared" si="130"/>
        <v>7.3441247002394734</v>
      </c>
      <c r="D278" s="10">
        <f t="shared" si="131"/>
        <v>17.155875299760737</v>
      </c>
      <c r="E278" s="40">
        <f t="shared" si="132"/>
        <v>34.688249400478526</v>
      </c>
      <c r="F278" s="40">
        <f t="shared" si="133"/>
        <v>69</v>
      </c>
      <c r="G278" s="3">
        <f t="shared" si="134"/>
        <v>401.2470023980859</v>
      </c>
      <c r="H278" s="3">
        <f t="shared" si="135"/>
        <v>221.47275588995251</v>
      </c>
      <c r="I278">
        <f t="shared" si="120"/>
        <v>2.214727558899525E-4</v>
      </c>
      <c r="J278" s="4">
        <f t="shared" si="136"/>
        <v>1623.6337105754897</v>
      </c>
      <c r="K278" s="40">
        <f t="shared" si="137"/>
        <v>7.3310764750778477</v>
      </c>
      <c r="L278" s="40">
        <f t="shared" si="121"/>
        <v>0</v>
      </c>
      <c r="M278" s="10">
        <f t="shared" si="138"/>
        <v>6.2345535986511553</v>
      </c>
      <c r="N278" s="10">
        <f t="shared" si="110"/>
        <v>17.20418640980624</v>
      </c>
      <c r="O278" s="10">
        <f t="shared" si="111"/>
        <v>-0.14810000000000001</v>
      </c>
      <c r="P278" s="10">
        <f t="shared" si="139"/>
        <v>13.119686734758675</v>
      </c>
      <c r="Q278" s="45">
        <f t="shared" si="140"/>
        <v>0.61803830243043845</v>
      </c>
      <c r="R278" s="4">
        <f t="shared" si="141"/>
        <v>1121176.7961201621</v>
      </c>
      <c r="S278">
        <f t="shared" si="122"/>
        <v>1.1211767961201622E-3</v>
      </c>
      <c r="T278" s="44">
        <f t="shared" si="123"/>
        <v>9.5521959836184162E-4</v>
      </c>
      <c r="U278" s="45">
        <f t="shared" si="142"/>
        <v>2.0013566399142952</v>
      </c>
      <c r="V278" s="45">
        <f t="shared" si="143"/>
        <v>1.5472857644106222</v>
      </c>
      <c r="W278" s="45">
        <f t="shared" si="144"/>
        <v>1.5280860358920743</v>
      </c>
      <c r="X278" s="45">
        <f t="shared" si="145"/>
        <v>1.9199728518547898E-2</v>
      </c>
      <c r="Y278" s="45">
        <f t="shared" si="119"/>
        <v>1.8407231891329583E-2</v>
      </c>
      <c r="Z278" s="10">
        <f t="shared" si="146"/>
        <v>19.270157273675238</v>
      </c>
      <c r="AA278">
        <f t="shared" si="124"/>
        <v>6236420.468243381</v>
      </c>
      <c r="AB278" s="10">
        <f t="shared" si="125"/>
        <v>6.2364204682433808</v>
      </c>
      <c r="AC278" s="10">
        <f t="shared" si="126"/>
        <v>6.1354204682433808</v>
      </c>
      <c r="AD278" s="3">
        <f t="shared" si="127"/>
        <v>889.83618103602339</v>
      </c>
      <c r="AI278" s="100">
        <f t="shared" si="128"/>
        <v>1.5280860358920743</v>
      </c>
    </row>
    <row r="279" spans="2:35">
      <c r="B279" s="39">
        <f t="shared" si="129"/>
        <v>251</v>
      </c>
      <c r="C279" s="45">
        <f t="shared" si="130"/>
        <v>7.3735011990404313</v>
      </c>
      <c r="D279" s="10">
        <f t="shared" si="131"/>
        <v>17.12649880095978</v>
      </c>
      <c r="E279" s="40">
        <f t="shared" si="132"/>
        <v>34.74700239808044</v>
      </c>
      <c r="F279" s="40">
        <f t="shared" si="133"/>
        <v>69</v>
      </c>
      <c r="G279" s="3">
        <f t="shared" si="134"/>
        <v>401.01199040767824</v>
      </c>
      <c r="H279" s="3">
        <f t="shared" si="135"/>
        <v>221.47275588995251</v>
      </c>
      <c r="I279">
        <f t="shared" si="120"/>
        <v>2.214727558899525E-4</v>
      </c>
      <c r="J279" s="4">
        <f t="shared" si="136"/>
        <v>1626.8377653028801</v>
      </c>
      <c r="K279" s="40">
        <f t="shared" si="137"/>
        <v>7.3455435128609627</v>
      </c>
      <c r="L279" s="40">
        <f t="shared" si="121"/>
        <v>0</v>
      </c>
      <c r="M279" s="10">
        <f t="shared" si="138"/>
        <v>6.2364204682433808</v>
      </c>
      <c r="N279" s="10">
        <f t="shared" si="110"/>
        <v>17.20418640980624</v>
      </c>
      <c r="O279" s="10">
        <f t="shared" si="111"/>
        <v>-0.14810000000000001</v>
      </c>
      <c r="P279" s="10">
        <f t="shared" si="139"/>
        <v>13.119105016761505</v>
      </c>
      <c r="Q279" s="45">
        <f t="shared" si="140"/>
        <v>0.62027751758752614</v>
      </c>
      <c r="R279" s="4">
        <f t="shared" si="141"/>
        <v>1119235.253977332</v>
      </c>
      <c r="S279">
        <f t="shared" si="122"/>
        <v>1.1192352539773321E-3</v>
      </c>
      <c r="T279" s="44">
        <f t="shared" si="123"/>
        <v>9.5716114050467169E-4</v>
      </c>
      <c r="U279" s="45">
        <f t="shared" si="142"/>
        <v>1.9978908901122365</v>
      </c>
      <c r="V279" s="45">
        <f t="shared" si="143"/>
        <v>1.5477520286912689</v>
      </c>
      <c r="W279" s="45">
        <f t="shared" si="144"/>
        <v>1.5285511394097706</v>
      </c>
      <c r="X279" s="45">
        <f t="shared" si="145"/>
        <v>1.9200889281498323E-2</v>
      </c>
      <c r="Y279" s="45">
        <f t="shared" si="119"/>
        <v>1.8450226813638275E-2</v>
      </c>
      <c r="Z279" s="10">
        <f t="shared" si="146"/>
        <v>19.275988162150242</v>
      </c>
      <c r="AA279">
        <f t="shared" si="124"/>
        <v>6238276.963340411</v>
      </c>
      <c r="AB279" s="10">
        <f t="shared" si="125"/>
        <v>6.2382769633404109</v>
      </c>
      <c r="AC279" s="10">
        <f t="shared" si="126"/>
        <v>6.137276963340411</v>
      </c>
      <c r="AD279" s="3">
        <f t="shared" si="127"/>
        <v>890.10543340687616</v>
      </c>
      <c r="AI279" s="100">
        <f t="shared" si="128"/>
        <v>1.5285511394097706</v>
      </c>
    </row>
    <row r="280" spans="2:35">
      <c r="B280" s="39">
        <f t="shared" si="129"/>
        <v>252</v>
      </c>
      <c r="C280" s="45">
        <f t="shared" si="130"/>
        <v>7.4028776978413893</v>
      </c>
      <c r="D280" s="10">
        <f t="shared" si="131"/>
        <v>17.097122302158823</v>
      </c>
      <c r="E280" s="40">
        <f t="shared" si="132"/>
        <v>34.805755395682354</v>
      </c>
      <c r="F280" s="40">
        <f t="shared" si="133"/>
        <v>69</v>
      </c>
      <c r="G280" s="3">
        <f t="shared" si="134"/>
        <v>400.77697841727058</v>
      </c>
      <c r="H280" s="3">
        <f t="shared" si="135"/>
        <v>221.47275588995251</v>
      </c>
      <c r="I280">
        <f t="shared" si="120"/>
        <v>2.214727558899525E-4</v>
      </c>
      <c r="J280" s="4">
        <f t="shared" si="136"/>
        <v>1630.047242285244</v>
      </c>
      <c r="K280" s="40">
        <f t="shared" si="137"/>
        <v>7.3600350333618341</v>
      </c>
      <c r="L280" s="40">
        <f t="shared" si="121"/>
        <v>0</v>
      </c>
      <c r="M280" s="10">
        <f t="shared" si="138"/>
        <v>6.2382769633404109</v>
      </c>
      <c r="N280" s="10">
        <f t="shared" si="110"/>
        <v>17.20418640980624</v>
      </c>
      <c r="O280" s="10">
        <f t="shared" si="111"/>
        <v>-0.14810000000000001</v>
      </c>
      <c r="P280" s="10">
        <f t="shared" si="139"/>
        <v>13.118526729694425</v>
      </c>
      <c r="Q280" s="45">
        <f t="shared" si="140"/>
        <v>0.62251683145304293</v>
      </c>
      <c r="R280" s="4">
        <f t="shared" si="141"/>
        <v>1117293.0447020952</v>
      </c>
      <c r="S280">
        <f t="shared" si="122"/>
        <v>1.1172930447020952E-3</v>
      </c>
      <c r="T280" s="44">
        <f t="shared" si="123"/>
        <v>9.5910334977990859E-4</v>
      </c>
      <c r="U280" s="45">
        <f t="shared" si="142"/>
        <v>1.9944239494454752</v>
      </c>
      <c r="V280" s="45">
        <f t="shared" si="143"/>
        <v>1.548215603068773</v>
      </c>
      <c r="W280" s="45">
        <f t="shared" si="144"/>
        <v>1.5290136582722613</v>
      </c>
      <c r="X280" s="45">
        <f t="shared" si="145"/>
        <v>1.9201944796511716E-2</v>
      </c>
      <c r="Y280" s="45">
        <f t="shared" si="119"/>
        <v>1.849322599486599E-2</v>
      </c>
      <c r="Z280" s="10">
        <f t="shared" si="146"/>
        <v>19.28178647182261</v>
      </c>
      <c r="AA280">
        <f t="shared" si="124"/>
        <v>6240123.0856807642</v>
      </c>
      <c r="AB280" s="10">
        <f t="shared" si="125"/>
        <v>6.2401230856807643</v>
      </c>
      <c r="AC280" s="10">
        <f t="shared" si="126"/>
        <v>6.1391230856807644</v>
      </c>
      <c r="AD280" s="3">
        <f t="shared" si="127"/>
        <v>890.37318138952344</v>
      </c>
      <c r="AI280" s="100">
        <f t="shared" si="128"/>
        <v>1.5290136582722613</v>
      </c>
    </row>
    <row r="281" spans="2:35">
      <c r="B281" s="39">
        <f t="shared" si="129"/>
        <v>253</v>
      </c>
      <c r="C281" s="45">
        <f t="shared" si="130"/>
        <v>7.4322541966423472</v>
      </c>
      <c r="D281" s="10">
        <f t="shared" si="131"/>
        <v>17.067745803357866</v>
      </c>
      <c r="E281" s="40">
        <f t="shared" si="132"/>
        <v>34.864508393284268</v>
      </c>
      <c r="F281" s="40">
        <f t="shared" si="133"/>
        <v>69</v>
      </c>
      <c r="G281" s="3">
        <f t="shared" si="134"/>
        <v>400.54196642686293</v>
      </c>
      <c r="H281" s="3">
        <f t="shared" si="135"/>
        <v>221.47275588995251</v>
      </c>
      <c r="I281">
        <f t="shared" si="120"/>
        <v>2.214727558899525E-4</v>
      </c>
      <c r="J281" s="4">
        <f t="shared" si="136"/>
        <v>1633.2621415225822</v>
      </c>
      <c r="K281" s="40">
        <f t="shared" si="137"/>
        <v>7.3745510365804678</v>
      </c>
      <c r="L281" s="40">
        <f t="shared" si="121"/>
        <v>0</v>
      </c>
      <c r="M281" s="10">
        <f t="shared" si="138"/>
        <v>6.2401230856807643</v>
      </c>
      <c r="N281" s="10">
        <f t="shared" si="110"/>
        <v>17.20418640980624</v>
      </c>
      <c r="O281" s="10">
        <f t="shared" si="111"/>
        <v>-0.14810000000000001</v>
      </c>
      <c r="P281" s="10">
        <f t="shared" si="139"/>
        <v>13.117951869576897</v>
      </c>
      <c r="Q281" s="45">
        <f t="shared" si="140"/>
        <v>0.62475624345066483</v>
      </c>
      <c r="R281" s="4">
        <f t="shared" si="141"/>
        <v>1115350.1721173362</v>
      </c>
      <c r="S281">
        <f t="shared" si="122"/>
        <v>1.1153501721173362E-3</v>
      </c>
      <c r="T281" s="44">
        <f t="shared" si="123"/>
        <v>9.610462223646676E-4</v>
      </c>
      <c r="U281" s="45">
        <f t="shared" si="142"/>
        <v>1.990955824738051</v>
      </c>
      <c r="V281" s="45">
        <f t="shared" si="143"/>
        <v>1.5486764878937425</v>
      </c>
      <c r="W281" s="45">
        <f t="shared" si="144"/>
        <v>1.5294735929126735</v>
      </c>
      <c r="X281" s="45">
        <f t="shared" si="145"/>
        <v>1.9202894981068974E-2</v>
      </c>
      <c r="Y281" s="45">
        <f t="shared" si="119"/>
        <v>1.8536229188275671E-2</v>
      </c>
      <c r="Z281" s="10">
        <f t="shared" si="146"/>
        <v>19.287552208120669</v>
      </c>
      <c r="AA281">
        <f t="shared" si="124"/>
        <v>6241958.8369927648</v>
      </c>
      <c r="AB281" s="10">
        <f t="shared" si="125"/>
        <v>6.2419588369927652</v>
      </c>
      <c r="AC281" s="10">
        <f t="shared" si="126"/>
        <v>6.1409588369927652</v>
      </c>
      <c r="AD281" s="3">
        <f t="shared" si="127"/>
        <v>890.63942523462867</v>
      </c>
      <c r="AI281" s="100">
        <f t="shared" si="128"/>
        <v>1.5294735929126735</v>
      </c>
    </row>
    <row r="282" spans="2:35">
      <c r="B282" s="39">
        <f t="shared" si="129"/>
        <v>254</v>
      </c>
      <c r="C282" s="45">
        <f t="shared" si="130"/>
        <v>7.4616306954433052</v>
      </c>
      <c r="D282" s="10">
        <f t="shared" si="131"/>
        <v>17.038369304556909</v>
      </c>
      <c r="E282" s="40">
        <f t="shared" si="132"/>
        <v>34.923261390886182</v>
      </c>
      <c r="F282" s="40">
        <f t="shared" si="133"/>
        <v>69</v>
      </c>
      <c r="G282" s="3">
        <f t="shared" si="134"/>
        <v>400.30695443645527</v>
      </c>
      <c r="H282" s="3">
        <f t="shared" si="135"/>
        <v>221.47275588995251</v>
      </c>
      <c r="I282">
        <f t="shared" si="120"/>
        <v>2.214727558899525E-4</v>
      </c>
      <c r="J282" s="4">
        <f t="shared" si="136"/>
        <v>1636.4824630148942</v>
      </c>
      <c r="K282" s="40">
        <f t="shared" si="137"/>
        <v>7.3890915225168605</v>
      </c>
      <c r="L282" s="40">
        <f t="shared" si="121"/>
        <v>0</v>
      </c>
      <c r="M282" s="10">
        <f t="shared" si="138"/>
        <v>6.2419588369927652</v>
      </c>
      <c r="N282" s="10">
        <f t="shared" si="110"/>
        <v>17.20418640980624</v>
      </c>
      <c r="O282" s="10">
        <f t="shared" si="111"/>
        <v>-0.14810000000000001</v>
      </c>
      <c r="P282" s="10">
        <f t="shared" si="139"/>
        <v>13.117380432455128</v>
      </c>
      <c r="Q282" s="45">
        <f t="shared" si="140"/>
        <v>0.62699575300459032</v>
      </c>
      <c r="R282" s="4">
        <f t="shared" si="141"/>
        <v>1113406.6400459399</v>
      </c>
      <c r="S282">
        <f t="shared" si="122"/>
        <v>1.11340664004594E-3</v>
      </c>
      <c r="T282" s="44">
        <f t="shared" si="123"/>
        <v>9.6298975443606378E-4</v>
      </c>
      <c r="U282" s="45">
        <f t="shared" si="142"/>
        <v>1.9874865228140051</v>
      </c>
      <c r="V282" s="45">
        <f t="shared" si="143"/>
        <v>1.5491346835135484</v>
      </c>
      <c r="W282" s="45">
        <f t="shared" si="144"/>
        <v>1.5299309437615931</v>
      </c>
      <c r="X282" s="45">
        <f t="shared" si="145"/>
        <v>1.9203739751955329E-2</v>
      </c>
      <c r="Y282" s="45">
        <f t="shared" si="119"/>
        <v>1.8579236146921273E-2</v>
      </c>
      <c r="Z282" s="10">
        <f t="shared" si="146"/>
        <v>19.293285376438355</v>
      </c>
      <c r="AA282">
        <f t="shared" si="124"/>
        <v>6243784.2189937867</v>
      </c>
      <c r="AB282" s="10">
        <f t="shared" si="125"/>
        <v>6.2437842189937864</v>
      </c>
      <c r="AC282" s="10">
        <f t="shared" si="126"/>
        <v>6.1427842189937865</v>
      </c>
      <c r="AD282" s="3">
        <f t="shared" si="127"/>
        <v>890.90416519126711</v>
      </c>
      <c r="AI282" s="100">
        <f t="shared" si="128"/>
        <v>1.5299309437615931</v>
      </c>
    </row>
    <row r="283" spans="2:35">
      <c r="B283" s="39">
        <f t="shared" si="129"/>
        <v>255</v>
      </c>
      <c r="C283" s="45">
        <f t="shared" si="130"/>
        <v>7.4910071942442631</v>
      </c>
      <c r="D283" s="10">
        <f t="shared" si="131"/>
        <v>17.008992805755952</v>
      </c>
      <c r="E283" s="40">
        <f t="shared" si="132"/>
        <v>34.982014388488096</v>
      </c>
      <c r="F283" s="40">
        <f t="shared" si="133"/>
        <v>69</v>
      </c>
      <c r="G283" s="3">
        <f t="shared" si="134"/>
        <v>400.07194244604761</v>
      </c>
      <c r="H283" s="3">
        <f t="shared" si="135"/>
        <v>221.47275588995251</v>
      </c>
      <c r="I283">
        <f t="shared" si="120"/>
        <v>2.214727558899525E-4</v>
      </c>
      <c r="J283" s="4">
        <f t="shared" si="136"/>
        <v>1639.7082067621805</v>
      </c>
      <c r="K283" s="40">
        <f t="shared" si="137"/>
        <v>7.4036564911710148</v>
      </c>
      <c r="L283" s="40">
        <f t="shared" si="121"/>
        <v>0</v>
      </c>
      <c r="M283" s="10">
        <f t="shared" si="138"/>
        <v>6.2437842189937864</v>
      </c>
      <c r="N283" s="10">
        <f t="shared" si="110"/>
        <v>17.20418640980624</v>
      </c>
      <c r="O283" s="10">
        <f t="shared" si="111"/>
        <v>-0.14810000000000001</v>
      </c>
      <c r="P283" s="10">
        <f t="shared" si="139"/>
        <v>13.116812414402203</v>
      </c>
      <c r="Q283" s="45">
        <f t="shared" si="140"/>
        <v>0.62923535953953647</v>
      </c>
      <c r="R283" s="4">
        <f t="shared" si="141"/>
        <v>1111462.452310791</v>
      </c>
      <c r="S283">
        <f t="shared" si="122"/>
        <v>1.1114624523107909E-3</v>
      </c>
      <c r="T283" s="44">
        <f t="shared" si="123"/>
        <v>9.6493394217121286E-4</v>
      </c>
      <c r="U283" s="45">
        <f t="shared" si="142"/>
        <v>1.9840160504973776</v>
      </c>
      <c r="V283" s="45">
        <f t="shared" si="143"/>
        <v>1.5495901902746043</v>
      </c>
      <c r="W283" s="45">
        <f t="shared" si="144"/>
        <v>1.5303857112468802</v>
      </c>
      <c r="X283" s="45">
        <f t="shared" si="145"/>
        <v>1.9204479027724153E-2</v>
      </c>
      <c r="Y283" s="45">
        <f t="shared" si="119"/>
        <v>1.8622246623652E-2</v>
      </c>
      <c r="Z283" s="10">
        <f t="shared" si="146"/>
        <v>19.298985982138625</v>
      </c>
      <c r="AA283">
        <f t="shared" si="124"/>
        <v>6245599.233391339</v>
      </c>
      <c r="AB283" s="10">
        <f t="shared" si="125"/>
        <v>6.2455992333913386</v>
      </c>
      <c r="AC283" s="10">
        <f t="shared" si="126"/>
        <v>6.1445992333913386</v>
      </c>
      <c r="AD283" s="3">
        <f t="shared" si="127"/>
        <v>891.16740150708324</v>
      </c>
      <c r="AI283" s="100">
        <f t="shared" si="128"/>
        <v>1.5303857112468802</v>
      </c>
    </row>
    <row r="284" spans="2:35">
      <c r="B284" s="39">
        <f t="shared" si="129"/>
        <v>256</v>
      </c>
      <c r="C284" s="45">
        <f t="shared" si="130"/>
        <v>7.520383693045221</v>
      </c>
      <c r="D284" s="10">
        <f t="shared" si="131"/>
        <v>16.979616306954995</v>
      </c>
      <c r="E284" s="40">
        <f t="shared" si="132"/>
        <v>35.04076738609001</v>
      </c>
      <c r="F284" s="40">
        <f t="shared" si="133"/>
        <v>69</v>
      </c>
      <c r="G284" s="3">
        <f t="shared" si="134"/>
        <v>399.83693045563996</v>
      </c>
      <c r="H284" s="3">
        <f t="shared" si="135"/>
        <v>221.47275588995251</v>
      </c>
      <c r="I284">
        <f t="shared" si="120"/>
        <v>2.214727558899525E-4</v>
      </c>
      <c r="J284" s="4">
        <f t="shared" si="136"/>
        <v>1642.9393727644406</v>
      </c>
      <c r="K284" s="40">
        <f t="shared" si="137"/>
        <v>7.4182459425429279</v>
      </c>
      <c r="L284" s="40">
        <f t="shared" si="121"/>
        <v>0</v>
      </c>
      <c r="M284" s="10">
        <f t="shared" si="138"/>
        <v>6.2455992333913386</v>
      </c>
      <c r="N284" s="10">
        <f t="shared" ref="N284:N347" si="147">IF(fueltype=1,VLOOKUP($M284,kndxbn_,4),IF(fueltype=2,VLOOKUP($M284,knsobn_,4),IF(fueltype=3,VLOOKUP($M284,knsbcobn_,4),IF(fueltype=4,VLOOKUP($M284,knsubn_,4),IF(fueltype=5,am_1,IF(fueltype=6,am_0,IF(fueltype=7,am_3,am_4)))))))</f>
        <v>17.20418640980624</v>
      </c>
      <c r="O284" s="10">
        <f t="shared" ref="O284:O347" si="148">IF(fueltype=1,VLOOKUP($M284,kndxbn_,5),IF(fueltype=2,VLOOKUP($M284,knsobn_,5),IF(fueltype=3,VLOOKUP($M284,knsbcobn_,5),IF(fueltype=4,VLOOKUP($M284,knsubn_,5),IF(fueltype=5,nm_1,IF(fueltype=6,an_0,IF(fueltype=7,nm_3,nm_4)))))))</f>
        <v>-0.14810000000000001</v>
      </c>
      <c r="P284" s="10">
        <f t="shared" si="139"/>
        <v>13.116247811517685</v>
      </c>
      <c r="Q284" s="45">
        <f t="shared" si="140"/>
        <v>0.63147506248073593</v>
      </c>
      <c r="R284" s="4">
        <f t="shared" si="141"/>
        <v>1109517.6127347741</v>
      </c>
      <c r="S284">
        <f t="shared" si="122"/>
        <v>1.1095176127347741E-3</v>
      </c>
      <c r="T284" s="44">
        <f t="shared" si="123"/>
        <v>9.6687878174722968E-4</v>
      </c>
      <c r="U284" s="45">
        <f t="shared" si="142"/>
        <v>1.9805444146122084</v>
      </c>
      <c r="V284" s="45">
        <f t="shared" si="143"/>
        <v>1.5500430085205725</v>
      </c>
      <c r="W284" s="45">
        <f t="shared" si="144"/>
        <v>1.530837895793935</v>
      </c>
      <c r="X284" s="45">
        <f t="shared" si="145"/>
        <v>1.9205112726637497E-2</v>
      </c>
      <c r="Y284" s="45">
        <f t="shared" si="119"/>
        <v>1.8665260371111918E-2</v>
      </c>
      <c r="Z284" s="10">
        <f t="shared" si="146"/>
        <v>19.304654030552054</v>
      </c>
      <c r="AA284">
        <f t="shared" si="124"/>
        <v>6247403.8818826228</v>
      </c>
      <c r="AB284" s="10">
        <f t="shared" si="125"/>
        <v>6.2474038818826232</v>
      </c>
      <c r="AC284" s="10">
        <f t="shared" si="126"/>
        <v>6.1464038818826232</v>
      </c>
      <c r="AD284" s="3">
        <f t="shared" si="127"/>
        <v>891.42913442822669</v>
      </c>
      <c r="AI284" s="100">
        <f t="shared" si="128"/>
        <v>1.530837895793935</v>
      </c>
    </row>
    <row r="285" spans="2:35">
      <c r="B285" s="39">
        <f t="shared" si="129"/>
        <v>257</v>
      </c>
      <c r="C285" s="45">
        <f t="shared" si="130"/>
        <v>7.549760191846179</v>
      </c>
      <c r="D285" s="10">
        <f t="shared" si="131"/>
        <v>16.950239808154038</v>
      </c>
      <c r="E285" s="40">
        <f t="shared" si="132"/>
        <v>35.099520383691925</v>
      </c>
      <c r="F285" s="40">
        <f t="shared" si="133"/>
        <v>69</v>
      </c>
      <c r="G285" s="3">
        <f t="shared" si="134"/>
        <v>399.6019184652323</v>
      </c>
      <c r="H285" s="3">
        <f t="shared" si="135"/>
        <v>221.47275588995251</v>
      </c>
      <c r="I285">
        <f t="shared" si="120"/>
        <v>2.214727558899525E-4</v>
      </c>
      <c r="J285" s="4">
        <f t="shared" si="136"/>
        <v>1646.1759610216741</v>
      </c>
      <c r="K285" s="40">
        <f t="shared" si="137"/>
        <v>7.4328598766325991</v>
      </c>
      <c r="L285" s="40">
        <f t="shared" si="121"/>
        <v>0</v>
      </c>
      <c r="M285" s="10">
        <f t="shared" si="138"/>
        <v>6.2474038818826232</v>
      </c>
      <c r="N285" s="10">
        <f t="shared" si="147"/>
        <v>17.20418640980624</v>
      </c>
      <c r="O285" s="10">
        <f t="shared" si="148"/>
        <v>-0.14810000000000001</v>
      </c>
      <c r="P285" s="10">
        <f t="shared" si="139"/>
        <v>13.115686619927674</v>
      </c>
      <c r="Q285" s="45">
        <f t="shared" si="140"/>
        <v>0.6337148612539335</v>
      </c>
      <c r="R285" s="4">
        <f t="shared" si="141"/>
        <v>1107572.1251407748</v>
      </c>
      <c r="S285">
        <f t="shared" si="122"/>
        <v>1.1075721251407747E-3</v>
      </c>
      <c r="T285" s="44">
        <f t="shared" si="123"/>
        <v>9.6882426934122908E-4</v>
      </c>
      <c r="U285" s="45">
        <f t="shared" si="142"/>
        <v>1.9770716219825399</v>
      </c>
      <c r="V285" s="45">
        <f t="shared" si="143"/>
        <v>1.5504931385914931</v>
      </c>
      <c r="W285" s="45">
        <f t="shared" si="144"/>
        <v>1.5312874978255906</v>
      </c>
      <c r="X285" s="45">
        <f t="shared" si="145"/>
        <v>1.9205640765902476E-2</v>
      </c>
      <c r="Y285" s="45">
        <f t="shared" si="119"/>
        <v>1.870827714173786E-2</v>
      </c>
      <c r="Z285" s="10">
        <f t="shared" si="146"/>
        <v>19.310289526973676</v>
      </c>
      <c r="AA285">
        <f t="shared" si="124"/>
        <v>6249198.1661535241</v>
      </c>
      <c r="AB285" s="10">
        <f t="shared" si="125"/>
        <v>6.2491981661535236</v>
      </c>
      <c r="AC285" s="10">
        <f t="shared" si="126"/>
        <v>6.1481981661535237</v>
      </c>
      <c r="AD285" s="3">
        <f t="shared" si="127"/>
        <v>891.68936419920578</v>
      </c>
      <c r="AI285" s="100">
        <f t="shared" si="128"/>
        <v>1.5312874978255906</v>
      </c>
    </row>
    <row r="286" spans="2:35">
      <c r="B286" s="39">
        <f t="shared" si="129"/>
        <v>258</v>
      </c>
      <c r="C286" s="45">
        <f t="shared" si="130"/>
        <v>7.5791366906471369</v>
      </c>
      <c r="D286" s="10">
        <f t="shared" si="131"/>
        <v>16.920863309353081</v>
      </c>
      <c r="E286" s="40">
        <f t="shared" si="132"/>
        <v>35.158273381293839</v>
      </c>
      <c r="F286" s="40">
        <f t="shared" si="133"/>
        <v>69</v>
      </c>
      <c r="G286" s="3">
        <f t="shared" si="134"/>
        <v>399.36690647482465</v>
      </c>
      <c r="H286" s="3">
        <f t="shared" si="135"/>
        <v>221.47275588995251</v>
      </c>
      <c r="I286">
        <f t="shared" si="120"/>
        <v>2.214727558899525E-4</v>
      </c>
      <c r="J286" s="4">
        <f t="shared" si="136"/>
        <v>1649.4179715338814</v>
      </c>
      <c r="K286" s="40">
        <f t="shared" si="137"/>
        <v>7.4474982934400291</v>
      </c>
      <c r="L286" s="40">
        <f t="shared" si="121"/>
        <v>0</v>
      </c>
      <c r="M286" s="10">
        <f t="shared" si="138"/>
        <v>6.2491981661535236</v>
      </c>
      <c r="N286" s="10">
        <f t="shared" si="147"/>
        <v>17.20418640980624</v>
      </c>
      <c r="O286" s="10">
        <f t="shared" si="148"/>
        <v>-0.14810000000000001</v>
      </c>
      <c r="P286" s="10">
        <f t="shared" si="139"/>
        <v>13.115128835785027</v>
      </c>
      <c r="Q286" s="45">
        <f t="shared" si="140"/>
        <v>0.63595475528538237</v>
      </c>
      <c r="R286" s="4">
        <f t="shared" si="141"/>
        <v>1105625.9933516772</v>
      </c>
      <c r="S286">
        <f t="shared" si="122"/>
        <v>1.1056259933516772E-3</v>
      </c>
      <c r="T286" s="44">
        <f t="shared" si="123"/>
        <v>9.7077040113032658E-4</v>
      </c>
      <c r="U286" s="45">
        <f t="shared" si="142"/>
        <v>1.9735976794324115</v>
      </c>
      <c r="V286" s="45">
        <f t="shared" si="143"/>
        <v>1.5509405808279908</v>
      </c>
      <c r="W286" s="45">
        <f t="shared" si="144"/>
        <v>1.5317345177618618</v>
      </c>
      <c r="X286" s="45">
        <f t="shared" si="145"/>
        <v>1.9206063066129042E-2</v>
      </c>
      <c r="Y286" s="45">
        <f t="shared" ref="Y286:Y349" si="149">IF((X286*(Q286-Q285)+Y285)&lt;0,0,X286*(Q286-Q285)+Y285)</f>
        <v>1.8751296687767312E-2</v>
      </c>
      <c r="Z286" s="10">
        <f t="shared" si="146"/>
        <v>19.315892476670122</v>
      </c>
      <c r="AA286">
        <f t="shared" si="124"/>
        <v>6250982.0878808815</v>
      </c>
      <c r="AB286" s="10">
        <f t="shared" si="125"/>
        <v>6.2509820878808817</v>
      </c>
      <c r="AC286" s="10">
        <f t="shared" si="126"/>
        <v>6.1499820878808817</v>
      </c>
      <c r="AD286" s="3">
        <f t="shared" si="127"/>
        <v>891.94809106321702</v>
      </c>
      <c r="AI286" s="100">
        <f t="shared" si="128"/>
        <v>1.5317345177618618</v>
      </c>
    </row>
    <row r="287" spans="2:35">
      <c r="B287" s="39">
        <f t="shared" si="129"/>
        <v>259</v>
      </c>
      <c r="C287" s="45">
        <f t="shared" si="130"/>
        <v>7.6085131894480948</v>
      </c>
      <c r="D287" s="10">
        <f t="shared" si="131"/>
        <v>16.891486810552124</v>
      </c>
      <c r="E287" s="40">
        <f t="shared" si="132"/>
        <v>35.217026378895753</v>
      </c>
      <c r="F287" s="40">
        <f t="shared" si="133"/>
        <v>69</v>
      </c>
      <c r="G287" s="3">
        <f t="shared" si="134"/>
        <v>399.13189448441699</v>
      </c>
      <c r="H287" s="3">
        <f t="shared" si="135"/>
        <v>221.47275588995251</v>
      </c>
      <c r="I287">
        <f t="shared" si="120"/>
        <v>2.214727558899525E-4</v>
      </c>
      <c r="J287" s="4">
        <f t="shared" si="136"/>
        <v>1652.6654043010635</v>
      </c>
      <c r="K287" s="40">
        <f t="shared" si="137"/>
        <v>7.4621611929652225</v>
      </c>
      <c r="L287" s="40">
        <f t="shared" si="121"/>
        <v>0</v>
      </c>
      <c r="M287" s="10">
        <f t="shared" si="138"/>
        <v>6.2509820878808817</v>
      </c>
      <c r="N287" s="10">
        <f t="shared" si="147"/>
        <v>17.20418640980624</v>
      </c>
      <c r="O287" s="10">
        <f t="shared" si="148"/>
        <v>-0.14810000000000001</v>
      </c>
      <c r="P287" s="10">
        <f t="shared" si="139"/>
        <v>13.114574455268569</v>
      </c>
      <c r="Q287" s="45">
        <f t="shared" si="140"/>
        <v>0.63819474400184095</v>
      </c>
      <c r="R287" s="4">
        <f t="shared" si="141"/>
        <v>1103679.221190366</v>
      </c>
      <c r="S287">
        <f t="shared" si="122"/>
        <v>1.1036792211903659E-3</v>
      </c>
      <c r="T287" s="44">
        <f t="shared" si="123"/>
        <v>9.7271717329163788E-4</v>
      </c>
      <c r="U287" s="45">
        <f t="shared" si="142"/>
        <v>1.9701225937858629</v>
      </c>
      <c r="V287" s="45">
        <f t="shared" si="143"/>
        <v>1.5513853355666611</v>
      </c>
      <c r="W287" s="45">
        <f t="shared" si="144"/>
        <v>1.5321789560205084</v>
      </c>
      <c r="X287" s="45">
        <f t="shared" si="145"/>
        <v>1.9206379546152785E-2</v>
      </c>
      <c r="Y287" s="45">
        <f t="shared" si="149"/>
        <v>1.8794318761234715E-2</v>
      </c>
      <c r="Z287" s="10">
        <f t="shared" si="146"/>
        <v>19.321462884874805</v>
      </c>
      <c r="AA287">
        <f t="shared" si="124"/>
        <v>6252755.6487309616</v>
      </c>
      <c r="AB287" s="10">
        <f t="shared" si="125"/>
        <v>6.2527556487309619</v>
      </c>
      <c r="AC287" s="10">
        <f t="shared" si="126"/>
        <v>6.1517556487309619</v>
      </c>
      <c r="AD287" s="3">
        <f t="shared" si="127"/>
        <v>892.20531526192337</v>
      </c>
      <c r="AI287" s="100">
        <f t="shared" si="128"/>
        <v>1.5321789560205084</v>
      </c>
    </row>
    <row r="288" spans="2:35">
      <c r="B288" s="39">
        <f t="shared" si="129"/>
        <v>260</v>
      </c>
      <c r="C288" s="45">
        <f t="shared" si="130"/>
        <v>7.6378896882490528</v>
      </c>
      <c r="D288" s="10">
        <f t="shared" si="131"/>
        <v>16.862110311751167</v>
      </c>
      <c r="E288" s="40">
        <f t="shared" si="132"/>
        <v>35.275779376497667</v>
      </c>
      <c r="F288" s="40">
        <f t="shared" si="133"/>
        <v>69</v>
      </c>
      <c r="G288" s="3">
        <f t="shared" si="134"/>
        <v>398.89688249400933</v>
      </c>
      <c r="H288" s="3">
        <f t="shared" si="135"/>
        <v>221.47275588995251</v>
      </c>
      <c r="I288">
        <f t="shared" si="120"/>
        <v>2.214727558899525E-4</v>
      </c>
      <c r="J288" s="4">
        <f t="shared" si="136"/>
        <v>1655.918259323219</v>
      </c>
      <c r="K288" s="40">
        <f t="shared" si="137"/>
        <v>7.476848575208173</v>
      </c>
      <c r="L288" s="40">
        <f t="shared" si="121"/>
        <v>0</v>
      </c>
      <c r="M288" s="10">
        <f t="shared" si="138"/>
        <v>6.2527556487309619</v>
      </c>
      <c r="N288" s="10">
        <f t="shared" si="147"/>
        <v>17.20418640980624</v>
      </c>
      <c r="O288" s="10">
        <f t="shared" si="148"/>
        <v>-0.14810000000000001</v>
      </c>
      <c r="P288" s="10">
        <f t="shared" si="139"/>
        <v>13.114023474583513</v>
      </c>
      <c r="Q288" s="45">
        <f t="shared" si="140"/>
        <v>0.64043482683056951</v>
      </c>
      <c r="R288" s="4">
        <f t="shared" si="141"/>
        <v>1101731.8124797265</v>
      </c>
      <c r="S288">
        <f t="shared" si="122"/>
        <v>1.1017318124797264E-3</v>
      </c>
      <c r="T288" s="44">
        <f t="shared" si="123"/>
        <v>9.746645820022774E-4</v>
      </c>
      <c r="U288" s="45">
        <f t="shared" si="142"/>
        <v>1.9666463718669358</v>
      </c>
      <c r="V288" s="45">
        <f t="shared" si="143"/>
        <v>1.5518274031412038</v>
      </c>
      <c r="W288" s="45">
        <f t="shared" si="144"/>
        <v>1.5326208130166563</v>
      </c>
      <c r="X288" s="45">
        <f t="shared" si="145"/>
        <v>1.9206590124547507E-2</v>
      </c>
      <c r="Y288" s="45">
        <f t="shared" si="149"/>
        <v>1.8837343113971141E-2</v>
      </c>
      <c r="Z288" s="10">
        <f t="shared" si="146"/>
        <v>19.327000756786632</v>
      </c>
      <c r="AA288">
        <f t="shared" si="124"/>
        <v>6254518.8503590431</v>
      </c>
      <c r="AB288" s="10">
        <f t="shared" si="125"/>
        <v>6.2545188503590428</v>
      </c>
      <c r="AC288" s="10">
        <f t="shared" si="126"/>
        <v>6.1535188503590428</v>
      </c>
      <c r="AD288" s="3">
        <f t="shared" si="127"/>
        <v>892.46103703539427</v>
      </c>
      <c r="AI288" s="100">
        <f t="shared" si="128"/>
        <v>1.5326208130166563</v>
      </c>
    </row>
    <row r="289" spans="2:35">
      <c r="B289" s="39">
        <f t="shared" si="129"/>
        <v>261</v>
      </c>
      <c r="C289" s="45">
        <f t="shared" si="130"/>
        <v>7.6672661870500107</v>
      </c>
      <c r="D289" s="10">
        <f t="shared" si="131"/>
        <v>16.83273381295021</v>
      </c>
      <c r="E289" s="40">
        <f t="shared" si="132"/>
        <v>35.334532374099581</v>
      </c>
      <c r="F289" s="40">
        <f t="shared" si="133"/>
        <v>69</v>
      </c>
      <c r="G289" s="3">
        <f t="shared" si="134"/>
        <v>398.66187050360168</v>
      </c>
      <c r="H289" s="3">
        <f t="shared" si="135"/>
        <v>221.47275588995251</v>
      </c>
      <c r="I289">
        <f t="shared" si="120"/>
        <v>2.214727558899525E-4</v>
      </c>
      <c r="J289" s="4">
        <f t="shared" si="136"/>
        <v>1659.1765366003488</v>
      </c>
      <c r="K289" s="40">
        <f t="shared" si="137"/>
        <v>7.4915604401688851</v>
      </c>
      <c r="L289" s="40">
        <f t="shared" si="121"/>
        <v>0</v>
      </c>
      <c r="M289" s="10">
        <f t="shared" si="138"/>
        <v>6.2545188503590428</v>
      </c>
      <c r="N289" s="10">
        <f t="shared" si="147"/>
        <v>17.20418640980624</v>
      </c>
      <c r="O289" s="10">
        <f t="shared" si="148"/>
        <v>-0.14810000000000001</v>
      </c>
      <c r="P289" s="10">
        <f t="shared" si="139"/>
        <v>13.113475889961483</v>
      </c>
      <c r="Q289" s="45">
        <f t="shared" si="140"/>
        <v>0.64267500319932658</v>
      </c>
      <c r="R289" s="4">
        <f t="shared" si="141"/>
        <v>1099783.7710426431</v>
      </c>
      <c r="S289">
        <f t="shared" si="122"/>
        <v>1.0997837710426432E-3</v>
      </c>
      <c r="T289" s="44">
        <f t="shared" si="123"/>
        <v>9.7661262343936065E-4</v>
      </c>
      <c r="U289" s="45">
        <f t="shared" si="142"/>
        <v>1.9631690204996701</v>
      </c>
      <c r="V289" s="45">
        <f t="shared" si="143"/>
        <v>1.5522667838849891</v>
      </c>
      <c r="W289" s="45">
        <f t="shared" si="144"/>
        <v>1.5330600891626947</v>
      </c>
      <c r="X289" s="45">
        <f t="shared" si="145"/>
        <v>1.9206694722294415E-2</v>
      </c>
      <c r="Y289" s="45">
        <f t="shared" si="149"/>
        <v>1.8880369497609954E-2</v>
      </c>
      <c r="Z289" s="10">
        <f t="shared" si="146"/>
        <v>19.332506097574793</v>
      </c>
      <c r="AA289">
        <f t="shared" si="124"/>
        <v>6256271.6944109425</v>
      </c>
      <c r="AB289" s="10">
        <f t="shared" si="125"/>
        <v>6.2562716944109429</v>
      </c>
      <c r="AC289" s="10">
        <f t="shared" si="126"/>
        <v>6.1552716944109429</v>
      </c>
      <c r="AD289" s="3">
        <f t="shared" si="127"/>
        <v>892.71525662232671</v>
      </c>
      <c r="AI289" s="100">
        <f t="shared" si="128"/>
        <v>1.5330600891626947</v>
      </c>
    </row>
    <row r="290" spans="2:35">
      <c r="B290" s="39">
        <f t="shared" si="129"/>
        <v>262</v>
      </c>
      <c r="C290" s="45">
        <f t="shared" si="130"/>
        <v>7.6966426858509687</v>
      </c>
      <c r="D290" s="10">
        <f t="shared" si="131"/>
        <v>16.803357314149252</v>
      </c>
      <c r="E290" s="40">
        <f t="shared" si="132"/>
        <v>35.393285371701495</v>
      </c>
      <c r="F290" s="40">
        <f t="shared" si="133"/>
        <v>69</v>
      </c>
      <c r="G290" s="3">
        <f t="shared" si="134"/>
        <v>398.42685851319402</v>
      </c>
      <c r="H290" s="3">
        <f t="shared" si="135"/>
        <v>221.47275588995251</v>
      </c>
      <c r="I290">
        <f t="shared" si="120"/>
        <v>2.214727558899525E-4</v>
      </c>
      <c r="J290" s="4">
        <f t="shared" si="136"/>
        <v>1662.4402361324519</v>
      </c>
      <c r="K290" s="40">
        <f t="shared" si="137"/>
        <v>7.5062967878473552</v>
      </c>
      <c r="L290" s="40">
        <f t="shared" si="121"/>
        <v>0</v>
      </c>
      <c r="M290" s="10">
        <f t="shared" si="138"/>
        <v>6.2562716944109429</v>
      </c>
      <c r="N290" s="10">
        <f t="shared" si="147"/>
        <v>17.20418640980624</v>
      </c>
      <c r="O290" s="10">
        <f t="shared" si="148"/>
        <v>-0.14810000000000001</v>
      </c>
      <c r="P290" s="10">
        <f t="shared" si="139"/>
        <v>13.112931697659986</v>
      </c>
      <c r="Q290" s="45">
        <f t="shared" si="140"/>
        <v>0.64491527253636582</v>
      </c>
      <c r="R290" s="4">
        <f t="shared" si="141"/>
        <v>1097835.1007020012</v>
      </c>
      <c r="S290">
        <f t="shared" si="122"/>
        <v>1.0978351007020013E-3</v>
      </c>
      <c r="T290" s="44">
        <f t="shared" si="123"/>
        <v>9.7856129378000247E-4</v>
      </c>
      <c r="U290" s="45">
        <f t="shared" si="142"/>
        <v>1.9596905465081074</v>
      </c>
      <c r="V290" s="45">
        <f t="shared" si="143"/>
        <v>1.5527034781272908</v>
      </c>
      <c r="W290" s="45">
        <f t="shared" si="144"/>
        <v>1.533496784868654</v>
      </c>
      <c r="X290" s="45">
        <f t="shared" si="145"/>
        <v>1.9206693258636776E-2</v>
      </c>
      <c r="Y290" s="45">
        <f t="shared" si="149"/>
        <v>1.8923397663583197E-2</v>
      </c>
      <c r="Z290" s="10">
        <f t="shared" si="146"/>
        <v>19.337978912374094</v>
      </c>
      <c r="AA290">
        <f t="shared" si="124"/>
        <v>6258014.1825215314</v>
      </c>
      <c r="AB290" s="10">
        <f t="shared" si="125"/>
        <v>6.2580141825215314</v>
      </c>
      <c r="AC290" s="10">
        <f t="shared" si="126"/>
        <v>6.1570141825215314</v>
      </c>
      <c r="AD290" s="3">
        <f t="shared" si="127"/>
        <v>892.9679742598305</v>
      </c>
      <c r="AI290" s="100">
        <f t="shared" si="128"/>
        <v>1.533496784868654</v>
      </c>
    </row>
    <row r="291" spans="2:35">
      <c r="B291" s="39">
        <f t="shared" si="129"/>
        <v>263</v>
      </c>
      <c r="C291" s="45">
        <f t="shared" si="130"/>
        <v>7.7260191846519266</v>
      </c>
      <c r="D291" s="10">
        <f t="shared" si="131"/>
        <v>16.773980815348295</v>
      </c>
      <c r="E291" s="40">
        <f t="shared" si="132"/>
        <v>35.452038369303409</v>
      </c>
      <c r="F291" s="40">
        <f t="shared" si="133"/>
        <v>69</v>
      </c>
      <c r="G291" s="3">
        <f t="shared" si="134"/>
        <v>398.19184652278636</v>
      </c>
      <c r="H291" s="3">
        <f t="shared" si="135"/>
        <v>221.47275588995251</v>
      </c>
      <c r="I291">
        <f t="shared" si="120"/>
        <v>2.214727558899525E-4</v>
      </c>
      <c r="J291" s="4">
        <f t="shared" si="136"/>
        <v>1665.7093579195293</v>
      </c>
      <c r="K291" s="40">
        <f t="shared" si="137"/>
        <v>7.521057618243586</v>
      </c>
      <c r="L291" s="40">
        <f t="shared" si="121"/>
        <v>0</v>
      </c>
      <c r="M291" s="10">
        <f t="shared" si="138"/>
        <v>6.2580141825215314</v>
      </c>
      <c r="N291" s="10">
        <f t="shared" si="147"/>
        <v>17.20418640980624</v>
      </c>
      <c r="O291" s="10">
        <f t="shared" si="148"/>
        <v>-0.14810000000000001</v>
      </c>
      <c r="P291" s="10">
        <f t="shared" si="139"/>
        <v>13.112390893962768</v>
      </c>
      <c r="Q291" s="45">
        <f t="shared" si="140"/>
        <v>0.64715563427043243</v>
      </c>
      <c r="R291" s="4">
        <f t="shared" si="141"/>
        <v>1095885.8052806847</v>
      </c>
      <c r="S291">
        <f t="shared" si="122"/>
        <v>1.0958858052806848E-3</v>
      </c>
      <c r="T291" s="44">
        <f t="shared" si="123"/>
        <v>9.80510589201319E-4</v>
      </c>
      <c r="U291" s="45">
        <f t="shared" si="142"/>
        <v>1.9562109567162862</v>
      </c>
      <c r="V291" s="45">
        <f t="shared" si="143"/>
        <v>1.5531374861974481</v>
      </c>
      <c r="W291" s="45">
        <f t="shared" si="144"/>
        <v>1.5339309005418396</v>
      </c>
      <c r="X291" s="45">
        <f t="shared" si="145"/>
        <v>1.920658565560851E-2</v>
      </c>
      <c r="Y291" s="45">
        <f t="shared" si="149"/>
        <v>1.8966427363128095E-2</v>
      </c>
      <c r="Z291" s="10">
        <f t="shared" si="146"/>
        <v>19.343419206290587</v>
      </c>
      <c r="AA291">
        <f t="shared" si="124"/>
        <v>6259746.3163165217</v>
      </c>
      <c r="AB291" s="10">
        <f t="shared" si="125"/>
        <v>6.2597463163165221</v>
      </c>
      <c r="AC291" s="10">
        <f t="shared" si="126"/>
        <v>6.1587463163165221</v>
      </c>
      <c r="AD291" s="3">
        <f t="shared" si="127"/>
        <v>893.21919018368703</v>
      </c>
      <c r="AI291" s="100">
        <f t="shared" si="128"/>
        <v>1.5339309005418396</v>
      </c>
    </row>
    <row r="292" spans="2:35">
      <c r="B292" s="39">
        <f t="shared" si="129"/>
        <v>264</v>
      </c>
      <c r="C292" s="45">
        <f t="shared" si="130"/>
        <v>7.7553956834528845</v>
      </c>
      <c r="D292" s="10">
        <f t="shared" si="131"/>
        <v>16.744604316547338</v>
      </c>
      <c r="E292" s="40">
        <f t="shared" si="132"/>
        <v>35.510791366905323</v>
      </c>
      <c r="F292" s="40">
        <f t="shared" si="133"/>
        <v>69</v>
      </c>
      <c r="G292" s="3">
        <f t="shared" si="134"/>
        <v>397.95683453237871</v>
      </c>
      <c r="H292" s="3">
        <f t="shared" si="135"/>
        <v>221.47275588995251</v>
      </c>
      <c r="I292">
        <f t="shared" si="120"/>
        <v>2.214727558899525E-4</v>
      </c>
      <c r="J292" s="4">
        <f t="shared" si="136"/>
        <v>1668.9839019615806</v>
      </c>
      <c r="K292" s="40">
        <f t="shared" si="137"/>
        <v>7.5358429313575765</v>
      </c>
      <c r="L292" s="40">
        <f t="shared" si="121"/>
        <v>0</v>
      </c>
      <c r="M292" s="10">
        <f t="shared" si="138"/>
        <v>6.2597463163165221</v>
      </c>
      <c r="N292" s="10">
        <f t="shared" si="147"/>
        <v>17.20418640980624</v>
      </c>
      <c r="O292" s="10">
        <f t="shared" si="148"/>
        <v>-0.14810000000000001</v>
      </c>
      <c r="P292" s="10">
        <f t="shared" si="139"/>
        <v>13.111853475179213</v>
      </c>
      <c r="Q292" s="45">
        <f t="shared" si="140"/>
        <v>0.64939608783075997</v>
      </c>
      <c r="R292" s="4">
        <f t="shared" si="141"/>
        <v>1093935.8886015792</v>
      </c>
      <c r="S292">
        <f t="shared" si="122"/>
        <v>1.0939358886015793E-3</v>
      </c>
      <c r="T292" s="44">
        <f t="shared" si="123"/>
        <v>9.8246050588042446E-4</v>
      </c>
      <c r="U292" s="45">
        <f t="shared" si="142"/>
        <v>1.9527302579482491</v>
      </c>
      <c r="V292" s="45">
        <f t="shared" si="143"/>
        <v>1.553568808419437</v>
      </c>
      <c r="W292" s="45">
        <f t="shared" si="144"/>
        <v>1.5343624365872741</v>
      </c>
      <c r="X292" s="45">
        <f t="shared" si="145"/>
        <v>1.9206371832162894E-2</v>
      </c>
      <c r="Y292" s="45">
        <f t="shared" si="149"/>
        <v>1.9009458347280437E-2</v>
      </c>
      <c r="Z292" s="10">
        <f t="shared" si="146"/>
        <v>19.348826984393899</v>
      </c>
      <c r="AA292">
        <f t="shared" si="124"/>
        <v>6261468.0974100316</v>
      </c>
      <c r="AB292" s="10">
        <f t="shared" si="125"/>
        <v>6.2614680974100319</v>
      </c>
      <c r="AC292" s="10">
        <f t="shared" si="126"/>
        <v>6.1604680974100319</v>
      </c>
      <c r="AD292" s="3">
        <f t="shared" si="127"/>
        <v>893.46890462799593</v>
      </c>
      <c r="AI292" s="100">
        <f t="shared" si="128"/>
        <v>1.5343624365872741</v>
      </c>
    </row>
    <row r="293" spans="2:35">
      <c r="B293" s="39">
        <f t="shared" si="129"/>
        <v>265</v>
      </c>
      <c r="C293" s="45">
        <f t="shared" si="130"/>
        <v>7.7847721822538425</v>
      </c>
      <c r="D293" s="10">
        <f t="shared" si="131"/>
        <v>16.715227817746381</v>
      </c>
      <c r="E293" s="40">
        <f t="shared" si="132"/>
        <v>35.569544364507237</v>
      </c>
      <c r="F293" s="40">
        <f t="shared" si="133"/>
        <v>69</v>
      </c>
      <c r="G293" s="3">
        <f t="shared" si="134"/>
        <v>397.72182254197105</v>
      </c>
      <c r="H293" s="3">
        <f t="shared" si="135"/>
        <v>221.47275588995251</v>
      </c>
      <c r="I293">
        <f t="shared" si="120"/>
        <v>2.214727558899525E-4</v>
      </c>
      <c r="J293" s="4">
        <f t="shared" si="136"/>
        <v>1672.2638682586057</v>
      </c>
      <c r="K293" s="40">
        <f t="shared" si="137"/>
        <v>7.550652727189326</v>
      </c>
      <c r="L293" s="40">
        <f t="shared" si="121"/>
        <v>0</v>
      </c>
      <c r="M293" s="10">
        <f t="shared" si="138"/>
        <v>6.2614680974100319</v>
      </c>
      <c r="N293" s="10">
        <f t="shared" si="147"/>
        <v>17.20418640980624</v>
      </c>
      <c r="O293" s="10">
        <f t="shared" si="148"/>
        <v>-0.14810000000000001</v>
      </c>
      <c r="P293" s="10">
        <f t="shared" si="139"/>
        <v>13.111319437645001</v>
      </c>
      <c r="Q293" s="45">
        <f t="shared" si="140"/>
        <v>0.65163663264706673</v>
      </c>
      <c r="R293" s="4">
        <f t="shared" si="141"/>
        <v>1091985.3544875691</v>
      </c>
      <c r="S293">
        <f t="shared" si="122"/>
        <v>1.091985354487569E-3</v>
      </c>
      <c r="T293" s="44">
        <f t="shared" si="123"/>
        <v>9.8441103999443477E-4</v>
      </c>
      <c r="U293" s="45">
        <f t="shared" si="142"/>
        <v>1.9492484570280353</v>
      </c>
      <c r="V293" s="45">
        <f t="shared" si="143"/>
        <v>1.5539974451183109</v>
      </c>
      <c r="W293" s="45">
        <f t="shared" si="144"/>
        <v>1.5347913934070914</v>
      </c>
      <c r="X293" s="45">
        <f t="shared" si="145"/>
        <v>1.9206051711219585E-2</v>
      </c>
      <c r="Y293" s="45">
        <f t="shared" si="149"/>
        <v>1.905249036688373E-2</v>
      </c>
      <c r="Z293" s="10">
        <f t="shared" si="146"/>
        <v>19.3542022517255</v>
      </c>
      <c r="AA293">
        <f t="shared" si="124"/>
        <v>6263179.5274072131</v>
      </c>
      <c r="AB293" s="10">
        <f t="shared" si="125"/>
        <v>6.2631795274072131</v>
      </c>
      <c r="AC293" s="10">
        <f t="shared" si="126"/>
        <v>6.1621795274072131</v>
      </c>
      <c r="AD293" s="3">
        <f t="shared" si="127"/>
        <v>893.71711782555667</v>
      </c>
      <c r="AI293" s="100">
        <f t="shared" si="128"/>
        <v>1.5347913934070914</v>
      </c>
    </row>
    <row r="294" spans="2:35">
      <c r="B294" s="39">
        <f t="shared" si="129"/>
        <v>266</v>
      </c>
      <c r="C294" s="45">
        <f t="shared" si="130"/>
        <v>7.8141486810548004</v>
      </c>
      <c r="D294" s="10">
        <f t="shared" si="131"/>
        <v>16.685851318945424</v>
      </c>
      <c r="E294" s="40">
        <f t="shared" si="132"/>
        <v>35.628297362109151</v>
      </c>
      <c r="F294" s="40">
        <f t="shared" si="133"/>
        <v>69</v>
      </c>
      <c r="G294" s="3">
        <f t="shared" si="134"/>
        <v>397.48681055156339</v>
      </c>
      <c r="H294" s="3">
        <f t="shared" si="135"/>
        <v>221.47275588995251</v>
      </c>
      <c r="I294">
        <f t="shared" si="120"/>
        <v>2.214727558899525E-4</v>
      </c>
      <c r="J294" s="4">
        <f t="shared" si="136"/>
        <v>1675.5492568106047</v>
      </c>
      <c r="K294" s="40">
        <f t="shared" si="137"/>
        <v>7.5654870057388344</v>
      </c>
      <c r="L294" s="40">
        <f t="shared" si="121"/>
        <v>0</v>
      </c>
      <c r="M294" s="10">
        <f t="shared" si="138"/>
        <v>6.2631795274072131</v>
      </c>
      <c r="N294" s="10">
        <f t="shared" si="147"/>
        <v>17.20418640980624</v>
      </c>
      <c r="O294" s="10">
        <f t="shared" si="148"/>
        <v>-0.14810000000000001</v>
      </c>
      <c r="P294" s="10">
        <f t="shared" si="139"/>
        <v>13.110788777721222</v>
      </c>
      <c r="Q294" s="45">
        <f t="shared" si="140"/>
        <v>0.65387726814955283</v>
      </c>
      <c r="R294" s="4">
        <f t="shared" si="141"/>
        <v>1090034.2067615394</v>
      </c>
      <c r="S294">
        <f t="shared" si="122"/>
        <v>1.0900342067615395E-3</v>
      </c>
      <c r="T294" s="44">
        <f t="shared" si="123"/>
        <v>9.8636218772046435E-4</v>
      </c>
      <c r="U294" s="45">
        <f t="shared" si="142"/>
        <v>1.945765560779686</v>
      </c>
      <c r="V294" s="45">
        <f t="shared" si="143"/>
        <v>1.5544233966144194</v>
      </c>
      <c r="W294" s="45">
        <f t="shared" si="144"/>
        <v>1.5352177714011914</v>
      </c>
      <c r="X294" s="45">
        <f t="shared" si="145"/>
        <v>1.9205625213227995E-2</v>
      </c>
      <c r="Y294" s="45">
        <f t="shared" si="149"/>
        <v>1.9095523172583929E-2</v>
      </c>
      <c r="Z294" s="10">
        <f t="shared" si="146"/>
        <v>19.359545013292433</v>
      </c>
      <c r="AA294">
        <f t="shared" si="124"/>
        <v>6264880.6079022586</v>
      </c>
      <c r="AB294" s="10">
        <f t="shared" si="125"/>
        <v>6.264880607902259</v>
      </c>
      <c r="AC294" s="10">
        <f t="shared" si="126"/>
        <v>6.163880607902259</v>
      </c>
      <c r="AD294" s="3">
        <f t="shared" si="127"/>
        <v>893.96383000757919</v>
      </c>
      <c r="AI294" s="100">
        <f t="shared" si="128"/>
        <v>1.5352177714011914</v>
      </c>
    </row>
    <row r="295" spans="2:35">
      <c r="B295" s="39">
        <f t="shared" si="129"/>
        <v>267</v>
      </c>
      <c r="C295" s="45">
        <f t="shared" si="130"/>
        <v>7.8435251798557584</v>
      </c>
      <c r="D295" s="10">
        <f t="shared" si="131"/>
        <v>16.656474820144467</v>
      </c>
      <c r="E295" s="40">
        <f t="shared" si="132"/>
        <v>35.687050359711066</v>
      </c>
      <c r="F295" s="40">
        <f t="shared" si="133"/>
        <v>69</v>
      </c>
      <c r="G295" s="3">
        <f t="shared" si="134"/>
        <v>397.25179856115574</v>
      </c>
      <c r="H295" s="3">
        <f t="shared" si="135"/>
        <v>221.47275588995251</v>
      </c>
      <c r="I295">
        <f t="shared" ref="I295:I358" si="150">H295/1000^2</f>
        <v>2.214727558899525E-4</v>
      </c>
      <c r="J295" s="4">
        <f t="shared" si="136"/>
        <v>1678.8400676175775</v>
      </c>
      <c r="K295" s="40">
        <f t="shared" si="137"/>
        <v>7.5803457670061025</v>
      </c>
      <c r="L295" s="40">
        <f t="shared" ref="L295:L358" si="151">IF((gstar-K295)&lt;0,0,gstar-K295)</f>
        <v>0</v>
      </c>
      <c r="M295" s="10">
        <f t="shared" si="138"/>
        <v>6.264880607902259</v>
      </c>
      <c r="N295" s="10">
        <f t="shared" si="147"/>
        <v>17.20418640980624</v>
      </c>
      <c r="O295" s="10">
        <f t="shared" si="148"/>
        <v>-0.14810000000000001</v>
      </c>
      <c r="P295" s="10">
        <f t="shared" si="139"/>
        <v>13.110261491794935</v>
      </c>
      <c r="Q295" s="45">
        <f t="shared" si="140"/>
        <v>0.65611799376889635</v>
      </c>
      <c r="R295" s="4">
        <f t="shared" si="141"/>
        <v>1088082.4492463747</v>
      </c>
      <c r="S295">
        <f t="shared" ref="S295:S358" si="152">R295/1000^3</f>
        <v>1.0880824492463747E-3</v>
      </c>
      <c r="T295" s="44">
        <f t="shared" ref="T295:T358" si="153">(vc/1000^3-S295)</f>
        <v>9.8831394523562913E-4</v>
      </c>
      <c r="U295" s="45">
        <f t="shared" si="142"/>
        <v>1.9422815760272412</v>
      </c>
      <c r="V295" s="45">
        <f t="shared" si="143"/>
        <v>1.5548466632275799</v>
      </c>
      <c r="W295" s="45">
        <f t="shared" si="144"/>
        <v>1.535641570966745</v>
      </c>
      <c r="X295" s="45">
        <f t="shared" si="145"/>
        <v>1.9205092260834888E-2</v>
      </c>
      <c r="Y295" s="45">
        <f t="shared" si="149"/>
        <v>1.9138556514834638E-2</v>
      </c>
      <c r="Z295" s="10">
        <f t="shared" si="146"/>
        <v>19.364855274071555</v>
      </c>
      <c r="AA295">
        <f t="shared" ref="AA295:AA358" si="154">Z295*rat*to+patm*1000000</f>
        <v>6266571.3404797474</v>
      </c>
      <c r="AB295" s="10">
        <f t="shared" ref="AB295:AB358" si="155">AA295/1000000</f>
        <v>6.2665713404797474</v>
      </c>
      <c r="AC295" s="10">
        <f t="shared" ref="AC295:AC358" si="156">AB295-patm</f>
        <v>6.1655713404797474</v>
      </c>
      <c r="AD295" s="3">
        <f t="shared" ref="AD295:AD358" si="157">AC295*1000000/6895</f>
        <v>894.20904140387927</v>
      </c>
      <c r="AI295" s="100">
        <f t="shared" ref="AI295:AI358" si="158">($M295-patm)*1000000*$I295/SQRT(rat*to)*SQRT(k)*(2/(k+1))^((k+1)/2/(k-1))</f>
        <v>1.535641570966745</v>
      </c>
    </row>
    <row r="296" spans="2:35">
      <c r="B296" s="39">
        <f t="shared" ref="B296:B359" si="159">1+B295</f>
        <v>268</v>
      </c>
      <c r="C296" s="45">
        <f t="shared" ref="C296:C359" si="160">xincp+C295</f>
        <v>7.8729016786567163</v>
      </c>
      <c r="D296" s="10">
        <f t="shared" ref="D296:D359" si="161">(F296-E296)/2</f>
        <v>16.62709832134351</v>
      </c>
      <c r="E296" s="40">
        <f t="shared" ref="E296:E359" si="162">E295+ci*2*xincp</f>
        <v>35.74580335731298</v>
      </c>
      <c r="F296" s="40">
        <f t="shared" ref="F296:F359" si="163">F295-osi*2*xincp</f>
        <v>69</v>
      </c>
      <c r="G296" s="3">
        <f t="shared" ref="G296:G359" si="164">G295-ei*n*2*xincp</f>
        <v>397.01678657074808</v>
      </c>
      <c r="H296" s="3">
        <f t="shared" ref="H296:H359" si="165">PI()/4*(dto+erate*(two-D296)/two)^2</f>
        <v>221.47275588995251</v>
      </c>
      <c r="I296">
        <f t="shared" si="150"/>
        <v>2.214727558899525E-4</v>
      </c>
      <c r="J296" s="4">
        <f t="shared" ref="J296:J359" si="166">PI()/4*dc^2-PI()/4*(F296^2-E296^2)</f>
        <v>1682.1363006795245</v>
      </c>
      <c r="K296" s="40">
        <f t="shared" ref="K296:K359" si="167">J296/H296</f>
        <v>7.5952290109911322</v>
      </c>
      <c r="L296" s="40">
        <f t="shared" si="151"/>
        <v>0</v>
      </c>
      <c r="M296" s="10">
        <f t="shared" ref="M296:M359" si="168">AB295</f>
        <v>6.2665713404797474</v>
      </c>
      <c r="N296" s="10">
        <f t="shared" si="147"/>
        <v>17.20418640980624</v>
      </c>
      <c r="O296" s="10">
        <f t="shared" si="148"/>
        <v>-0.14810000000000001</v>
      </c>
      <c r="P296" s="10">
        <f t="shared" ref="P296:P359" si="169">(1+kv*L296)*N296*M296^O296</f>
        <v>13.109737576278651</v>
      </c>
      <c r="Q296" s="45">
        <f t="shared" ref="Q296:Q359" si="170">xincp/P296+Q295</f>
        <v>0.65835880893625054</v>
      </c>
      <c r="R296" s="4">
        <f t="shared" ref="R296:R359" si="171">PI()/4*(F296^2-E296^2)*G296</f>
        <v>1086130.0857649597</v>
      </c>
      <c r="S296">
        <f t="shared" si="152"/>
        <v>1.0861300857649596E-3</v>
      </c>
      <c r="T296" s="44">
        <f t="shared" si="153"/>
        <v>9.9026630871704418E-4</v>
      </c>
      <c r="U296" s="45">
        <f t="shared" ref="U296:U359" si="172">rhopgrain*R296/1000^2</f>
        <v>1.9387965095947413</v>
      </c>
      <c r="V296" s="45">
        <f t="shared" ref="V296:V359" si="173">(U295-U296)/(Q296-Q295)</f>
        <v>1.5552672452743359</v>
      </c>
      <c r="W296" s="45">
        <f t="shared" ref="W296:W359" si="174">IF(V296&lt;AI296,IF(AB295&gt;pbd,AI296,0),AI296)</f>
        <v>1.5360627924985268</v>
      </c>
      <c r="X296" s="45">
        <f t="shared" ref="X296:X359" si="175">V296-W296</f>
        <v>1.9204452775809067E-2</v>
      </c>
      <c r="Y296" s="45">
        <f t="shared" si="149"/>
        <v>1.9181590143895408E-2</v>
      </c>
      <c r="Z296" s="10">
        <f t="shared" ref="Z296:Z359" si="176">Y296/T296</f>
        <v>19.370133039006884</v>
      </c>
      <c r="AA296">
        <f t="shared" si="154"/>
        <v>6268251.7267138045</v>
      </c>
      <c r="AB296" s="10">
        <f t="shared" si="155"/>
        <v>6.2682517267138049</v>
      </c>
      <c r="AC296" s="10">
        <f t="shared" si="156"/>
        <v>6.1672517267138049</v>
      </c>
      <c r="AD296" s="3">
        <f t="shared" si="157"/>
        <v>894.45275224275633</v>
      </c>
      <c r="AI296" s="100">
        <f t="shared" si="158"/>
        <v>1.5360627924985268</v>
      </c>
    </row>
    <row r="297" spans="2:35">
      <c r="B297" s="39">
        <f t="shared" si="159"/>
        <v>269</v>
      </c>
      <c r="C297" s="45">
        <f t="shared" si="160"/>
        <v>7.9022781774576742</v>
      </c>
      <c r="D297" s="10">
        <f t="shared" si="161"/>
        <v>16.597721822542553</v>
      </c>
      <c r="E297" s="40">
        <f t="shared" si="162"/>
        <v>35.804556354914894</v>
      </c>
      <c r="F297" s="40">
        <f t="shared" si="163"/>
        <v>69</v>
      </c>
      <c r="G297" s="3">
        <f t="shared" si="164"/>
        <v>396.78177458034043</v>
      </c>
      <c r="H297" s="3">
        <f t="shared" si="165"/>
        <v>221.47275588995251</v>
      </c>
      <c r="I297">
        <f t="shared" si="150"/>
        <v>2.214727558899525E-4</v>
      </c>
      <c r="J297" s="4">
        <f t="shared" si="166"/>
        <v>1685.4379559964455</v>
      </c>
      <c r="K297" s="40">
        <f t="shared" si="167"/>
        <v>7.6101367376939217</v>
      </c>
      <c r="L297" s="40">
        <f t="shared" si="151"/>
        <v>0</v>
      </c>
      <c r="M297" s="10">
        <f t="shared" si="168"/>
        <v>6.2682517267138049</v>
      </c>
      <c r="N297" s="10">
        <f t="shared" si="147"/>
        <v>17.20418640980624</v>
      </c>
      <c r="O297" s="10">
        <f t="shared" si="148"/>
        <v>-0.14810000000000001</v>
      </c>
      <c r="P297" s="10">
        <f t="shared" si="169"/>
        <v>13.109217027610537</v>
      </c>
      <c r="Q297" s="45">
        <f t="shared" si="170"/>
        <v>0.66059971308324006</v>
      </c>
      <c r="R297" s="4">
        <f t="shared" si="171"/>
        <v>1084177.1201401795</v>
      </c>
      <c r="S297">
        <f t="shared" si="152"/>
        <v>1.0841771201401795E-3</v>
      </c>
      <c r="T297" s="44">
        <f t="shared" si="153"/>
        <v>9.9221927434182434E-4</v>
      </c>
      <c r="U297" s="45">
        <f t="shared" si="172"/>
        <v>1.9353103683062276</v>
      </c>
      <c r="V297" s="45">
        <f t="shared" si="173"/>
        <v>1.5556851430691558</v>
      </c>
      <c r="W297" s="45">
        <f t="shared" si="174"/>
        <v>1.5364814363887069</v>
      </c>
      <c r="X297" s="45">
        <f t="shared" si="175"/>
        <v>1.9203706680448906E-2</v>
      </c>
      <c r="Y297" s="45">
        <f t="shared" si="149"/>
        <v>1.9224623809833197E-2</v>
      </c>
      <c r="Z297" s="10">
        <f t="shared" si="176"/>
        <v>19.375378313010096</v>
      </c>
      <c r="AA297">
        <f t="shared" si="154"/>
        <v>6269921.7681682566</v>
      </c>
      <c r="AB297" s="10">
        <f t="shared" si="155"/>
        <v>6.2699217681682562</v>
      </c>
      <c r="AC297" s="10">
        <f t="shared" si="156"/>
        <v>6.1689217681682562</v>
      </c>
      <c r="AD297" s="3">
        <f t="shared" si="157"/>
        <v>894.69496275101619</v>
      </c>
      <c r="AI297" s="100">
        <f t="shared" si="158"/>
        <v>1.5364814363887069</v>
      </c>
    </row>
    <row r="298" spans="2:35">
      <c r="B298" s="39">
        <f t="shared" si="159"/>
        <v>270</v>
      </c>
      <c r="C298" s="45">
        <f t="shared" si="160"/>
        <v>7.9316546762586322</v>
      </c>
      <c r="D298" s="10">
        <f t="shared" si="161"/>
        <v>16.568345323741596</v>
      </c>
      <c r="E298" s="40">
        <f t="shared" si="162"/>
        <v>35.863309352516808</v>
      </c>
      <c r="F298" s="40">
        <f t="shared" si="163"/>
        <v>69</v>
      </c>
      <c r="G298" s="3">
        <f t="shared" si="164"/>
        <v>396.54676258993277</v>
      </c>
      <c r="H298" s="3">
        <f t="shared" si="165"/>
        <v>221.47275588995251</v>
      </c>
      <c r="I298">
        <f t="shared" si="150"/>
        <v>2.214727558899525E-4</v>
      </c>
      <c r="J298" s="4">
        <f t="shared" si="166"/>
        <v>1688.7450335683397</v>
      </c>
      <c r="K298" s="40">
        <f t="shared" si="167"/>
        <v>7.6250689471144675</v>
      </c>
      <c r="L298" s="40">
        <f t="shared" si="151"/>
        <v>0</v>
      </c>
      <c r="M298" s="10">
        <f t="shared" si="168"/>
        <v>6.2699217681682562</v>
      </c>
      <c r="N298" s="10">
        <f t="shared" si="147"/>
        <v>17.20418640980624</v>
      </c>
      <c r="O298" s="10">
        <f t="shared" si="148"/>
        <v>-0.14810000000000001</v>
      </c>
      <c r="P298" s="10">
        <f t="shared" si="169"/>
        <v>13.108699842254296</v>
      </c>
      <c r="Q298" s="45">
        <f t="shared" si="170"/>
        <v>0.66284070564195796</v>
      </c>
      <c r="R298" s="4">
        <f t="shared" si="171"/>
        <v>1082223.5561949192</v>
      </c>
      <c r="S298">
        <f t="shared" si="152"/>
        <v>1.0822235561949191E-3</v>
      </c>
      <c r="T298" s="44">
        <f t="shared" si="153"/>
        <v>9.9417283828708469E-4</v>
      </c>
      <c r="U298" s="45">
        <f t="shared" si="172"/>
        <v>1.9318231589857404</v>
      </c>
      <c r="V298" s="45">
        <f t="shared" si="173"/>
        <v>1.5561003569249938</v>
      </c>
      <c r="W298" s="45">
        <f t="shared" si="174"/>
        <v>1.5368975030268905</v>
      </c>
      <c r="X298" s="45">
        <f t="shared" si="175"/>
        <v>1.9202853898103278E-2</v>
      </c>
      <c r="Y298" s="45">
        <f t="shared" si="149"/>
        <v>1.9267657262524992E-2</v>
      </c>
      <c r="Z298" s="10">
        <f t="shared" si="176"/>
        <v>19.380591100962185</v>
      </c>
      <c r="AA298">
        <f t="shared" si="154"/>
        <v>6271581.4663971635</v>
      </c>
      <c r="AB298" s="10">
        <f t="shared" si="155"/>
        <v>6.2715814663971639</v>
      </c>
      <c r="AC298" s="10">
        <f t="shared" si="156"/>
        <v>6.1705814663971639</v>
      </c>
      <c r="AD298" s="3">
        <f t="shared" si="157"/>
        <v>894.93567315404835</v>
      </c>
      <c r="AI298" s="100">
        <f t="shared" si="158"/>
        <v>1.5368975030268905</v>
      </c>
    </row>
    <row r="299" spans="2:35">
      <c r="B299" s="39">
        <f t="shared" si="159"/>
        <v>271</v>
      </c>
      <c r="C299" s="45">
        <f t="shared" si="160"/>
        <v>7.9610311750595901</v>
      </c>
      <c r="D299" s="10">
        <f t="shared" si="161"/>
        <v>16.538968824940639</v>
      </c>
      <c r="E299" s="40">
        <f t="shared" si="162"/>
        <v>35.922062350118722</v>
      </c>
      <c r="F299" s="40">
        <f t="shared" si="163"/>
        <v>69</v>
      </c>
      <c r="G299" s="3">
        <f t="shared" si="164"/>
        <v>396.31175059952511</v>
      </c>
      <c r="H299" s="3">
        <f t="shared" si="165"/>
        <v>221.47275588995251</v>
      </c>
      <c r="I299">
        <f t="shared" si="150"/>
        <v>2.214727558899525E-4</v>
      </c>
      <c r="J299" s="4">
        <f t="shared" si="166"/>
        <v>1692.0575333952083</v>
      </c>
      <c r="K299" s="40">
        <f t="shared" si="167"/>
        <v>7.6400256392527757</v>
      </c>
      <c r="L299" s="40">
        <f t="shared" si="151"/>
        <v>0</v>
      </c>
      <c r="M299" s="10">
        <f t="shared" si="168"/>
        <v>6.2715814663971639</v>
      </c>
      <c r="N299" s="10">
        <f t="shared" si="147"/>
        <v>17.20418640980624</v>
      </c>
      <c r="O299" s="10">
        <f t="shared" si="148"/>
        <v>-0.14810000000000001</v>
      </c>
      <c r="P299" s="10">
        <f t="shared" si="169"/>
        <v>13.108186016698919</v>
      </c>
      <c r="Q299" s="45">
        <f t="shared" si="170"/>
        <v>0.66508178604496215</v>
      </c>
      <c r="R299" s="4">
        <f t="shared" si="171"/>
        <v>1080269.3977520629</v>
      </c>
      <c r="S299">
        <f t="shared" si="152"/>
        <v>1.0802693977520629E-3</v>
      </c>
      <c r="T299" s="44">
        <f t="shared" si="153"/>
        <v>9.9612699672994094E-4</v>
      </c>
      <c r="U299" s="45">
        <f t="shared" si="172"/>
        <v>1.9283348884573199</v>
      </c>
      <c r="V299" s="45">
        <f t="shared" si="173"/>
        <v>1.5565128871522977</v>
      </c>
      <c r="W299" s="45">
        <f t="shared" si="174"/>
        <v>1.5373109928002484</v>
      </c>
      <c r="X299" s="45">
        <f t="shared" si="175"/>
        <v>1.9201894352049331E-2</v>
      </c>
      <c r="Y299" s="45">
        <f t="shared" si="149"/>
        <v>1.9310690251657926E-2</v>
      </c>
      <c r="Z299" s="10">
        <f t="shared" si="176"/>
        <v>19.385771407712614</v>
      </c>
      <c r="AA299">
        <f t="shared" si="154"/>
        <v>6273230.8229445424</v>
      </c>
      <c r="AB299" s="10">
        <f t="shared" si="155"/>
        <v>6.2732308229445426</v>
      </c>
      <c r="AC299" s="10">
        <f t="shared" si="156"/>
        <v>6.1722308229445426</v>
      </c>
      <c r="AD299" s="3">
        <f t="shared" si="157"/>
        <v>895.17488367578574</v>
      </c>
      <c r="AI299" s="100">
        <f t="shared" si="158"/>
        <v>1.5373109928002484</v>
      </c>
    </row>
    <row r="300" spans="2:35">
      <c r="B300" s="39">
        <f t="shared" si="159"/>
        <v>272</v>
      </c>
      <c r="C300" s="45">
        <f t="shared" si="160"/>
        <v>7.9904076738605481</v>
      </c>
      <c r="D300" s="10">
        <f t="shared" si="161"/>
        <v>16.509592326139682</v>
      </c>
      <c r="E300" s="40">
        <f t="shared" si="162"/>
        <v>35.980815347720636</v>
      </c>
      <c r="F300" s="40">
        <f t="shared" si="163"/>
        <v>69</v>
      </c>
      <c r="G300" s="3">
        <f t="shared" si="164"/>
        <v>396.07673860911746</v>
      </c>
      <c r="H300" s="3">
        <f t="shared" si="165"/>
        <v>221.47275588995251</v>
      </c>
      <c r="I300">
        <f t="shared" si="150"/>
        <v>2.214727558899525E-4</v>
      </c>
      <c r="J300" s="4">
        <f t="shared" si="166"/>
        <v>1695.3754554770508</v>
      </c>
      <c r="K300" s="40">
        <f t="shared" si="167"/>
        <v>7.6550068141088428</v>
      </c>
      <c r="L300" s="40">
        <f t="shared" si="151"/>
        <v>0</v>
      </c>
      <c r="M300" s="10">
        <f t="shared" si="168"/>
        <v>6.2732308229445426</v>
      </c>
      <c r="N300" s="10">
        <f t="shared" si="147"/>
        <v>17.20418640980624</v>
      </c>
      <c r="O300" s="10">
        <f t="shared" si="148"/>
        <v>-0.14810000000000001</v>
      </c>
      <c r="P300" s="10">
        <f t="shared" si="169"/>
        <v>13.107675547458708</v>
      </c>
      <c r="Q300" s="45">
        <f t="shared" si="170"/>
        <v>0.66732295372527239</v>
      </c>
      <c r="R300" s="4">
        <f t="shared" si="171"/>
        <v>1078314.6486344957</v>
      </c>
      <c r="S300">
        <f t="shared" si="152"/>
        <v>1.0783146486344956E-3</v>
      </c>
      <c r="T300" s="44">
        <f t="shared" si="153"/>
        <v>9.9808174584750816E-4</v>
      </c>
      <c r="U300" s="45">
        <f t="shared" si="172"/>
        <v>1.9248455635450066</v>
      </c>
      <c r="V300" s="45">
        <f t="shared" si="173"/>
        <v>1.5569227340590288</v>
      </c>
      <c r="W300" s="45">
        <f t="shared" si="174"/>
        <v>1.5377219060934513</v>
      </c>
      <c r="X300" s="45">
        <f t="shared" si="175"/>
        <v>1.9200827965577538E-2</v>
      </c>
      <c r="Y300" s="45">
        <f t="shared" si="149"/>
        <v>1.9353722526729573E-2</v>
      </c>
      <c r="Z300" s="10">
        <f t="shared" si="176"/>
        <v>19.390919238078652</v>
      </c>
      <c r="AA300">
        <f t="shared" si="154"/>
        <v>6274869.8393441634</v>
      </c>
      <c r="AB300" s="10">
        <f t="shared" si="155"/>
        <v>6.2748698393441638</v>
      </c>
      <c r="AC300" s="10">
        <f t="shared" si="156"/>
        <v>6.1738698393441638</v>
      </c>
      <c r="AD300" s="3">
        <f t="shared" si="157"/>
        <v>895.41259453867485</v>
      </c>
      <c r="AI300" s="100">
        <f t="shared" si="158"/>
        <v>1.5377219060934513</v>
      </c>
    </row>
    <row r="301" spans="2:35">
      <c r="B301" s="39">
        <f t="shared" si="159"/>
        <v>273</v>
      </c>
      <c r="C301" s="45">
        <f t="shared" si="160"/>
        <v>8.019784172661506</v>
      </c>
      <c r="D301" s="10">
        <f t="shared" si="161"/>
        <v>16.480215827338725</v>
      </c>
      <c r="E301" s="40">
        <f t="shared" si="162"/>
        <v>36.03956834532255</v>
      </c>
      <c r="F301" s="40">
        <f t="shared" si="163"/>
        <v>69</v>
      </c>
      <c r="G301" s="3">
        <f t="shared" si="164"/>
        <v>395.8417266187098</v>
      </c>
      <c r="H301" s="3">
        <f t="shared" si="165"/>
        <v>221.47275588995251</v>
      </c>
      <c r="I301">
        <f t="shared" si="150"/>
        <v>2.214727558899525E-4</v>
      </c>
      <c r="J301" s="4">
        <f t="shared" si="166"/>
        <v>1698.6987998138675</v>
      </c>
      <c r="K301" s="40">
        <f t="shared" si="167"/>
        <v>7.6700124716826714</v>
      </c>
      <c r="L301" s="40">
        <f t="shared" si="151"/>
        <v>0</v>
      </c>
      <c r="M301" s="10">
        <f t="shared" si="168"/>
        <v>6.2748698393441638</v>
      </c>
      <c r="N301" s="10">
        <f t="shared" si="147"/>
        <v>17.20418640980624</v>
      </c>
      <c r="O301" s="10">
        <f t="shared" si="148"/>
        <v>-0.14810000000000001</v>
      </c>
      <c r="P301" s="10">
        <f t="shared" si="169"/>
        <v>13.10716843107326</v>
      </c>
      <c r="Q301" s="45">
        <f t="shared" si="170"/>
        <v>0.66956420811636685</v>
      </c>
      <c r="R301" s="4">
        <f t="shared" si="171"/>
        <v>1076359.3126651021</v>
      </c>
      <c r="S301">
        <f t="shared" si="152"/>
        <v>1.076359312665102E-3</v>
      </c>
      <c r="T301" s="44">
        <f t="shared" si="153"/>
        <v>1.0000370818169018E-3</v>
      </c>
      <c r="U301" s="45">
        <f t="shared" si="172"/>
        <v>1.9213551910728406</v>
      </c>
      <c r="V301" s="45">
        <f t="shared" si="173"/>
        <v>1.5573298979512791</v>
      </c>
      <c r="W301" s="45">
        <f t="shared" si="174"/>
        <v>1.5381302432886148</v>
      </c>
      <c r="X301" s="45">
        <f t="shared" si="175"/>
        <v>1.9199654662664267E-2</v>
      </c>
      <c r="Y301" s="45">
        <f t="shared" si="149"/>
        <v>1.9396753837049766E-2</v>
      </c>
      <c r="Z301" s="10">
        <f t="shared" si="176"/>
        <v>19.396034596846224</v>
      </c>
      <c r="AA301">
        <f t="shared" si="154"/>
        <v>6276498.5171198165</v>
      </c>
      <c r="AB301" s="10">
        <f t="shared" si="155"/>
        <v>6.2764985171198164</v>
      </c>
      <c r="AC301" s="10">
        <f t="shared" si="156"/>
        <v>6.1754985171198165</v>
      </c>
      <c r="AD301" s="3">
        <f t="shared" si="157"/>
        <v>895.64880596371518</v>
      </c>
      <c r="AI301" s="100">
        <f t="shared" si="158"/>
        <v>1.5381302432886148</v>
      </c>
    </row>
    <row r="302" spans="2:35">
      <c r="B302" s="39">
        <f t="shared" si="159"/>
        <v>274</v>
      </c>
      <c r="C302" s="45">
        <f t="shared" si="160"/>
        <v>8.0491606714624631</v>
      </c>
      <c r="D302" s="10">
        <f t="shared" si="161"/>
        <v>16.450839328537768</v>
      </c>
      <c r="E302" s="40">
        <f t="shared" si="162"/>
        <v>36.098321342924464</v>
      </c>
      <c r="F302" s="40">
        <f t="shared" si="163"/>
        <v>69</v>
      </c>
      <c r="G302" s="3">
        <f t="shared" si="164"/>
        <v>395.60671462830214</v>
      </c>
      <c r="H302" s="3">
        <f t="shared" si="165"/>
        <v>221.47275588995251</v>
      </c>
      <c r="I302">
        <f t="shared" si="150"/>
        <v>2.214727558899525E-4</v>
      </c>
      <c r="J302" s="4">
        <f t="shared" si="166"/>
        <v>1702.0275664056576</v>
      </c>
      <c r="K302" s="40">
        <f t="shared" si="167"/>
        <v>7.6850426119742563</v>
      </c>
      <c r="L302" s="40">
        <f t="shared" si="151"/>
        <v>0</v>
      </c>
      <c r="M302" s="10">
        <f t="shared" si="168"/>
        <v>6.2764985171198164</v>
      </c>
      <c r="N302" s="10">
        <f t="shared" si="147"/>
        <v>17.20418640980624</v>
      </c>
      <c r="O302" s="10">
        <f t="shared" si="148"/>
        <v>-0.14810000000000001</v>
      </c>
      <c r="P302" s="10">
        <f t="shared" si="169"/>
        <v>13.106664664107329</v>
      </c>
      <c r="Q302" s="45">
        <f t="shared" si="170"/>
        <v>0.67180554865217879</v>
      </c>
      <c r="R302" s="4">
        <f t="shared" si="171"/>
        <v>1074403.3936667675</v>
      </c>
      <c r="S302">
        <f t="shared" si="152"/>
        <v>1.0744033936667676E-3</v>
      </c>
      <c r="T302" s="44">
        <f t="shared" si="153"/>
        <v>1.0019930008152362E-3</v>
      </c>
      <c r="U302" s="45">
        <f t="shared" si="172"/>
        <v>1.9178637778648635</v>
      </c>
      <c r="V302" s="45">
        <f t="shared" si="173"/>
        <v>1.5577343791323106</v>
      </c>
      <c r="W302" s="45">
        <f t="shared" si="174"/>
        <v>1.5385360047653698</v>
      </c>
      <c r="X302" s="45">
        <f t="shared" si="175"/>
        <v>1.9198374366940829E-2</v>
      </c>
      <c r="Y302" s="45">
        <f t="shared" si="149"/>
        <v>1.9439783931740083E-2</v>
      </c>
      <c r="Z302" s="10">
        <f t="shared" si="176"/>
        <v>19.401117488768474</v>
      </c>
      <c r="AA302">
        <f t="shared" si="154"/>
        <v>6278116.8577848524</v>
      </c>
      <c r="AB302" s="10">
        <f t="shared" si="155"/>
        <v>6.2781168577848527</v>
      </c>
      <c r="AC302" s="10">
        <f t="shared" si="156"/>
        <v>6.1771168577848528</v>
      </c>
      <c r="AD302" s="3">
        <f t="shared" si="157"/>
        <v>895.88351817039188</v>
      </c>
      <c r="AI302" s="100">
        <f t="shared" si="158"/>
        <v>1.5385360047653698</v>
      </c>
    </row>
    <row r="303" spans="2:35">
      <c r="B303" s="39">
        <f t="shared" si="159"/>
        <v>275</v>
      </c>
      <c r="C303" s="45">
        <f t="shared" si="160"/>
        <v>8.0785371702634201</v>
      </c>
      <c r="D303" s="10">
        <f t="shared" si="161"/>
        <v>16.421462829736811</v>
      </c>
      <c r="E303" s="40">
        <f t="shared" si="162"/>
        <v>36.157074340526378</v>
      </c>
      <c r="F303" s="40">
        <f t="shared" si="163"/>
        <v>69</v>
      </c>
      <c r="G303" s="3">
        <f t="shared" si="164"/>
        <v>395.37170263789449</v>
      </c>
      <c r="H303" s="3">
        <f t="shared" si="165"/>
        <v>221.47275588995251</v>
      </c>
      <c r="I303">
        <f t="shared" si="150"/>
        <v>2.214727558899525E-4</v>
      </c>
      <c r="J303" s="4">
        <f t="shared" si="166"/>
        <v>1705.3617552524215</v>
      </c>
      <c r="K303" s="40">
        <f t="shared" si="167"/>
        <v>7.7000972349836019</v>
      </c>
      <c r="L303" s="40">
        <f t="shared" si="151"/>
        <v>0</v>
      </c>
      <c r="M303" s="10">
        <f t="shared" si="168"/>
        <v>6.2781168577848527</v>
      </c>
      <c r="N303" s="10">
        <f t="shared" si="147"/>
        <v>17.20418640980624</v>
      </c>
      <c r="O303" s="10">
        <f t="shared" si="148"/>
        <v>-0.14810000000000001</v>
      </c>
      <c r="P303" s="10">
        <f t="shared" si="169"/>
        <v>13.106164243150882</v>
      </c>
      <c r="Q303" s="45">
        <f t="shared" si="170"/>
        <v>0.6740469747670933</v>
      </c>
      <c r="R303" s="4">
        <f t="shared" si="171"/>
        <v>1072446.8954623765</v>
      </c>
      <c r="S303">
        <f t="shared" si="152"/>
        <v>1.0724468954623765E-3</v>
      </c>
      <c r="T303" s="44">
        <f t="shared" si="153"/>
        <v>1.0039494990196273E-3</v>
      </c>
      <c r="U303" s="45">
        <f t="shared" si="172"/>
        <v>1.9143713307451151</v>
      </c>
      <c r="V303" s="45">
        <f t="shared" si="173"/>
        <v>1.5581361779045693</v>
      </c>
      <c r="W303" s="45">
        <f t="shared" si="174"/>
        <v>1.538939190900745</v>
      </c>
      <c r="X303" s="45">
        <f t="shared" si="175"/>
        <v>1.9196987003824217E-2</v>
      </c>
      <c r="Y303" s="45">
        <f t="shared" si="149"/>
        <v>1.948281255973813E-2</v>
      </c>
      <c r="Z303" s="10">
        <f t="shared" si="176"/>
        <v>19.406167918569018</v>
      </c>
      <c r="AA303">
        <f t="shared" si="154"/>
        <v>6279724.8628432238</v>
      </c>
      <c r="AB303" s="10">
        <f t="shared" si="155"/>
        <v>6.2797248628432243</v>
      </c>
      <c r="AC303" s="10">
        <f t="shared" si="156"/>
        <v>6.1787248628432243</v>
      </c>
      <c r="AD303" s="3">
        <f t="shared" si="157"/>
        <v>896.11673137682726</v>
      </c>
      <c r="AI303" s="100">
        <f t="shared" si="158"/>
        <v>1.538939190900745</v>
      </c>
    </row>
    <row r="304" spans="2:35">
      <c r="B304" s="39">
        <f t="shared" si="159"/>
        <v>276</v>
      </c>
      <c r="C304" s="45">
        <f t="shared" si="160"/>
        <v>8.1079136690643772</v>
      </c>
      <c r="D304" s="10">
        <f t="shared" si="161"/>
        <v>16.392086330935854</v>
      </c>
      <c r="E304" s="40">
        <f t="shared" si="162"/>
        <v>36.215827338128292</v>
      </c>
      <c r="F304" s="40">
        <f t="shared" si="163"/>
        <v>69</v>
      </c>
      <c r="G304" s="3">
        <f t="shared" si="164"/>
        <v>395.13669064748683</v>
      </c>
      <c r="H304" s="3">
        <f t="shared" si="165"/>
        <v>221.47275588995251</v>
      </c>
      <c r="I304">
        <f t="shared" si="150"/>
        <v>2.214727558899525E-4</v>
      </c>
      <c r="J304" s="4">
        <f t="shared" si="166"/>
        <v>1708.7013663541597</v>
      </c>
      <c r="K304" s="40">
        <f t="shared" si="167"/>
        <v>7.7151763407107081</v>
      </c>
      <c r="L304" s="40">
        <f t="shared" si="151"/>
        <v>0</v>
      </c>
      <c r="M304" s="10">
        <f t="shared" si="168"/>
        <v>6.2797248628432243</v>
      </c>
      <c r="N304" s="10">
        <f t="shared" si="147"/>
        <v>17.20418640980624</v>
      </c>
      <c r="O304" s="10">
        <f t="shared" si="148"/>
        <v>-0.14810000000000001</v>
      </c>
      <c r="P304" s="10">
        <f t="shared" si="169"/>
        <v>13.105667164818716</v>
      </c>
      <c r="Q304" s="45">
        <f t="shared" si="170"/>
        <v>0.67628848589594426</v>
      </c>
      <c r="R304" s="4">
        <f t="shared" si="171"/>
        <v>1070489.8218748139</v>
      </c>
      <c r="S304">
        <f t="shared" si="152"/>
        <v>1.0704898218748139E-3</v>
      </c>
      <c r="T304" s="44">
        <f t="shared" si="153"/>
        <v>1.0059065726071899E-3</v>
      </c>
      <c r="U304" s="45">
        <f t="shared" si="172"/>
        <v>1.9108778565376365</v>
      </c>
      <c r="V304" s="45">
        <f t="shared" si="173"/>
        <v>1.5585352945668429</v>
      </c>
      <c r="W304" s="45">
        <f t="shared" si="174"/>
        <v>1.5393398020694291</v>
      </c>
      <c r="X304" s="45">
        <f t="shared" si="175"/>
        <v>1.9195492497413813E-2</v>
      </c>
      <c r="Y304" s="45">
        <f t="shared" si="149"/>
        <v>1.9525839469794859E-2</v>
      </c>
      <c r="Z304" s="10">
        <f t="shared" si="176"/>
        <v>19.41118589093837</v>
      </c>
      <c r="AA304">
        <f t="shared" si="154"/>
        <v>6281322.533788342</v>
      </c>
      <c r="AB304" s="10">
        <f t="shared" si="155"/>
        <v>6.2813225337883418</v>
      </c>
      <c r="AC304" s="10">
        <f t="shared" si="156"/>
        <v>6.1803225337883418</v>
      </c>
      <c r="AD304" s="3">
        <f t="shared" si="157"/>
        <v>896.34844579961452</v>
      </c>
      <c r="AI304" s="100">
        <f t="shared" si="158"/>
        <v>1.5393398020694291</v>
      </c>
    </row>
    <row r="305" spans="2:35">
      <c r="B305" s="39">
        <f t="shared" si="159"/>
        <v>277</v>
      </c>
      <c r="C305" s="45">
        <f t="shared" si="160"/>
        <v>8.1372901678653342</v>
      </c>
      <c r="D305" s="10">
        <f t="shared" si="161"/>
        <v>16.362709832134897</v>
      </c>
      <c r="E305" s="40">
        <f t="shared" si="162"/>
        <v>36.274580335730207</v>
      </c>
      <c r="F305" s="40">
        <f t="shared" si="163"/>
        <v>69</v>
      </c>
      <c r="G305" s="3">
        <f t="shared" si="164"/>
        <v>394.90167865707917</v>
      </c>
      <c r="H305" s="3">
        <f t="shared" si="165"/>
        <v>221.47275588995251</v>
      </c>
      <c r="I305">
        <f t="shared" si="150"/>
        <v>2.214727558899525E-4</v>
      </c>
      <c r="J305" s="4">
        <f t="shared" si="166"/>
        <v>1712.0463997108718</v>
      </c>
      <c r="K305" s="40">
        <f t="shared" si="167"/>
        <v>7.7302799291555742</v>
      </c>
      <c r="L305" s="40">
        <f t="shared" si="151"/>
        <v>0</v>
      </c>
      <c r="M305" s="10">
        <f t="shared" si="168"/>
        <v>6.2813225337883418</v>
      </c>
      <c r="N305" s="10">
        <f t="shared" si="147"/>
        <v>17.20418640980624</v>
      </c>
      <c r="O305" s="10">
        <f t="shared" si="148"/>
        <v>-0.14810000000000001</v>
      </c>
      <c r="P305" s="10">
        <f t="shared" si="169"/>
        <v>13.105173425750738</v>
      </c>
      <c r="Q305" s="45">
        <f t="shared" si="170"/>
        <v>0.67853008147401084</v>
      </c>
      <c r="R305" s="4">
        <f t="shared" si="171"/>
        <v>1068532.1767269641</v>
      </c>
      <c r="S305">
        <f t="shared" si="152"/>
        <v>1.0685321767269641E-3</v>
      </c>
      <c r="T305" s="44">
        <f t="shared" si="153"/>
        <v>1.0078642177550397E-3</v>
      </c>
      <c r="U305" s="45">
        <f t="shared" si="172"/>
        <v>1.9073833620664673</v>
      </c>
      <c r="V305" s="45">
        <f t="shared" si="173"/>
        <v>1.5589317294171769</v>
      </c>
      <c r="W305" s="45">
        <f t="shared" si="174"/>
        <v>1.5397378386434832</v>
      </c>
      <c r="X305" s="45">
        <f t="shared" si="175"/>
        <v>1.9193890773693711E-2</v>
      </c>
      <c r="Y305" s="45">
        <f t="shared" si="149"/>
        <v>1.9568864410479062E-2</v>
      </c>
      <c r="Z305" s="10">
        <f t="shared" si="176"/>
        <v>19.416171410537419</v>
      </c>
      <c r="AA305">
        <f t="shared" si="154"/>
        <v>6282909.8721041856</v>
      </c>
      <c r="AB305" s="10">
        <f t="shared" si="155"/>
        <v>6.2829098721041854</v>
      </c>
      <c r="AC305" s="10">
        <f t="shared" si="156"/>
        <v>6.1819098721041854</v>
      </c>
      <c r="AD305" s="3">
        <f t="shared" si="157"/>
        <v>896.57866165397911</v>
      </c>
      <c r="AI305" s="100">
        <f t="shared" si="158"/>
        <v>1.5397378386434832</v>
      </c>
    </row>
    <row r="306" spans="2:35">
      <c r="B306" s="39">
        <f t="shared" si="159"/>
        <v>278</v>
      </c>
      <c r="C306" s="45">
        <f t="shared" si="160"/>
        <v>8.1666666666662913</v>
      </c>
      <c r="D306" s="10">
        <f t="shared" si="161"/>
        <v>16.33333333333394</v>
      </c>
      <c r="E306" s="40">
        <f t="shared" si="162"/>
        <v>36.333333333332121</v>
      </c>
      <c r="F306" s="40">
        <f t="shared" si="163"/>
        <v>69</v>
      </c>
      <c r="G306" s="3">
        <f t="shared" si="164"/>
        <v>394.66666666667152</v>
      </c>
      <c r="H306" s="3">
        <f t="shared" si="165"/>
        <v>221.47275588995251</v>
      </c>
      <c r="I306">
        <f t="shared" si="150"/>
        <v>2.214727558899525E-4</v>
      </c>
      <c r="J306" s="4">
        <f t="shared" si="166"/>
        <v>1715.3968553225582</v>
      </c>
      <c r="K306" s="40">
        <f t="shared" si="167"/>
        <v>7.7454080003182009</v>
      </c>
      <c r="L306" s="40">
        <f t="shared" si="151"/>
        <v>0</v>
      </c>
      <c r="M306" s="10">
        <f t="shared" si="168"/>
        <v>6.2829098721041854</v>
      </c>
      <c r="N306" s="10">
        <f t="shared" si="147"/>
        <v>17.20418640980624</v>
      </c>
      <c r="O306" s="10">
        <f t="shared" si="148"/>
        <v>-0.14810000000000001</v>
      </c>
      <c r="P306" s="10">
        <f t="shared" si="169"/>
        <v>13.104683022611558</v>
      </c>
      <c r="Q306" s="45">
        <f t="shared" si="170"/>
        <v>0.6807717609370143</v>
      </c>
      <c r="R306" s="4">
        <f t="shared" si="171"/>
        <v>1066573.9638417121</v>
      </c>
      <c r="S306">
        <f t="shared" si="152"/>
        <v>1.0665739638417121E-3</v>
      </c>
      <c r="T306" s="44">
        <f t="shared" si="153"/>
        <v>1.0098224306402917E-3</v>
      </c>
      <c r="U306" s="45">
        <f t="shared" si="172"/>
        <v>1.9038878541556483</v>
      </c>
      <c r="V306" s="45">
        <f t="shared" si="173"/>
        <v>1.5593254827501539</v>
      </c>
      <c r="W306" s="45">
        <f t="shared" si="174"/>
        <v>1.5401333009926197</v>
      </c>
      <c r="X306" s="45">
        <f t="shared" si="175"/>
        <v>1.9192181757534232E-2</v>
      </c>
      <c r="Y306" s="45">
        <f t="shared" si="149"/>
        <v>1.9611887130175157E-2</v>
      </c>
      <c r="Z306" s="10">
        <f t="shared" si="176"/>
        <v>19.421124481994298</v>
      </c>
      <c r="AA306">
        <f t="shared" si="154"/>
        <v>6284486.8792643044</v>
      </c>
      <c r="AB306" s="10">
        <f t="shared" si="155"/>
        <v>6.2844868792643043</v>
      </c>
      <c r="AC306" s="10">
        <f t="shared" si="156"/>
        <v>6.1834868792643043</v>
      </c>
      <c r="AD306" s="3">
        <f t="shared" si="157"/>
        <v>896.80737915363375</v>
      </c>
      <c r="AI306" s="100">
        <f t="shared" si="158"/>
        <v>1.5401333009926197</v>
      </c>
    </row>
    <row r="307" spans="2:35">
      <c r="B307" s="39">
        <f t="shared" si="159"/>
        <v>279</v>
      </c>
      <c r="C307" s="45">
        <f t="shared" si="160"/>
        <v>8.1960431654672483</v>
      </c>
      <c r="D307" s="10">
        <f t="shared" si="161"/>
        <v>16.303956834532983</v>
      </c>
      <c r="E307" s="40">
        <f t="shared" si="162"/>
        <v>36.392086330934035</v>
      </c>
      <c r="F307" s="40">
        <f t="shared" si="163"/>
        <v>69</v>
      </c>
      <c r="G307" s="3">
        <f t="shared" si="164"/>
        <v>394.43165467626386</v>
      </c>
      <c r="H307" s="3">
        <f t="shared" si="165"/>
        <v>221.47275588995251</v>
      </c>
      <c r="I307">
        <f t="shared" si="150"/>
        <v>2.214727558899525E-4</v>
      </c>
      <c r="J307" s="4">
        <f t="shared" si="166"/>
        <v>1718.7527331892179</v>
      </c>
      <c r="K307" s="40">
        <f t="shared" si="167"/>
        <v>7.7605605541985856</v>
      </c>
      <c r="L307" s="40">
        <f t="shared" si="151"/>
        <v>0</v>
      </c>
      <c r="M307" s="10">
        <f t="shared" si="168"/>
        <v>6.2844868792643043</v>
      </c>
      <c r="N307" s="10">
        <f t="shared" si="147"/>
        <v>17.20418640980624</v>
      </c>
      <c r="O307" s="10">
        <f t="shared" si="148"/>
        <v>-0.14810000000000001</v>
      </c>
      <c r="P307" s="10">
        <f t="shared" si="169"/>
        <v>13.104195952090738</v>
      </c>
      <c r="Q307" s="45">
        <f t="shared" si="170"/>
        <v>0.68301352372111479</v>
      </c>
      <c r="R307" s="4">
        <f t="shared" si="171"/>
        <v>1064615.1870419432</v>
      </c>
      <c r="S307">
        <f t="shared" si="152"/>
        <v>1.0646151870419432E-3</v>
      </c>
      <c r="T307" s="44">
        <f t="shared" si="153"/>
        <v>1.0117812074400606E-3</v>
      </c>
      <c r="U307" s="45">
        <f t="shared" si="172"/>
        <v>1.9003913396292207</v>
      </c>
      <c r="V307" s="45">
        <f t="shared" si="173"/>
        <v>1.5597165548586867</v>
      </c>
      <c r="W307" s="45">
        <f t="shared" si="174"/>
        <v>1.5405261894839519</v>
      </c>
      <c r="X307" s="45">
        <f t="shared" si="175"/>
        <v>1.919036537473473E-2</v>
      </c>
      <c r="Y307" s="45">
        <f t="shared" si="149"/>
        <v>1.9654907377085529E-2</v>
      </c>
      <c r="Z307" s="10">
        <f t="shared" si="176"/>
        <v>19.426045109905754</v>
      </c>
      <c r="AA307">
        <f t="shared" si="154"/>
        <v>6286053.5567322569</v>
      </c>
      <c r="AB307" s="10">
        <f t="shared" si="155"/>
        <v>6.2860535567322566</v>
      </c>
      <c r="AC307" s="10">
        <f t="shared" si="156"/>
        <v>6.1850535567322567</v>
      </c>
      <c r="AD307" s="3">
        <f t="shared" si="157"/>
        <v>897.03459851084222</v>
      </c>
      <c r="AI307" s="100">
        <f t="shared" si="158"/>
        <v>1.5405261894839519</v>
      </c>
    </row>
    <row r="308" spans="2:35">
      <c r="B308" s="39">
        <f t="shared" si="159"/>
        <v>280</v>
      </c>
      <c r="C308" s="45">
        <f t="shared" si="160"/>
        <v>8.2254196642682054</v>
      </c>
      <c r="D308" s="10">
        <f t="shared" si="161"/>
        <v>16.274580335732026</v>
      </c>
      <c r="E308" s="40">
        <f t="shared" si="162"/>
        <v>36.450839328535949</v>
      </c>
      <c r="F308" s="40">
        <f t="shared" si="163"/>
        <v>69</v>
      </c>
      <c r="G308" s="3">
        <f t="shared" si="164"/>
        <v>394.1966426858562</v>
      </c>
      <c r="H308" s="3">
        <f t="shared" si="165"/>
        <v>221.47275588995251</v>
      </c>
      <c r="I308">
        <f t="shared" si="150"/>
        <v>2.214727558899525E-4</v>
      </c>
      <c r="J308" s="4">
        <f t="shared" si="166"/>
        <v>1722.1140333108515</v>
      </c>
      <c r="K308" s="40">
        <f t="shared" si="167"/>
        <v>7.7757375907967292</v>
      </c>
      <c r="L308" s="40">
        <f t="shared" si="151"/>
        <v>0</v>
      </c>
      <c r="M308" s="10">
        <f t="shared" si="168"/>
        <v>6.2860535567322566</v>
      </c>
      <c r="N308" s="10">
        <f t="shared" si="147"/>
        <v>17.20418640980624</v>
      </c>
      <c r="O308" s="10">
        <f t="shared" si="148"/>
        <v>-0.14810000000000001</v>
      </c>
      <c r="P308" s="10">
        <f t="shared" si="169"/>
        <v>13.103712210902566</v>
      </c>
      <c r="Q308" s="45">
        <f t="shared" si="170"/>
        <v>0.68525536926290831</v>
      </c>
      <c r="R308" s="4">
        <f t="shared" si="171"/>
        <v>1062655.8501505416</v>
      </c>
      <c r="S308">
        <f t="shared" si="152"/>
        <v>1.0626558501505416E-3</v>
      </c>
      <c r="T308" s="44">
        <f t="shared" si="153"/>
        <v>1.0137405443314622E-3</v>
      </c>
      <c r="U308" s="45">
        <f t="shared" si="172"/>
        <v>1.8968938253112244</v>
      </c>
      <c r="V308" s="45">
        <f t="shared" si="173"/>
        <v>1.5601049460339704</v>
      </c>
      <c r="W308" s="45">
        <f t="shared" si="174"/>
        <v>1.5409165044821045</v>
      </c>
      <c r="X308" s="45">
        <f t="shared" si="175"/>
        <v>1.9188441551865942E-2</v>
      </c>
      <c r="Y308" s="45">
        <f t="shared" si="149"/>
        <v>1.9697924899232545E-2</v>
      </c>
      <c r="Z308" s="10">
        <f t="shared" si="176"/>
        <v>19.430933298838173</v>
      </c>
      <c r="AA308">
        <f t="shared" si="154"/>
        <v>6287609.9059619317</v>
      </c>
      <c r="AB308" s="10">
        <f t="shared" si="155"/>
        <v>6.2876099059619319</v>
      </c>
      <c r="AC308" s="10">
        <f t="shared" si="156"/>
        <v>6.1866099059619319</v>
      </c>
      <c r="AD308" s="3">
        <f t="shared" si="157"/>
        <v>897.26031993646575</v>
      </c>
      <c r="AI308" s="100">
        <f t="shared" si="158"/>
        <v>1.5409165044821045</v>
      </c>
    </row>
    <row r="309" spans="2:35">
      <c r="B309" s="39">
        <f t="shared" si="159"/>
        <v>281</v>
      </c>
      <c r="C309" s="45">
        <f t="shared" si="160"/>
        <v>8.2547961630691624</v>
      </c>
      <c r="D309" s="10">
        <f t="shared" si="161"/>
        <v>16.245203836931069</v>
      </c>
      <c r="E309" s="40">
        <f t="shared" si="162"/>
        <v>36.509592326137863</v>
      </c>
      <c r="F309" s="40">
        <f t="shared" si="163"/>
        <v>69</v>
      </c>
      <c r="G309" s="3">
        <f t="shared" si="164"/>
        <v>393.96163069544855</v>
      </c>
      <c r="H309" s="3">
        <f t="shared" si="165"/>
        <v>221.47275588995251</v>
      </c>
      <c r="I309">
        <f t="shared" si="150"/>
        <v>2.214727558899525E-4</v>
      </c>
      <c r="J309" s="4">
        <f t="shared" si="166"/>
        <v>1725.4807556874589</v>
      </c>
      <c r="K309" s="40">
        <f t="shared" si="167"/>
        <v>7.7909391101126326</v>
      </c>
      <c r="L309" s="40">
        <f t="shared" si="151"/>
        <v>0</v>
      </c>
      <c r="M309" s="10">
        <f t="shared" si="168"/>
        <v>6.2876099059619319</v>
      </c>
      <c r="N309" s="10">
        <f t="shared" si="147"/>
        <v>17.20418640980624</v>
      </c>
      <c r="O309" s="10">
        <f t="shared" si="148"/>
        <v>-0.14810000000000001</v>
      </c>
      <c r="P309" s="10">
        <f t="shared" si="169"/>
        <v>13.103231795785911</v>
      </c>
      <c r="Q309" s="45">
        <f t="shared" si="170"/>
        <v>0.6874972969994233</v>
      </c>
      <c r="R309" s="4">
        <f t="shared" si="171"/>
        <v>1060695.9569903924</v>
      </c>
      <c r="S309">
        <f t="shared" si="152"/>
        <v>1.0606959569903925E-3</v>
      </c>
      <c r="T309" s="44">
        <f t="shared" si="153"/>
        <v>1.0157004374916113E-3</v>
      </c>
      <c r="U309" s="45">
        <f t="shared" si="172"/>
        <v>1.8933953180257002</v>
      </c>
      <c r="V309" s="45">
        <f t="shared" si="173"/>
        <v>1.5604906565644157</v>
      </c>
      <c r="W309" s="45">
        <f t="shared" si="174"/>
        <v>1.5413042463492923</v>
      </c>
      <c r="X309" s="45">
        <f t="shared" si="175"/>
        <v>1.9186410215123351E-2</v>
      </c>
      <c r="Y309" s="45">
        <f t="shared" si="149"/>
        <v>1.9740939444457983E-2</v>
      </c>
      <c r="Z309" s="10">
        <f t="shared" si="176"/>
        <v>19.435789053326094</v>
      </c>
      <c r="AA309">
        <f t="shared" si="154"/>
        <v>6289155.9283970799</v>
      </c>
      <c r="AB309" s="10">
        <f t="shared" si="155"/>
        <v>6.2891559283970802</v>
      </c>
      <c r="AC309" s="10">
        <f t="shared" si="156"/>
        <v>6.1881559283970802</v>
      </c>
      <c r="AD309" s="3">
        <f t="shared" si="157"/>
        <v>897.48454363989561</v>
      </c>
      <c r="AI309" s="100">
        <f t="shared" si="158"/>
        <v>1.5413042463492923</v>
      </c>
    </row>
    <row r="310" spans="2:35">
      <c r="B310" s="39">
        <f t="shared" si="159"/>
        <v>282</v>
      </c>
      <c r="C310" s="45">
        <f t="shared" si="160"/>
        <v>8.2841726618701195</v>
      </c>
      <c r="D310" s="10">
        <f t="shared" si="161"/>
        <v>16.215827338130111</v>
      </c>
      <c r="E310" s="40">
        <f t="shared" si="162"/>
        <v>36.568345323739777</v>
      </c>
      <c r="F310" s="40">
        <f t="shared" si="163"/>
        <v>69</v>
      </c>
      <c r="G310" s="3">
        <f t="shared" si="164"/>
        <v>393.72661870504089</v>
      </c>
      <c r="H310" s="3">
        <f t="shared" si="165"/>
        <v>221.47275588995251</v>
      </c>
      <c r="I310">
        <f t="shared" si="150"/>
        <v>2.214727558899525E-4</v>
      </c>
      <c r="J310" s="4">
        <f t="shared" si="166"/>
        <v>1728.8529003190411</v>
      </c>
      <c r="K310" s="40">
        <f t="shared" si="167"/>
        <v>7.8061651121462994</v>
      </c>
      <c r="L310" s="40">
        <f t="shared" si="151"/>
        <v>0</v>
      </c>
      <c r="M310" s="10">
        <f t="shared" si="168"/>
        <v>6.2891559283970802</v>
      </c>
      <c r="N310" s="10">
        <f t="shared" si="147"/>
        <v>17.20418640980624</v>
      </c>
      <c r="O310" s="10">
        <f t="shared" si="148"/>
        <v>-0.14810000000000001</v>
      </c>
      <c r="P310" s="10">
        <f t="shared" si="169"/>
        <v>13.102754703504301</v>
      </c>
      <c r="Q310" s="45">
        <f t="shared" si="170"/>
        <v>0.68973930636811742</v>
      </c>
      <c r="R310" s="4">
        <f t="shared" si="171"/>
        <v>1058735.5113843803</v>
      </c>
      <c r="S310">
        <f t="shared" si="152"/>
        <v>1.0587355113843803E-3</v>
      </c>
      <c r="T310" s="44">
        <f t="shared" si="153"/>
        <v>1.0176608830976235E-3</v>
      </c>
      <c r="U310" s="45">
        <f t="shared" si="172"/>
        <v>1.8898958245966881</v>
      </c>
      <c r="V310" s="45">
        <f t="shared" si="173"/>
        <v>1.5608736867367894</v>
      </c>
      <c r="W310" s="45">
        <f t="shared" si="174"/>
        <v>1.541689415445205</v>
      </c>
      <c r="X310" s="45">
        <f t="shared" si="175"/>
        <v>1.9184271291584398E-2</v>
      </c>
      <c r="Y310" s="45">
        <f t="shared" si="149"/>
        <v>1.9783950760425287E-2</v>
      </c>
      <c r="Z310" s="10">
        <f t="shared" si="176"/>
        <v>19.44061237787345</v>
      </c>
      <c r="AA310">
        <f t="shared" si="154"/>
        <v>6290691.6254717102</v>
      </c>
      <c r="AB310" s="10">
        <f t="shared" si="155"/>
        <v>6.2906916254717098</v>
      </c>
      <c r="AC310" s="10">
        <f t="shared" si="156"/>
        <v>6.1896916254717098</v>
      </c>
      <c r="AD310" s="3">
        <f t="shared" si="157"/>
        <v>897.70726982910958</v>
      </c>
      <c r="AI310" s="100">
        <f t="shared" si="158"/>
        <v>1.541689415445205</v>
      </c>
    </row>
    <row r="311" spans="2:35">
      <c r="B311" s="39">
        <f t="shared" si="159"/>
        <v>283</v>
      </c>
      <c r="C311" s="45">
        <f t="shared" si="160"/>
        <v>8.3135491606710765</v>
      </c>
      <c r="D311" s="10">
        <f t="shared" si="161"/>
        <v>16.186450839329154</v>
      </c>
      <c r="E311" s="40">
        <f t="shared" si="162"/>
        <v>36.627098321341691</v>
      </c>
      <c r="F311" s="40">
        <f t="shared" si="163"/>
        <v>69</v>
      </c>
      <c r="G311" s="3">
        <f t="shared" si="164"/>
        <v>393.49160671463324</v>
      </c>
      <c r="H311" s="3">
        <f t="shared" si="165"/>
        <v>221.47275588995251</v>
      </c>
      <c r="I311">
        <f t="shared" si="150"/>
        <v>2.214727558899525E-4</v>
      </c>
      <c r="J311" s="4">
        <f t="shared" si="166"/>
        <v>1732.2304672055966</v>
      </c>
      <c r="K311" s="40">
        <f t="shared" si="167"/>
        <v>7.8214155968977233</v>
      </c>
      <c r="L311" s="40">
        <f t="shared" si="151"/>
        <v>0</v>
      </c>
      <c r="M311" s="10">
        <f t="shared" si="168"/>
        <v>6.2906916254717098</v>
      </c>
      <c r="N311" s="10">
        <f t="shared" si="147"/>
        <v>17.20418640980624</v>
      </c>
      <c r="O311" s="10">
        <f t="shared" si="148"/>
        <v>-0.14810000000000001</v>
      </c>
      <c r="P311" s="10">
        <f t="shared" si="169"/>
        <v>13.102280930845721</v>
      </c>
      <c r="Q311" s="45">
        <f t="shared" si="170"/>
        <v>0.69198139680687443</v>
      </c>
      <c r="R311" s="4">
        <f t="shared" si="171"/>
        <v>1056774.51715539</v>
      </c>
      <c r="S311">
        <f t="shared" si="152"/>
        <v>1.05677451715539E-3</v>
      </c>
      <c r="T311" s="44">
        <f t="shared" si="153"/>
        <v>1.0196218773266138E-3</v>
      </c>
      <c r="U311" s="45">
        <f t="shared" si="172"/>
        <v>1.8863953518482288</v>
      </c>
      <c r="V311" s="45">
        <f t="shared" si="173"/>
        <v>1.5612540368353551</v>
      </c>
      <c r="W311" s="45">
        <f t="shared" si="174"/>
        <v>1.5420720121271057</v>
      </c>
      <c r="X311" s="45">
        <f t="shared" si="175"/>
        <v>1.9182024708249479E-2</v>
      </c>
      <c r="Y311" s="45">
        <f t="shared" si="149"/>
        <v>1.9826958594619654E-2</v>
      </c>
      <c r="Z311" s="10">
        <f t="shared" si="176"/>
        <v>19.445403276952753</v>
      </c>
      <c r="AA311">
        <f t="shared" si="154"/>
        <v>6292216.9986098213</v>
      </c>
      <c r="AB311" s="10">
        <f t="shared" si="155"/>
        <v>6.2922169986098213</v>
      </c>
      <c r="AC311" s="10">
        <f t="shared" si="156"/>
        <v>6.1912169986098213</v>
      </c>
      <c r="AD311" s="3">
        <f t="shared" si="157"/>
        <v>897.92849871063402</v>
      </c>
      <c r="AI311" s="100">
        <f t="shared" si="158"/>
        <v>1.5420720121271057</v>
      </c>
    </row>
    <row r="312" spans="2:35">
      <c r="B312" s="39">
        <f t="shared" si="159"/>
        <v>284</v>
      </c>
      <c r="C312" s="45">
        <f t="shared" si="160"/>
        <v>8.3429256594720336</v>
      </c>
      <c r="D312" s="10">
        <f t="shared" si="161"/>
        <v>16.157074340528197</v>
      </c>
      <c r="E312" s="40">
        <f t="shared" si="162"/>
        <v>36.685851318943605</v>
      </c>
      <c r="F312" s="40">
        <f t="shared" si="163"/>
        <v>69</v>
      </c>
      <c r="G312" s="3">
        <f t="shared" si="164"/>
        <v>393.25659472422558</v>
      </c>
      <c r="H312" s="3">
        <f t="shared" si="165"/>
        <v>221.47275588995251</v>
      </c>
      <c r="I312">
        <f t="shared" si="150"/>
        <v>2.214727558899525E-4</v>
      </c>
      <c r="J312" s="4">
        <f t="shared" si="166"/>
        <v>1735.613456347126</v>
      </c>
      <c r="K312" s="40">
        <f t="shared" si="167"/>
        <v>7.836690564366906</v>
      </c>
      <c r="L312" s="40">
        <f t="shared" si="151"/>
        <v>0</v>
      </c>
      <c r="M312" s="10">
        <f t="shared" si="168"/>
        <v>6.2922169986098213</v>
      </c>
      <c r="N312" s="10">
        <f t="shared" si="147"/>
        <v>17.20418640980624</v>
      </c>
      <c r="O312" s="10">
        <f t="shared" si="148"/>
        <v>-0.14810000000000001</v>
      </c>
      <c r="P312" s="10">
        <f t="shared" si="169"/>
        <v>13.101810474622646</v>
      </c>
      <c r="Q312" s="45">
        <f t="shared" si="170"/>
        <v>0.69422356775400107</v>
      </c>
      <c r="R312" s="4">
        <f t="shared" si="171"/>
        <v>1054812.9781263066</v>
      </c>
      <c r="S312">
        <f t="shared" si="152"/>
        <v>1.0548129781263065E-3</v>
      </c>
      <c r="T312" s="44">
        <f t="shared" si="153"/>
        <v>1.0215834163556973E-3</v>
      </c>
      <c r="U312" s="45">
        <f t="shared" si="172"/>
        <v>1.8828939066043635</v>
      </c>
      <c r="V312" s="45">
        <f t="shared" si="173"/>
        <v>1.5616317071418817</v>
      </c>
      <c r="W312" s="45">
        <f t="shared" si="174"/>
        <v>1.5424520367497623</v>
      </c>
      <c r="X312" s="45">
        <f t="shared" si="175"/>
        <v>1.917967039211943E-2</v>
      </c>
      <c r="Y312" s="45">
        <f t="shared" si="149"/>
        <v>1.986996269434833E-2</v>
      </c>
      <c r="Z312" s="10">
        <f t="shared" si="176"/>
        <v>19.450161755004412</v>
      </c>
      <c r="AA312">
        <f t="shared" si="154"/>
        <v>6293732.0492251953</v>
      </c>
      <c r="AB312" s="10">
        <f t="shared" si="155"/>
        <v>6.2937320492251949</v>
      </c>
      <c r="AC312" s="10">
        <f t="shared" si="156"/>
        <v>6.1927320492251949</v>
      </c>
      <c r="AD312" s="3">
        <f t="shared" si="157"/>
        <v>898.14823048951348</v>
      </c>
      <c r="AI312" s="100">
        <f t="shared" si="158"/>
        <v>1.5424520367497623</v>
      </c>
    </row>
    <row r="313" spans="2:35">
      <c r="B313" s="39">
        <f t="shared" si="159"/>
        <v>285</v>
      </c>
      <c r="C313" s="45">
        <f t="shared" si="160"/>
        <v>8.3723021582729906</v>
      </c>
      <c r="D313" s="10">
        <f t="shared" si="161"/>
        <v>16.12769784172724</v>
      </c>
      <c r="E313" s="40">
        <f t="shared" si="162"/>
        <v>36.744604316545519</v>
      </c>
      <c r="F313" s="40">
        <f t="shared" si="163"/>
        <v>69</v>
      </c>
      <c r="G313" s="3">
        <f t="shared" si="164"/>
        <v>393.02158273381792</v>
      </c>
      <c r="H313" s="3">
        <f t="shared" si="165"/>
        <v>221.47275588995251</v>
      </c>
      <c r="I313">
        <f t="shared" si="150"/>
        <v>2.214727558899525E-4</v>
      </c>
      <c r="J313" s="4">
        <f t="shared" si="166"/>
        <v>1739.0018677436292</v>
      </c>
      <c r="K313" s="40">
        <f t="shared" si="167"/>
        <v>7.8519900145538486</v>
      </c>
      <c r="L313" s="40">
        <f t="shared" si="151"/>
        <v>0</v>
      </c>
      <c r="M313" s="10">
        <f t="shared" si="168"/>
        <v>6.2937320492251949</v>
      </c>
      <c r="N313" s="10">
        <f t="shared" si="147"/>
        <v>17.20418640980624</v>
      </c>
      <c r="O313" s="10">
        <f t="shared" si="148"/>
        <v>-0.14810000000000001</v>
      </c>
      <c r="P313" s="10">
        <f t="shared" si="169"/>
        <v>13.101343331672036</v>
      </c>
      <c r="Q313" s="45">
        <f t="shared" si="170"/>
        <v>0.69646581864822354</v>
      </c>
      <c r="R313" s="4">
        <f t="shared" si="171"/>
        <v>1052850.8981200147</v>
      </c>
      <c r="S313">
        <f t="shared" si="152"/>
        <v>1.0528508981200147E-3</v>
      </c>
      <c r="T313" s="44">
        <f t="shared" si="153"/>
        <v>1.0235454963619891E-3</v>
      </c>
      <c r="U313" s="45">
        <f t="shared" si="172"/>
        <v>1.8793914956891322</v>
      </c>
      <c r="V313" s="45">
        <f t="shared" si="173"/>
        <v>1.5620066979372484</v>
      </c>
      <c r="W313" s="45">
        <f t="shared" si="174"/>
        <v>1.5428294896653987</v>
      </c>
      <c r="X313" s="45">
        <f t="shared" si="175"/>
        <v>1.9177208271849766E-2</v>
      </c>
      <c r="Y313" s="45">
        <f t="shared" si="149"/>
        <v>1.9912962806744577E-2</v>
      </c>
      <c r="Z313" s="10">
        <f t="shared" si="176"/>
        <v>19.45488781643969</v>
      </c>
      <c r="AA313">
        <f t="shared" si="154"/>
        <v>6295236.7787223328</v>
      </c>
      <c r="AB313" s="10">
        <f t="shared" si="155"/>
        <v>6.2952367787223329</v>
      </c>
      <c r="AC313" s="10">
        <f t="shared" si="156"/>
        <v>6.1942367787223329</v>
      </c>
      <c r="AD313" s="3">
        <f t="shared" si="157"/>
        <v>898.36646536944636</v>
      </c>
      <c r="AI313" s="100">
        <f t="shared" si="158"/>
        <v>1.5428294896653987</v>
      </c>
    </row>
    <row r="314" spans="2:35">
      <c r="B314" s="39">
        <f t="shared" si="159"/>
        <v>286</v>
      </c>
      <c r="C314" s="45">
        <f t="shared" si="160"/>
        <v>8.4016786570739477</v>
      </c>
      <c r="D314" s="10">
        <f t="shared" si="161"/>
        <v>16.098321342926283</v>
      </c>
      <c r="E314" s="40">
        <f t="shared" si="162"/>
        <v>36.803357314147433</v>
      </c>
      <c r="F314" s="40">
        <f t="shared" si="163"/>
        <v>69</v>
      </c>
      <c r="G314" s="3">
        <f t="shared" si="164"/>
        <v>392.78657074341027</v>
      </c>
      <c r="H314" s="3">
        <f t="shared" si="165"/>
        <v>221.47275588995251</v>
      </c>
      <c r="I314">
        <f t="shared" si="150"/>
        <v>2.214727558899525E-4</v>
      </c>
      <c r="J314" s="4">
        <f t="shared" si="166"/>
        <v>1742.3957013951062</v>
      </c>
      <c r="K314" s="40">
        <f t="shared" si="167"/>
        <v>7.8673139474585509</v>
      </c>
      <c r="L314" s="40">
        <f t="shared" si="151"/>
        <v>0</v>
      </c>
      <c r="M314" s="10">
        <f t="shared" si="168"/>
        <v>6.2952367787223329</v>
      </c>
      <c r="N314" s="10">
        <f t="shared" si="147"/>
        <v>17.20418640980624</v>
      </c>
      <c r="O314" s="10">
        <f t="shared" si="148"/>
        <v>-0.14810000000000001</v>
      </c>
      <c r="P314" s="10">
        <f t="shared" si="169"/>
        <v>13.100879498854976</v>
      </c>
      <c r="Q314" s="45">
        <f t="shared" si="170"/>
        <v>0.69870814892868494</v>
      </c>
      <c r="R314" s="4">
        <f t="shared" si="171"/>
        <v>1050888.280959399</v>
      </c>
      <c r="S314">
        <f t="shared" si="152"/>
        <v>1.050888280959399E-3</v>
      </c>
      <c r="T314" s="44">
        <f t="shared" si="153"/>
        <v>1.0255081135226048E-3</v>
      </c>
      <c r="U314" s="45">
        <f t="shared" si="172"/>
        <v>1.8758881259265752</v>
      </c>
      <c r="V314" s="45">
        <f t="shared" si="173"/>
        <v>1.5623790094990753</v>
      </c>
      <c r="W314" s="45">
        <f t="shared" si="174"/>
        <v>1.5432043712239258</v>
      </c>
      <c r="X314" s="45">
        <f t="shared" si="175"/>
        <v>1.9174638275149425E-2</v>
      </c>
      <c r="Y314" s="45">
        <f t="shared" si="149"/>
        <v>1.9955958678765838E-2</v>
      </c>
      <c r="Z314" s="10">
        <f t="shared" si="176"/>
        <v>19.459581465637967</v>
      </c>
      <c r="AA314">
        <f t="shared" si="154"/>
        <v>6296731.1884955838</v>
      </c>
      <c r="AB314" s="10">
        <f t="shared" si="155"/>
        <v>6.2967311884955839</v>
      </c>
      <c r="AC314" s="10">
        <f t="shared" si="156"/>
        <v>6.1957311884955839</v>
      </c>
      <c r="AD314" s="3">
        <f t="shared" si="157"/>
        <v>898.58320355265903</v>
      </c>
      <c r="AI314" s="100">
        <f t="shared" si="158"/>
        <v>1.5432043712239258</v>
      </c>
    </row>
    <row r="315" spans="2:35">
      <c r="B315" s="39">
        <f t="shared" si="159"/>
        <v>287</v>
      </c>
      <c r="C315" s="45">
        <f t="shared" si="160"/>
        <v>8.4310551558749047</v>
      </c>
      <c r="D315" s="10">
        <f t="shared" si="161"/>
        <v>16.068944844125326</v>
      </c>
      <c r="E315" s="40">
        <f t="shared" si="162"/>
        <v>36.862110311749348</v>
      </c>
      <c r="F315" s="40">
        <f t="shared" si="163"/>
        <v>69</v>
      </c>
      <c r="G315" s="3">
        <f t="shared" si="164"/>
        <v>392.55155875300261</v>
      </c>
      <c r="H315" s="3">
        <f t="shared" si="165"/>
        <v>221.47275588995251</v>
      </c>
      <c r="I315">
        <f t="shared" si="150"/>
        <v>2.214727558899525E-4</v>
      </c>
      <c r="J315" s="4">
        <f t="shared" si="166"/>
        <v>1745.7949573015576</v>
      </c>
      <c r="K315" s="40">
        <f t="shared" si="167"/>
        <v>7.882662363081014</v>
      </c>
      <c r="L315" s="40">
        <f t="shared" si="151"/>
        <v>0</v>
      </c>
      <c r="M315" s="10">
        <f t="shared" si="168"/>
        <v>6.2967311884955839</v>
      </c>
      <c r="N315" s="10">
        <f t="shared" si="147"/>
        <v>17.20418640980624</v>
      </c>
      <c r="O315" s="10">
        <f t="shared" si="148"/>
        <v>-0.14810000000000001</v>
      </c>
      <c r="P315" s="10">
        <f t="shared" si="169"/>
        <v>13.100418973056895</v>
      </c>
      <c r="Q315" s="45">
        <f t="shared" si="170"/>
        <v>0.70095055803494144</v>
      </c>
      <c r="R315" s="4">
        <f t="shared" si="171"/>
        <v>1048925.1304673445</v>
      </c>
      <c r="S315">
        <f t="shared" si="152"/>
        <v>1.0489251304673446E-3</v>
      </c>
      <c r="T315" s="44">
        <f t="shared" si="153"/>
        <v>1.0274712640146592E-3</v>
      </c>
      <c r="U315" s="45">
        <f t="shared" si="172"/>
        <v>1.8723838041407332</v>
      </c>
      <c r="V315" s="45">
        <f t="shared" si="173"/>
        <v>1.5627486421030758</v>
      </c>
      <c r="W315" s="45">
        <f t="shared" si="174"/>
        <v>1.543576681772725</v>
      </c>
      <c r="X315" s="45">
        <f t="shared" si="175"/>
        <v>1.9171960330350846E-2</v>
      </c>
      <c r="Y315" s="45">
        <f t="shared" si="149"/>
        <v>1.9998950057195406E-2</v>
      </c>
      <c r="Z315" s="10">
        <f t="shared" si="176"/>
        <v>19.464242706947449</v>
      </c>
      <c r="AA315">
        <f t="shared" si="154"/>
        <v>6298215.2799293725</v>
      </c>
      <c r="AB315" s="10">
        <f t="shared" si="155"/>
        <v>6.2982152799293729</v>
      </c>
      <c r="AC315" s="10">
        <f t="shared" si="156"/>
        <v>6.1972152799293729</v>
      </c>
      <c r="AD315" s="3">
        <f t="shared" si="157"/>
        <v>898.79844523993802</v>
      </c>
      <c r="AI315" s="100">
        <f t="shared" si="158"/>
        <v>1.543576681772725</v>
      </c>
    </row>
    <row r="316" spans="2:35">
      <c r="B316" s="39">
        <f t="shared" si="159"/>
        <v>288</v>
      </c>
      <c r="C316" s="45">
        <f t="shared" si="160"/>
        <v>8.4604316546758618</v>
      </c>
      <c r="D316" s="10">
        <f t="shared" si="161"/>
        <v>16.039568345324369</v>
      </c>
      <c r="E316" s="40">
        <f t="shared" si="162"/>
        <v>36.920863309351262</v>
      </c>
      <c r="F316" s="40">
        <f t="shared" si="163"/>
        <v>69</v>
      </c>
      <c r="G316" s="3">
        <f t="shared" si="164"/>
        <v>392.31654676259495</v>
      </c>
      <c r="H316" s="3">
        <f t="shared" si="165"/>
        <v>221.47275588995251</v>
      </c>
      <c r="I316">
        <f t="shared" si="150"/>
        <v>2.214727558899525E-4</v>
      </c>
      <c r="J316" s="4">
        <f t="shared" si="166"/>
        <v>1749.1996354629828</v>
      </c>
      <c r="K316" s="40">
        <f t="shared" si="167"/>
        <v>7.8980352614212368</v>
      </c>
      <c r="L316" s="40">
        <f t="shared" si="151"/>
        <v>0</v>
      </c>
      <c r="M316" s="10">
        <f t="shared" si="168"/>
        <v>6.2982152799293729</v>
      </c>
      <c r="N316" s="10">
        <f t="shared" si="147"/>
        <v>17.20418640980624</v>
      </c>
      <c r="O316" s="10">
        <f t="shared" si="148"/>
        <v>-0.14810000000000001</v>
      </c>
      <c r="P316" s="10">
        <f t="shared" si="169"/>
        <v>13.099961751187426</v>
      </c>
      <c r="Q316" s="45">
        <f t="shared" si="170"/>
        <v>0.70319304540695948</v>
      </c>
      <c r="R316" s="4">
        <f t="shared" si="171"/>
        <v>1046961.4504667359</v>
      </c>
      <c r="S316">
        <f t="shared" si="152"/>
        <v>1.0469614504667359E-3</v>
      </c>
      <c r="T316" s="44">
        <f t="shared" si="153"/>
        <v>1.0294349440152679E-3</v>
      </c>
      <c r="U316" s="45">
        <f t="shared" si="172"/>
        <v>1.8688785371556469</v>
      </c>
      <c r="V316" s="45">
        <f t="shared" si="173"/>
        <v>1.5631155960231422</v>
      </c>
      <c r="W316" s="45">
        <f t="shared" si="174"/>
        <v>1.5439464216567069</v>
      </c>
      <c r="X316" s="45">
        <f t="shared" si="175"/>
        <v>1.9169174366435282E-2</v>
      </c>
      <c r="Y316" s="45">
        <f t="shared" si="149"/>
        <v>2.0041936688644148E-2</v>
      </c>
      <c r="Z316" s="10">
        <f t="shared" si="176"/>
        <v>19.468871544685875</v>
      </c>
      <c r="AA316">
        <f t="shared" si="154"/>
        <v>6299689.0543984221</v>
      </c>
      <c r="AB316" s="10">
        <f t="shared" si="155"/>
        <v>6.2996890543984225</v>
      </c>
      <c r="AC316" s="10">
        <f t="shared" si="156"/>
        <v>6.1986890543984225</v>
      </c>
      <c r="AD316" s="3">
        <f t="shared" si="157"/>
        <v>899.0121906306631</v>
      </c>
      <c r="AI316" s="100">
        <f t="shared" si="158"/>
        <v>1.5439464216567069</v>
      </c>
    </row>
    <row r="317" spans="2:35">
      <c r="B317" s="39">
        <f t="shared" si="159"/>
        <v>289</v>
      </c>
      <c r="C317" s="45">
        <f t="shared" si="160"/>
        <v>8.4898081534768188</v>
      </c>
      <c r="D317" s="10">
        <f t="shared" si="161"/>
        <v>16.010191846523412</v>
      </c>
      <c r="E317" s="40">
        <f t="shared" si="162"/>
        <v>36.979616306953176</v>
      </c>
      <c r="F317" s="40">
        <f t="shared" si="163"/>
        <v>69</v>
      </c>
      <c r="G317" s="3">
        <f t="shared" si="164"/>
        <v>392.0815347721873</v>
      </c>
      <c r="H317" s="3">
        <f t="shared" si="165"/>
        <v>221.47275588995251</v>
      </c>
      <c r="I317">
        <f t="shared" si="150"/>
        <v>2.214727558899525E-4</v>
      </c>
      <c r="J317" s="4">
        <f t="shared" si="166"/>
        <v>1752.6097358793813</v>
      </c>
      <c r="K317" s="40">
        <f t="shared" si="167"/>
        <v>7.9134326424792167</v>
      </c>
      <c r="L317" s="40">
        <f t="shared" si="151"/>
        <v>0</v>
      </c>
      <c r="M317" s="10">
        <f t="shared" si="168"/>
        <v>6.2996890543984225</v>
      </c>
      <c r="N317" s="10">
        <f t="shared" si="147"/>
        <v>17.20418640980624</v>
      </c>
      <c r="O317" s="10">
        <f t="shared" si="148"/>
        <v>-0.14810000000000001</v>
      </c>
      <c r="P317" s="10">
        <f t="shared" si="169"/>
        <v>13.099507830180272</v>
      </c>
      <c r="Q317" s="45">
        <f t="shared" si="170"/>
        <v>0.70543561048511272</v>
      </c>
      <c r="R317" s="4">
        <f t="shared" si="171"/>
        <v>1044997.2447804582</v>
      </c>
      <c r="S317">
        <f t="shared" si="152"/>
        <v>1.0449972447804583E-3</v>
      </c>
      <c r="T317" s="44">
        <f t="shared" si="153"/>
        <v>1.0313991497015455E-3</v>
      </c>
      <c r="U317" s="45">
        <f t="shared" si="172"/>
        <v>1.865372331795357</v>
      </c>
      <c r="V317" s="45">
        <f t="shared" si="173"/>
        <v>1.5634798715305387</v>
      </c>
      <c r="W317" s="45">
        <f t="shared" si="174"/>
        <v>1.5443135912183623</v>
      </c>
      <c r="X317" s="45">
        <f t="shared" si="175"/>
        <v>1.9166280312176376E-2</v>
      </c>
      <c r="Y317" s="45">
        <f t="shared" si="149"/>
        <v>2.0084918319550331E-2</v>
      </c>
      <c r="Z317" s="10">
        <f t="shared" si="176"/>
        <v>19.473467983139479</v>
      </c>
      <c r="AA317">
        <f t="shared" si="154"/>
        <v>6301152.5132674258</v>
      </c>
      <c r="AB317" s="10">
        <f t="shared" si="155"/>
        <v>6.301152513267426</v>
      </c>
      <c r="AC317" s="10">
        <f t="shared" si="156"/>
        <v>6.200152513267426</v>
      </c>
      <c r="AD317" s="3">
        <f t="shared" si="157"/>
        <v>899.22443992275942</v>
      </c>
      <c r="AI317" s="100">
        <f t="shared" si="158"/>
        <v>1.5443135912183623</v>
      </c>
    </row>
    <row r="318" spans="2:35">
      <c r="B318" s="39">
        <f t="shared" si="159"/>
        <v>290</v>
      </c>
      <c r="C318" s="45">
        <f t="shared" si="160"/>
        <v>8.5191846522777759</v>
      </c>
      <c r="D318" s="10">
        <f t="shared" si="161"/>
        <v>15.980815347722455</v>
      </c>
      <c r="E318" s="40">
        <f t="shared" si="162"/>
        <v>37.03836930455509</v>
      </c>
      <c r="F318" s="40">
        <f t="shared" si="163"/>
        <v>69</v>
      </c>
      <c r="G318" s="3">
        <f t="shared" si="164"/>
        <v>391.84652278177964</v>
      </c>
      <c r="H318" s="3">
        <f t="shared" si="165"/>
        <v>221.47275588995251</v>
      </c>
      <c r="I318">
        <f t="shared" si="150"/>
        <v>2.214727558899525E-4</v>
      </c>
      <c r="J318" s="4">
        <f t="shared" si="166"/>
        <v>1756.0252585507546</v>
      </c>
      <c r="K318" s="40">
        <f t="shared" si="167"/>
        <v>7.92885450625496</v>
      </c>
      <c r="L318" s="40">
        <f t="shared" si="151"/>
        <v>0</v>
      </c>
      <c r="M318" s="10">
        <f t="shared" si="168"/>
        <v>6.301152513267426</v>
      </c>
      <c r="N318" s="10">
        <f t="shared" si="147"/>
        <v>17.20418640980624</v>
      </c>
      <c r="O318" s="10">
        <f t="shared" si="148"/>
        <v>-0.14810000000000001</v>
      </c>
      <c r="P318" s="10">
        <f t="shared" si="169"/>
        <v>13.099057206993256</v>
      </c>
      <c r="Q318" s="45">
        <f t="shared" si="170"/>
        <v>0.7076782527101787</v>
      </c>
      <c r="R318" s="4">
        <f t="shared" si="171"/>
        <v>1043032.5172313957</v>
      </c>
      <c r="S318">
        <f t="shared" si="152"/>
        <v>1.0430325172313957E-3</v>
      </c>
      <c r="T318" s="44">
        <f t="shared" si="153"/>
        <v>1.0333638772506081E-3</v>
      </c>
      <c r="U318" s="45">
        <f t="shared" si="172"/>
        <v>1.8618651948839031</v>
      </c>
      <c r="V318" s="45">
        <f t="shared" si="173"/>
        <v>1.5638414688953304</v>
      </c>
      <c r="W318" s="45">
        <f t="shared" si="174"/>
        <v>1.5446781907976863</v>
      </c>
      <c r="X318" s="45">
        <f t="shared" si="175"/>
        <v>1.9163278097644065E-2</v>
      </c>
      <c r="Y318" s="45">
        <f t="shared" si="149"/>
        <v>2.0127894696182789E-2</v>
      </c>
      <c r="Z318" s="10">
        <f t="shared" si="176"/>
        <v>19.47803202656506</v>
      </c>
      <c r="AA318">
        <f t="shared" si="154"/>
        <v>6302605.6578917056</v>
      </c>
      <c r="AB318" s="10">
        <f t="shared" si="155"/>
        <v>6.3026056578917053</v>
      </c>
      <c r="AC318" s="10">
        <f t="shared" si="156"/>
        <v>6.2016056578917054</v>
      </c>
      <c r="AD318" s="3">
        <f t="shared" si="157"/>
        <v>899.43519331279265</v>
      </c>
      <c r="AI318" s="100">
        <f t="shared" si="158"/>
        <v>1.5446781907976863</v>
      </c>
    </row>
    <row r="319" spans="2:35">
      <c r="B319" s="39">
        <f t="shared" si="159"/>
        <v>291</v>
      </c>
      <c r="C319" s="45">
        <f t="shared" si="160"/>
        <v>8.5485611510787329</v>
      </c>
      <c r="D319" s="10">
        <f t="shared" si="161"/>
        <v>15.951438848921498</v>
      </c>
      <c r="E319" s="40">
        <f t="shared" si="162"/>
        <v>37.097122302157004</v>
      </c>
      <c r="F319" s="40">
        <f t="shared" si="163"/>
        <v>69</v>
      </c>
      <c r="G319" s="3">
        <f t="shared" si="164"/>
        <v>391.61151079137198</v>
      </c>
      <c r="H319" s="3">
        <f t="shared" si="165"/>
        <v>221.47275588995251</v>
      </c>
      <c r="I319">
        <f t="shared" si="150"/>
        <v>2.214727558899525E-4</v>
      </c>
      <c r="J319" s="4">
        <f t="shared" si="166"/>
        <v>1759.4462034771013</v>
      </c>
      <c r="K319" s="40">
        <f t="shared" si="167"/>
        <v>7.9443008527484604</v>
      </c>
      <c r="L319" s="40">
        <f t="shared" si="151"/>
        <v>0</v>
      </c>
      <c r="M319" s="10">
        <f t="shared" si="168"/>
        <v>6.3026056578917053</v>
      </c>
      <c r="N319" s="10">
        <f t="shared" si="147"/>
        <v>17.20418640980624</v>
      </c>
      <c r="O319" s="10">
        <f t="shared" si="148"/>
        <v>-0.14810000000000001</v>
      </c>
      <c r="P319" s="10">
        <f t="shared" si="169"/>
        <v>13.098609878608046</v>
      </c>
      <c r="Q319" s="45">
        <f t="shared" si="170"/>
        <v>0.70992097152333566</v>
      </c>
      <c r="R319" s="4">
        <f t="shared" si="171"/>
        <v>1041067.2716424338</v>
      </c>
      <c r="S319">
        <f t="shared" si="152"/>
        <v>1.0410672716424339E-3</v>
      </c>
      <c r="T319" s="44">
        <f t="shared" si="153"/>
        <v>1.0353291228395699E-3</v>
      </c>
      <c r="U319" s="45">
        <f t="shared" si="172"/>
        <v>1.8583571332453266</v>
      </c>
      <c r="V319" s="45">
        <f t="shared" si="173"/>
        <v>1.5642003883841367</v>
      </c>
      <c r="W319" s="45">
        <f t="shared" si="174"/>
        <v>1.5450402207323364</v>
      </c>
      <c r="X319" s="45">
        <f t="shared" si="175"/>
        <v>1.9160167651800286E-2</v>
      </c>
      <c r="Y319" s="45">
        <f t="shared" si="149"/>
        <v>2.0170865564638724E-2</v>
      </c>
      <c r="Z319" s="10">
        <f t="shared" si="176"/>
        <v>19.482563679186985</v>
      </c>
      <c r="AA319">
        <f t="shared" si="154"/>
        <v>6304048.4896162553</v>
      </c>
      <c r="AB319" s="10">
        <f t="shared" si="155"/>
        <v>6.304048489616255</v>
      </c>
      <c r="AC319" s="10">
        <f t="shared" si="156"/>
        <v>6.203048489616255</v>
      </c>
      <c r="AD319" s="3">
        <f t="shared" si="157"/>
        <v>899.64445099583111</v>
      </c>
      <c r="AI319" s="100">
        <f t="shared" si="158"/>
        <v>1.5450402207323364</v>
      </c>
    </row>
    <row r="320" spans="2:35">
      <c r="B320" s="39">
        <f t="shared" si="159"/>
        <v>292</v>
      </c>
      <c r="C320" s="45">
        <f t="shared" si="160"/>
        <v>8.57793764987969</v>
      </c>
      <c r="D320" s="10">
        <f t="shared" si="161"/>
        <v>15.922062350120541</v>
      </c>
      <c r="E320" s="40">
        <f t="shared" si="162"/>
        <v>37.155875299758918</v>
      </c>
      <c r="F320" s="40">
        <f t="shared" si="163"/>
        <v>69</v>
      </c>
      <c r="G320" s="3">
        <f t="shared" si="164"/>
        <v>391.37649880096433</v>
      </c>
      <c r="H320" s="3">
        <f t="shared" si="165"/>
        <v>221.47275588995251</v>
      </c>
      <c r="I320">
        <f t="shared" si="150"/>
        <v>2.214727558899525E-4</v>
      </c>
      <c r="J320" s="4">
        <f t="shared" si="166"/>
        <v>1762.8725706584219</v>
      </c>
      <c r="K320" s="40">
        <f t="shared" si="167"/>
        <v>7.9597716819597206</v>
      </c>
      <c r="L320" s="40">
        <f t="shared" si="151"/>
        <v>0</v>
      </c>
      <c r="M320" s="10">
        <f t="shared" si="168"/>
        <v>6.304048489616255</v>
      </c>
      <c r="N320" s="10">
        <f t="shared" si="147"/>
        <v>17.20418640980624</v>
      </c>
      <c r="O320" s="10">
        <f t="shared" si="148"/>
        <v>-0.14810000000000001</v>
      </c>
      <c r="P320" s="10">
        <f t="shared" si="169"/>
        <v>13.098165842030399</v>
      </c>
      <c r="Q320" s="45">
        <f t="shared" si="170"/>
        <v>0.71216376636615952</v>
      </c>
      <c r="R320" s="4">
        <f t="shared" si="171"/>
        <v>1039101.5118364571</v>
      </c>
      <c r="S320">
        <f t="shared" si="152"/>
        <v>1.0391015118364571E-3</v>
      </c>
      <c r="T320" s="44">
        <f t="shared" si="153"/>
        <v>1.0372948826455467E-3</v>
      </c>
      <c r="U320" s="45">
        <f t="shared" si="172"/>
        <v>1.8548481537036676</v>
      </c>
      <c r="V320" s="45">
        <f t="shared" si="173"/>
        <v>1.5645566302626577</v>
      </c>
      <c r="W320" s="45">
        <f t="shared" si="174"/>
        <v>1.5453996813573991</v>
      </c>
      <c r="X320" s="45">
        <f t="shared" si="175"/>
        <v>1.9156948905258542E-2</v>
      </c>
      <c r="Y320" s="45">
        <f t="shared" si="149"/>
        <v>2.0213830670847678E-2</v>
      </c>
      <c r="Z320" s="10">
        <f t="shared" si="176"/>
        <v>19.487062945200059</v>
      </c>
      <c r="AA320">
        <f t="shared" si="154"/>
        <v>6305481.0097766593</v>
      </c>
      <c r="AB320" s="10">
        <f t="shared" si="155"/>
        <v>6.3054810097766589</v>
      </c>
      <c r="AC320" s="10">
        <f t="shared" si="156"/>
        <v>6.204481009776659</v>
      </c>
      <c r="AD320" s="3">
        <f t="shared" si="157"/>
        <v>899.85221316557784</v>
      </c>
      <c r="AI320" s="100">
        <f t="shared" si="158"/>
        <v>1.5453996813573991</v>
      </c>
    </row>
    <row r="321" spans="2:35">
      <c r="B321" s="39">
        <f t="shared" si="159"/>
        <v>293</v>
      </c>
      <c r="C321" s="45">
        <f t="shared" si="160"/>
        <v>8.607314148680647</v>
      </c>
      <c r="D321" s="10">
        <f t="shared" si="161"/>
        <v>15.892685851319584</v>
      </c>
      <c r="E321" s="40">
        <f t="shared" si="162"/>
        <v>37.214628297360832</v>
      </c>
      <c r="F321" s="40">
        <f t="shared" si="163"/>
        <v>69</v>
      </c>
      <c r="G321" s="3">
        <f t="shared" si="164"/>
        <v>391.14148681055667</v>
      </c>
      <c r="H321" s="3">
        <f t="shared" si="165"/>
        <v>221.47275588995251</v>
      </c>
      <c r="I321">
        <f t="shared" si="150"/>
        <v>2.214727558899525E-4</v>
      </c>
      <c r="J321" s="4">
        <f t="shared" si="166"/>
        <v>1766.3043600947167</v>
      </c>
      <c r="K321" s="40">
        <f t="shared" si="167"/>
        <v>7.9752669938887415</v>
      </c>
      <c r="L321" s="40">
        <f t="shared" si="151"/>
        <v>0</v>
      </c>
      <c r="M321" s="10">
        <f t="shared" si="168"/>
        <v>6.3054810097766589</v>
      </c>
      <c r="N321" s="10">
        <f t="shared" si="147"/>
        <v>17.20418640980624</v>
      </c>
      <c r="O321" s="10">
        <f t="shared" si="148"/>
        <v>-0.14810000000000001</v>
      </c>
      <c r="P321" s="10">
        <f t="shared" si="169"/>
        <v>13.097725094289814</v>
      </c>
      <c r="Q321" s="45">
        <f t="shared" si="170"/>
        <v>0.71440663668062088</v>
      </c>
      <c r="R321" s="4">
        <f t="shared" si="171"/>
        <v>1037135.2416363501</v>
      </c>
      <c r="S321">
        <f t="shared" si="152"/>
        <v>1.03713524163635E-3</v>
      </c>
      <c r="T321" s="44">
        <f t="shared" si="153"/>
        <v>1.0392611528456538E-3</v>
      </c>
      <c r="U321" s="45">
        <f t="shared" si="172"/>
        <v>1.8513382630829667</v>
      </c>
      <c r="V321" s="45">
        <f t="shared" si="173"/>
        <v>1.5649101947938009</v>
      </c>
      <c r="W321" s="45">
        <f t="shared" si="174"/>
        <v>1.5457565730056155</v>
      </c>
      <c r="X321" s="45">
        <f t="shared" si="175"/>
        <v>1.915362178818536E-2</v>
      </c>
      <c r="Y321" s="45">
        <f t="shared" si="149"/>
        <v>2.0256789760570819E-2</v>
      </c>
      <c r="Z321" s="10">
        <f t="shared" si="176"/>
        <v>19.491529828767941</v>
      </c>
      <c r="AA321">
        <f t="shared" si="154"/>
        <v>6306903.2196985828</v>
      </c>
      <c r="AB321" s="10">
        <f t="shared" si="155"/>
        <v>6.306903219698583</v>
      </c>
      <c r="AC321" s="10">
        <f t="shared" si="156"/>
        <v>6.2059032196985831</v>
      </c>
      <c r="AD321" s="3">
        <f t="shared" si="157"/>
        <v>900.05848001429774</v>
      </c>
      <c r="AI321" s="100">
        <f t="shared" si="158"/>
        <v>1.5457565730056155</v>
      </c>
    </row>
    <row r="322" spans="2:35">
      <c r="B322" s="39">
        <f t="shared" si="159"/>
        <v>294</v>
      </c>
      <c r="C322" s="45">
        <f t="shared" si="160"/>
        <v>8.6366906474816041</v>
      </c>
      <c r="D322" s="10">
        <f t="shared" si="161"/>
        <v>15.863309352518627</v>
      </c>
      <c r="E322" s="40">
        <f t="shared" si="162"/>
        <v>37.273381294962746</v>
      </c>
      <c r="F322" s="40">
        <f t="shared" si="163"/>
        <v>69</v>
      </c>
      <c r="G322" s="3">
        <f t="shared" si="164"/>
        <v>390.90647482014901</v>
      </c>
      <c r="H322" s="3">
        <f t="shared" si="165"/>
        <v>221.47275588995251</v>
      </c>
      <c r="I322">
        <f t="shared" si="150"/>
        <v>2.214727558899525E-4</v>
      </c>
      <c r="J322" s="4">
        <f t="shared" si="166"/>
        <v>1769.7415717859853</v>
      </c>
      <c r="K322" s="40">
        <f t="shared" si="167"/>
        <v>7.9907867885355222</v>
      </c>
      <c r="L322" s="40">
        <f t="shared" si="151"/>
        <v>0</v>
      </c>
      <c r="M322" s="10">
        <f t="shared" si="168"/>
        <v>6.306903219698583</v>
      </c>
      <c r="N322" s="10">
        <f t="shared" si="147"/>
        <v>17.20418640980624</v>
      </c>
      <c r="O322" s="10">
        <f t="shared" si="148"/>
        <v>-0.14810000000000001</v>
      </c>
      <c r="P322" s="10">
        <f t="shared" si="169"/>
        <v>13.097287632439627</v>
      </c>
      <c r="Q322" s="45">
        <f t="shared" si="170"/>
        <v>0.71664958190908157</v>
      </c>
      <c r="R322" s="4">
        <f t="shared" si="171"/>
        <v>1035168.4648649978</v>
      </c>
      <c r="S322">
        <f t="shared" si="152"/>
        <v>1.0351684648649978E-3</v>
      </c>
      <c r="T322" s="44">
        <f t="shared" si="153"/>
        <v>1.041227929617006E-3</v>
      </c>
      <c r="U322" s="45">
        <f t="shared" si="172"/>
        <v>1.8478274682072644</v>
      </c>
      <c r="V322" s="45">
        <f t="shared" si="173"/>
        <v>1.5652610822385942</v>
      </c>
      <c r="W322" s="45">
        <f t="shared" si="174"/>
        <v>1.5461108960072563</v>
      </c>
      <c r="X322" s="45">
        <f t="shared" si="175"/>
        <v>1.9150186231337907E-2</v>
      </c>
      <c r="Y322" s="45">
        <f t="shared" si="149"/>
        <v>2.0299742579402532E-2</v>
      </c>
      <c r="Z322" s="10">
        <f t="shared" si="176"/>
        <v>19.495964334023743</v>
      </c>
      <c r="AA322">
        <f t="shared" si="154"/>
        <v>6308315.1206979658</v>
      </c>
      <c r="AB322" s="10">
        <f t="shared" si="155"/>
        <v>6.3083151206979657</v>
      </c>
      <c r="AC322" s="10">
        <f t="shared" si="156"/>
        <v>6.2073151206979658</v>
      </c>
      <c r="AD322" s="3">
        <f t="shared" si="157"/>
        <v>900.26325173284499</v>
      </c>
      <c r="AI322" s="100">
        <f t="shared" si="158"/>
        <v>1.5461108960072563</v>
      </c>
    </row>
    <row r="323" spans="2:35">
      <c r="B323" s="39">
        <f t="shared" si="159"/>
        <v>295</v>
      </c>
      <c r="C323" s="45">
        <f t="shared" si="160"/>
        <v>8.6660671462825611</v>
      </c>
      <c r="D323" s="10">
        <f t="shared" si="161"/>
        <v>15.83393285371767</v>
      </c>
      <c r="E323" s="40">
        <f t="shared" si="162"/>
        <v>37.33213429256466</v>
      </c>
      <c r="F323" s="40">
        <f t="shared" si="163"/>
        <v>69</v>
      </c>
      <c r="G323" s="3">
        <f t="shared" si="164"/>
        <v>390.67146282974136</v>
      </c>
      <c r="H323" s="3">
        <f t="shared" si="165"/>
        <v>221.47275588995251</v>
      </c>
      <c r="I323">
        <f t="shared" si="150"/>
        <v>2.214727558899525E-4</v>
      </c>
      <c r="J323" s="4">
        <f t="shared" si="166"/>
        <v>1773.1842057322278</v>
      </c>
      <c r="K323" s="40">
        <f t="shared" si="167"/>
        <v>8.0063310659000617</v>
      </c>
      <c r="L323" s="40">
        <f t="shared" si="151"/>
        <v>0</v>
      </c>
      <c r="M323" s="10">
        <f t="shared" si="168"/>
        <v>6.3083151206979657</v>
      </c>
      <c r="N323" s="10">
        <f t="shared" si="147"/>
        <v>17.20418640980624</v>
      </c>
      <c r="O323" s="10">
        <f t="shared" si="148"/>
        <v>-0.14810000000000001</v>
      </c>
      <c r="P323" s="10">
        <f t="shared" si="169"/>
        <v>13.096853453556898</v>
      </c>
      <c r="Q323" s="45">
        <f t="shared" si="170"/>
        <v>0.71889260149429191</v>
      </c>
      <c r="R323" s="4">
        <f t="shared" si="171"/>
        <v>1033201.1853452852</v>
      </c>
      <c r="S323">
        <f t="shared" si="152"/>
        <v>1.0332011853452852E-3</v>
      </c>
      <c r="T323" s="44">
        <f t="shared" si="153"/>
        <v>1.0431952091367186E-3</v>
      </c>
      <c r="U323" s="45">
        <f t="shared" si="172"/>
        <v>1.8443157759006015</v>
      </c>
      <c r="V323" s="45">
        <f t="shared" si="173"/>
        <v>1.5656092928558276</v>
      </c>
      <c r="W323" s="45">
        <f t="shared" si="174"/>
        <v>1.5464626506901686</v>
      </c>
      <c r="X323" s="45">
        <f t="shared" si="175"/>
        <v>1.9146642165658978E-2</v>
      </c>
      <c r="Y323" s="45">
        <f t="shared" si="149"/>
        <v>2.034268887277112E-2</v>
      </c>
      <c r="Z323" s="10">
        <f t="shared" si="176"/>
        <v>19.500366465069778</v>
      </c>
      <c r="AA323">
        <f t="shared" si="154"/>
        <v>6309716.7140809447</v>
      </c>
      <c r="AB323" s="10">
        <f t="shared" si="155"/>
        <v>6.3097167140809445</v>
      </c>
      <c r="AC323" s="10">
        <f t="shared" si="156"/>
        <v>6.2087167140809445</v>
      </c>
      <c r="AD323" s="3">
        <f t="shared" si="157"/>
        <v>900.46652851065187</v>
      </c>
      <c r="AI323" s="100">
        <f t="shared" si="158"/>
        <v>1.5464626506901686</v>
      </c>
    </row>
    <row r="324" spans="2:35">
      <c r="B324" s="39">
        <f t="shared" si="159"/>
        <v>296</v>
      </c>
      <c r="C324" s="45">
        <f t="shared" si="160"/>
        <v>8.6954436450835182</v>
      </c>
      <c r="D324" s="10">
        <f t="shared" si="161"/>
        <v>15.804556354916713</v>
      </c>
      <c r="E324" s="40">
        <f t="shared" si="162"/>
        <v>37.390887290166575</v>
      </c>
      <c r="F324" s="40">
        <f t="shared" si="163"/>
        <v>69</v>
      </c>
      <c r="G324" s="3">
        <f t="shared" si="164"/>
        <v>390.4364508393337</v>
      </c>
      <c r="H324" s="3">
        <f t="shared" si="165"/>
        <v>221.47275588995251</v>
      </c>
      <c r="I324">
        <f t="shared" si="150"/>
        <v>2.214727558899525E-4</v>
      </c>
      <c r="J324" s="4">
        <f t="shared" si="166"/>
        <v>1776.6322619334442</v>
      </c>
      <c r="K324" s="40">
        <f t="shared" si="167"/>
        <v>8.0218998259823628</v>
      </c>
      <c r="L324" s="40">
        <f t="shared" si="151"/>
        <v>0</v>
      </c>
      <c r="M324" s="10">
        <f t="shared" si="168"/>
        <v>6.3097167140809445</v>
      </c>
      <c r="N324" s="10">
        <f t="shared" si="147"/>
        <v>17.20418640980624</v>
      </c>
      <c r="O324" s="10">
        <f t="shared" si="148"/>
        <v>-0.14810000000000001</v>
      </c>
      <c r="P324" s="10">
        <f t="shared" si="169"/>
        <v>13.096422554742377</v>
      </c>
      <c r="Q324" s="45">
        <f t="shared" si="170"/>
        <v>0.72113569487938733</v>
      </c>
      <c r="R324" s="4">
        <f t="shared" si="171"/>
        <v>1031233.4069000969</v>
      </c>
      <c r="S324">
        <f t="shared" si="152"/>
        <v>1.0312334069000968E-3</v>
      </c>
      <c r="T324" s="44">
        <f t="shared" si="153"/>
        <v>1.045162987581907E-3</v>
      </c>
      <c r="U324" s="45">
        <f t="shared" si="172"/>
        <v>1.8408031929870181</v>
      </c>
      <c r="V324" s="45">
        <f t="shared" si="173"/>
        <v>1.5659548269025474</v>
      </c>
      <c r="W324" s="45">
        <f t="shared" si="174"/>
        <v>1.5468118373797575</v>
      </c>
      <c r="X324" s="45">
        <f t="shared" si="175"/>
        <v>1.9142989522789922E-2</v>
      </c>
      <c r="Y324" s="45">
        <f t="shared" si="149"/>
        <v>2.038562838594064E-2</v>
      </c>
      <c r="Z324" s="10">
        <f t="shared" si="176"/>
        <v>19.504736225978405</v>
      </c>
      <c r="AA324">
        <f t="shared" si="154"/>
        <v>6311108.0011441149</v>
      </c>
      <c r="AB324" s="10">
        <f t="shared" si="155"/>
        <v>6.311108001144115</v>
      </c>
      <c r="AC324" s="10">
        <f t="shared" si="156"/>
        <v>6.210108001144115</v>
      </c>
      <c r="AD324" s="3">
        <f t="shared" si="157"/>
        <v>900.6683105357672</v>
      </c>
      <c r="AI324" s="100">
        <f t="shared" si="158"/>
        <v>1.5468118373797575</v>
      </c>
    </row>
    <row r="325" spans="2:35">
      <c r="B325" s="39">
        <f t="shared" si="159"/>
        <v>297</v>
      </c>
      <c r="C325" s="45">
        <f t="shared" si="160"/>
        <v>8.7248201438844752</v>
      </c>
      <c r="D325" s="10">
        <f t="shared" si="161"/>
        <v>15.775179856115756</v>
      </c>
      <c r="E325" s="40">
        <f t="shared" si="162"/>
        <v>37.449640287768489</v>
      </c>
      <c r="F325" s="40">
        <f t="shared" si="163"/>
        <v>69</v>
      </c>
      <c r="G325" s="3">
        <f t="shared" si="164"/>
        <v>390.20143884892605</v>
      </c>
      <c r="H325" s="3">
        <f t="shared" si="165"/>
        <v>221.47275588995251</v>
      </c>
      <c r="I325">
        <f t="shared" si="150"/>
        <v>2.214727558899525E-4</v>
      </c>
      <c r="J325" s="4">
        <f t="shared" si="166"/>
        <v>1780.0857403896343</v>
      </c>
      <c r="K325" s="40">
        <f t="shared" si="167"/>
        <v>8.0374930687824211</v>
      </c>
      <c r="L325" s="40">
        <f t="shared" si="151"/>
        <v>0</v>
      </c>
      <c r="M325" s="10">
        <f t="shared" si="168"/>
        <v>6.311108001144115</v>
      </c>
      <c r="N325" s="10">
        <f t="shared" si="147"/>
        <v>17.20418640980624</v>
      </c>
      <c r="O325" s="10">
        <f t="shared" si="148"/>
        <v>-0.14810000000000001</v>
      </c>
      <c r="P325" s="10">
        <f t="shared" si="169"/>
        <v>13.095994933120359</v>
      </c>
      <c r="Q325" s="45">
        <f t="shared" si="170"/>
        <v>0.72337886150788555</v>
      </c>
      <c r="R325" s="4">
        <f t="shared" si="171"/>
        <v>1029265.1333523178</v>
      </c>
      <c r="S325">
        <f t="shared" si="152"/>
        <v>1.0292651333523178E-3</v>
      </c>
      <c r="T325" s="44">
        <f t="shared" si="153"/>
        <v>1.047131261129686E-3</v>
      </c>
      <c r="U325" s="45">
        <f t="shared" si="172"/>
        <v>1.837289726290555</v>
      </c>
      <c r="V325" s="45">
        <f t="shared" si="173"/>
        <v>1.5662976846331607</v>
      </c>
      <c r="W325" s="45">
        <f t="shared" si="174"/>
        <v>1.547158456399051</v>
      </c>
      <c r="X325" s="45">
        <f t="shared" si="175"/>
        <v>1.9139228234109629E-2</v>
      </c>
      <c r="Y325" s="45">
        <f t="shared" si="149"/>
        <v>2.0428560864010605E-2</v>
      </c>
      <c r="Z325" s="10">
        <f t="shared" si="176"/>
        <v>19.509073620790844</v>
      </c>
      <c r="AA325">
        <f t="shared" si="154"/>
        <v>6312488.9831741601</v>
      </c>
      <c r="AB325" s="10">
        <f t="shared" si="155"/>
        <v>6.31248898317416</v>
      </c>
      <c r="AC325" s="10">
        <f t="shared" si="156"/>
        <v>6.21148898317416</v>
      </c>
      <c r="AD325" s="3">
        <f t="shared" si="157"/>
        <v>900.86859799480203</v>
      </c>
      <c r="AI325" s="100">
        <f t="shared" si="158"/>
        <v>1.547158456399051</v>
      </c>
    </row>
    <row r="326" spans="2:35">
      <c r="B326" s="39">
        <f t="shared" si="159"/>
        <v>298</v>
      </c>
      <c r="C326" s="45">
        <f t="shared" si="160"/>
        <v>8.7541966426854323</v>
      </c>
      <c r="D326" s="10">
        <f t="shared" si="161"/>
        <v>15.745803357314799</v>
      </c>
      <c r="E326" s="40">
        <f t="shared" si="162"/>
        <v>37.508393285370403</v>
      </c>
      <c r="F326" s="40">
        <f t="shared" si="163"/>
        <v>69</v>
      </c>
      <c r="G326" s="3">
        <f t="shared" si="164"/>
        <v>389.96642685851839</v>
      </c>
      <c r="H326" s="3">
        <f t="shared" si="165"/>
        <v>221.47275588995251</v>
      </c>
      <c r="I326">
        <f t="shared" si="150"/>
        <v>2.214727558899525E-4</v>
      </c>
      <c r="J326" s="4">
        <f t="shared" si="166"/>
        <v>1783.5446411007988</v>
      </c>
      <c r="K326" s="40">
        <f t="shared" si="167"/>
        <v>8.05311079430024</v>
      </c>
      <c r="L326" s="40">
        <f t="shared" si="151"/>
        <v>0</v>
      </c>
      <c r="M326" s="10">
        <f t="shared" si="168"/>
        <v>6.31248898317416</v>
      </c>
      <c r="N326" s="10">
        <f t="shared" si="147"/>
        <v>17.20418640980624</v>
      </c>
      <c r="O326" s="10">
        <f t="shared" si="148"/>
        <v>-0.14810000000000001</v>
      </c>
      <c r="P326" s="10">
        <f t="shared" si="169"/>
        <v>13.095570585838747</v>
      </c>
      <c r="Q326" s="45">
        <f t="shared" si="170"/>
        <v>0.72562210082368328</v>
      </c>
      <c r="R326" s="4">
        <f t="shared" si="171"/>
        <v>1027296.3685248325</v>
      </c>
      <c r="S326">
        <f t="shared" si="152"/>
        <v>1.0272963685248326E-3</v>
      </c>
      <c r="T326" s="44">
        <f t="shared" si="153"/>
        <v>1.0491000259571712E-3</v>
      </c>
      <c r="U326" s="45">
        <f t="shared" si="172"/>
        <v>1.8337753826352523</v>
      </c>
      <c r="V326" s="45">
        <f t="shared" si="173"/>
        <v>1.5666378663004681</v>
      </c>
      <c r="W326" s="45">
        <f t="shared" si="174"/>
        <v>1.5475025080686073</v>
      </c>
      <c r="X326" s="45">
        <f t="shared" si="175"/>
        <v>1.9135358231860744E-2</v>
      </c>
      <c r="Y326" s="45">
        <f t="shared" si="149"/>
        <v>2.0471486051918189E-2</v>
      </c>
      <c r="Z326" s="10">
        <f t="shared" si="176"/>
        <v>19.51337865351833</v>
      </c>
      <c r="AA326">
        <f t="shared" si="154"/>
        <v>6313859.6614482161</v>
      </c>
      <c r="AB326" s="10">
        <f t="shared" si="155"/>
        <v>6.3138596614482161</v>
      </c>
      <c r="AC326" s="10">
        <f t="shared" si="156"/>
        <v>6.2128596614482161</v>
      </c>
      <c r="AD326" s="3">
        <f t="shared" si="157"/>
        <v>901.06739107298279</v>
      </c>
      <c r="AI326" s="100">
        <f t="shared" si="158"/>
        <v>1.5475025080686073</v>
      </c>
    </row>
    <row r="327" spans="2:35">
      <c r="B327" s="39">
        <f t="shared" si="159"/>
        <v>299</v>
      </c>
      <c r="C327" s="45">
        <f t="shared" si="160"/>
        <v>8.7835731414863893</v>
      </c>
      <c r="D327" s="10">
        <f t="shared" si="161"/>
        <v>15.716426858513842</v>
      </c>
      <c r="E327" s="40">
        <f t="shared" si="162"/>
        <v>37.567146282972317</v>
      </c>
      <c r="F327" s="40">
        <f t="shared" si="163"/>
        <v>69</v>
      </c>
      <c r="G327" s="3">
        <f t="shared" si="164"/>
        <v>389.73141486811073</v>
      </c>
      <c r="H327" s="3">
        <f t="shared" si="165"/>
        <v>221.47275588995251</v>
      </c>
      <c r="I327">
        <f t="shared" si="150"/>
        <v>2.214727558899525E-4</v>
      </c>
      <c r="J327" s="4">
        <f t="shared" si="166"/>
        <v>1787.0089640669366</v>
      </c>
      <c r="K327" s="40">
        <f t="shared" si="167"/>
        <v>8.0687530025358178</v>
      </c>
      <c r="L327" s="40">
        <f t="shared" si="151"/>
        <v>0</v>
      </c>
      <c r="M327" s="10">
        <f t="shared" si="168"/>
        <v>6.3138596614482161</v>
      </c>
      <c r="N327" s="10">
        <f t="shared" si="147"/>
        <v>17.20418640980624</v>
      </c>
      <c r="O327" s="10">
        <f t="shared" si="148"/>
        <v>-0.14810000000000001</v>
      </c>
      <c r="P327" s="10">
        <f t="shared" si="169"/>
        <v>13.095149510068884</v>
      </c>
      <c r="Q327" s="45">
        <f t="shared" si="170"/>
        <v>0.72786541227105317</v>
      </c>
      <c r="R327" s="4">
        <f t="shared" si="171"/>
        <v>1025327.1162405262</v>
      </c>
      <c r="S327">
        <f t="shared" si="152"/>
        <v>1.0253271162405262E-3</v>
      </c>
      <c r="T327" s="44">
        <f t="shared" si="153"/>
        <v>1.0510692782414776E-3</v>
      </c>
      <c r="U327" s="45">
        <f t="shared" si="172"/>
        <v>1.8302601688451514</v>
      </c>
      <c r="V327" s="45">
        <f t="shared" si="173"/>
        <v>1.5669753721545039</v>
      </c>
      <c r="W327" s="45">
        <f t="shared" si="174"/>
        <v>1.547843992706607</v>
      </c>
      <c r="X327" s="45">
        <f t="shared" si="175"/>
        <v>1.913137944789689E-2</v>
      </c>
      <c r="Y327" s="45">
        <f t="shared" si="149"/>
        <v>2.0514403694437633E-2</v>
      </c>
      <c r="Z327" s="10">
        <f t="shared" si="176"/>
        <v>19.517651328140673</v>
      </c>
      <c r="AA327">
        <f t="shared" si="154"/>
        <v>6315220.0372334141</v>
      </c>
      <c r="AB327" s="10">
        <f t="shared" si="155"/>
        <v>6.3152200372334137</v>
      </c>
      <c r="AC327" s="10">
        <f t="shared" si="156"/>
        <v>6.2142200372334138</v>
      </c>
      <c r="AD327" s="3">
        <f t="shared" si="157"/>
        <v>901.2646899540847</v>
      </c>
      <c r="AI327" s="100">
        <f t="shared" si="158"/>
        <v>1.547843992706607</v>
      </c>
    </row>
    <row r="328" spans="2:35">
      <c r="B328" s="39">
        <f t="shared" si="159"/>
        <v>300</v>
      </c>
      <c r="C328" s="45">
        <f t="shared" si="160"/>
        <v>8.8129496402873464</v>
      </c>
      <c r="D328" s="10">
        <f t="shared" si="161"/>
        <v>15.687050359712885</v>
      </c>
      <c r="E328" s="40">
        <f t="shared" si="162"/>
        <v>37.625899280574231</v>
      </c>
      <c r="F328" s="40">
        <f t="shared" si="163"/>
        <v>69</v>
      </c>
      <c r="G328" s="3">
        <f t="shared" si="164"/>
        <v>389.49640287770308</v>
      </c>
      <c r="H328" s="3">
        <f t="shared" si="165"/>
        <v>221.47275588995251</v>
      </c>
      <c r="I328">
        <f t="shared" si="150"/>
        <v>2.214727558899525E-4</v>
      </c>
      <c r="J328" s="4">
        <f t="shared" si="166"/>
        <v>1790.4787092880483</v>
      </c>
      <c r="K328" s="40">
        <f t="shared" si="167"/>
        <v>8.0844196934891546</v>
      </c>
      <c r="L328" s="40">
        <f t="shared" si="151"/>
        <v>0</v>
      </c>
      <c r="M328" s="10">
        <f t="shared" si="168"/>
        <v>6.3152200372334137</v>
      </c>
      <c r="N328" s="10">
        <f t="shared" si="147"/>
        <v>17.20418640980624</v>
      </c>
      <c r="O328" s="10">
        <f t="shared" si="148"/>
        <v>-0.14810000000000001</v>
      </c>
      <c r="P328" s="10">
        <f t="shared" si="169"/>
        <v>13.094731703005632</v>
      </c>
      <c r="Q328" s="45">
        <f t="shared" si="170"/>
        <v>0.73010879529464079</v>
      </c>
      <c r="R328" s="4">
        <f t="shared" si="171"/>
        <v>1023357.3803222835</v>
      </c>
      <c r="S328">
        <f t="shared" si="152"/>
        <v>1.0233573803222836E-3</v>
      </c>
      <c r="T328" s="44">
        <f t="shared" si="153"/>
        <v>1.0530390141597202E-3</v>
      </c>
      <c r="U328" s="45">
        <f t="shared" si="172"/>
        <v>1.8267440917442921</v>
      </c>
      <c r="V328" s="45">
        <f t="shared" si="173"/>
        <v>1.5673102024443488</v>
      </c>
      <c r="W328" s="45">
        <f t="shared" si="174"/>
        <v>1.5481829106287366</v>
      </c>
      <c r="X328" s="45">
        <f t="shared" si="175"/>
        <v>1.9127291815612235E-2</v>
      </c>
      <c r="Y328" s="45">
        <f t="shared" si="149"/>
        <v>2.0557313536183983E-2</v>
      </c>
      <c r="Z328" s="10">
        <f t="shared" si="176"/>
        <v>19.521891648608893</v>
      </c>
      <c r="AA328">
        <f t="shared" si="154"/>
        <v>6316570.1117877178</v>
      </c>
      <c r="AB328" s="10">
        <f t="shared" si="155"/>
        <v>6.3165701117877182</v>
      </c>
      <c r="AC328" s="10">
        <f t="shared" si="156"/>
        <v>6.2155701117877182</v>
      </c>
      <c r="AD328" s="3">
        <f t="shared" si="157"/>
        <v>901.46049482055366</v>
      </c>
      <c r="AI328" s="100">
        <f t="shared" si="158"/>
        <v>1.5481829106287366</v>
      </c>
    </row>
    <row r="329" spans="2:35">
      <c r="B329" s="39">
        <f t="shared" si="159"/>
        <v>301</v>
      </c>
      <c r="C329" s="45">
        <f t="shared" si="160"/>
        <v>8.8423261390883034</v>
      </c>
      <c r="D329" s="10">
        <f t="shared" si="161"/>
        <v>15.657673860911927</v>
      </c>
      <c r="E329" s="40">
        <f t="shared" si="162"/>
        <v>37.684652278176145</v>
      </c>
      <c r="F329" s="40">
        <f t="shared" si="163"/>
        <v>69</v>
      </c>
      <c r="G329" s="3">
        <f t="shared" si="164"/>
        <v>389.26139088729542</v>
      </c>
      <c r="H329" s="3">
        <f t="shared" si="165"/>
        <v>221.47275588995251</v>
      </c>
      <c r="I329">
        <f t="shared" si="150"/>
        <v>2.214727558899525E-4</v>
      </c>
      <c r="J329" s="4">
        <f t="shared" si="166"/>
        <v>1793.9538767641343</v>
      </c>
      <c r="K329" s="40">
        <f t="shared" si="167"/>
        <v>8.1001108671602537</v>
      </c>
      <c r="L329" s="40">
        <f t="shared" si="151"/>
        <v>0</v>
      </c>
      <c r="M329" s="10">
        <f t="shared" si="168"/>
        <v>6.3165701117877182</v>
      </c>
      <c r="N329" s="10">
        <f t="shared" si="147"/>
        <v>17.20418640980624</v>
      </c>
      <c r="O329" s="10">
        <f t="shared" si="148"/>
        <v>-0.14810000000000001</v>
      </c>
      <c r="P329" s="10">
        <f t="shared" si="169"/>
        <v>13.094317161867068</v>
      </c>
      <c r="Q329" s="45">
        <f t="shared" si="170"/>
        <v>0.73235224933946164</v>
      </c>
      <c r="R329" s="4">
        <f t="shared" si="171"/>
        <v>1021387.1645929889</v>
      </c>
      <c r="S329">
        <f t="shared" si="152"/>
        <v>1.0213871645929889E-3</v>
      </c>
      <c r="T329" s="44">
        <f t="shared" si="153"/>
        <v>1.0550092298890149E-3</v>
      </c>
      <c r="U329" s="45">
        <f t="shared" si="172"/>
        <v>1.8232271581567148</v>
      </c>
      <c r="V329" s="45">
        <f t="shared" si="173"/>
        <v>1.5676423574159584</v>
      </c>
      <c r="W329" s="45">
        <f t="shared" si="174"/>
        <v>1.5485192621484005</v>
      </c>
      <c r="X329" s="45">
        <f t="shared" si="175"/>
        <v>1.9123095267557844E-2</v>
      </c>
      <c r="Y329" s="45">
        <f t="shared" si="149"/>
        <v>2.0600215321611479E-2</v>
      </c>
      <c r="Z329" s="10">
        <f t="shared" si="176"/>
        <v>19.52609961884275</v>
      </c>
      <c r="AA329">
        <f t="shared" si="154"/>
        <v>6317909.8863591403</v>
      </c>
      <c r="AB329" s="10">
        <f t="shared" si="155"/>
        <v>6.3179098863591401</v>
      </c>
      <c r="AC329" s="10">
        <f t="shared" si="156"/>
        <v>6.2169098863591401</v>
      </c>
      <c r="AD329" s="3">
        <f t="shared" si="157"/>
        <v>901.6548058533923</v>
      </c>
      <c r="AI329" s="100">
        <f t="shared" si="158"/>
        <v>1.5485192621484005</v>
      </c>
    </row>
    <row r="330" spans="2:35">
      <c r="B330" s="39">
        <f t="shared" si="159"/>
        <v>302</v>
      </c>
      <c r="C330" s="45">
        <f t="shared" si="160"/>
        <v>8.8717026378892605</v>
      </c>
      <c r="D330" s="10">
        <f t="shared" si="161"/>
        <v>15.62829736211097</v>
      </c>
      <c r="E330" s="40">
        <f t="shared" si="162"/>
        <v>37.743405275778059</v>
      </c>
      <c r="F330" s="40">
        <f t="shared" si="163"/>
        <v>69</v>
      </c>
      <c r="G330" s="3">
        <f t="shared" si="164"/>
        <v>389.02637889688776</v>
      </c>
      <c r="H330" s="3">
        <f t="shared" si="165"/>
        <v>221.47275588995251</v>
      </c>
      <c r="I330">
        <f t="shared" si="150"/>
        <v>2.214727558899525E-4</v>
      </c>
      <c r="J330" s="4">
        <f t="shared" si="166"/>
        <v>1797.4344664951946</v>
      </c>
      <c r="K330" s="40">
        <f t="shared" si="167"/>
        <v>8.1158265235491136</v>
      </c>
      <c r="L330" s="40">
        <f t="shared" si="151"/>
        <v>0</v>
      </c>
      <c r="M330" s="10">
        <f t="shared" si="168"/>
        <v>6.3179098863591401</v>
      </c>
      <c r="N330" s="10">
        <f t="shared" si="147"/>
        <v>17.20418640980624</v>
      </c>
      <c r="O330" s="10">
        <f t="shared" si="148"/>
        <v>-0.14810000000000001</v>
      </c>
      <c r="P330" s="10">
        <f t="shared" si="169"/>
        <v>13.09390588389466</v>
      </c>
      <c r="Q330" s="45">
        <f t="shared" si="170"/>
        <v>0.73459577385089792</v>
      </c>
      <c r="R330" s="4">
        <f t="shared" si="171"/>
        <v>1019416.4728755273</v>
      </c>
      <c r="S330">
        <f t="shared" si="152"/>
        <v>1.0194164728755273E-3</v>
      </c>
      <c r="T330" s="44">
        <f t="shared" si="153"/>
        <v>1.0569799216064765E-3</v>
      </c>
      <c r="U330" s="45">
        <f t="shared" si="172"/>
        <v>1.8197093749064601</v>
      </c>
      <c r="V330" s="45">
        <f t="shared" si="173"/>
        <v>1.5679718373135143</v>
      </c>
      <c r="W330" s="45">
        <f t="shared" si="174"/>
        <v>1.5488530475765219</v>
      </c>
      <c r="X330" s="45">
        <f t="shared" si="175"/>
        <v>1.9118789736992436E-2</v>
      </c>
      <c r="Y330" s="45">
        <f t="shared" si="149"/>
        <v>2.0643108795015418E-2</v>
      </c>
      <c r="Z330" s="10">
        <f t="shared" si="176"/>
        <v>19.530275242731662</v>
      </c>
      <c r="AA330">
        <f t="shared" si="154"/>
        <v>6319239.3621860296</v>
      </c>
      <c r="AB330" s="10">
        <f t="shared" si="155"/>
        <v>6.3192393621860292</v>
      </c>
      <c r="AC330" s="10">
        <f t="shared" si="156"/>
        <v>6.2182393621860292</v>
      </c>
      <c r="AD330" s="3">
        <f t="shared" si="157"/>
        <v>901.8476232322015</v>
      </c>
      <c r="AI330" s="100">
        <f t="shared" si="158"/>
        <v>1.5488530475765219</v>
      </c>
    </row>
    <row r="331" spans="2:35">
      <c r="B331" s="39">
        <f t="shared" si="159"/>
        <v>303</v>
      </c>
      <c r="C331" s="45">
        <f t="shared" si="160"/>
        <v>8.9010791366902176</v>
      </c>
      <c r="D331" s="10">
        <f t="shared" si="161"/>
        <v>15.598920863310013</v>
      </c>
      <c r="E331" s="40">
        <f t="shared" si="162"/>
        <v>37.802158273379973</v>
      </c>
      <c r="F331" s="40">
        <f t="shared" si="163"/>
        <v>69</v>
      </c>
      <c r="G331" s="3">
        <f t="shared" si="164"/>
        <v>388.79136690648011</v>
      </c>
      <c r="H331" s="3">
        <f t="shared" si="165"/>
        <v>221.47275588995251</v>
      </c>
      <c r="I331">
        <f t="shared" si="150"/>
        <v>2.214727558899525E-4</v>
      </c>
      <c r="J331" s="4">
        <f t="shared" si="166"/>
        <v>1800.9204784812282</v>
      </c>
      <c r="K331" s="40">
        <f t="shared" si="167"/>
        <v>8.1315666626557288</v>
      </c>
      <c r="L331" s="40">
        <f t="shared" si="151"/>
        <v>0</v>
      </c>
      <c r="M331" s="10">
        <f t="shared" si="168"/>
        <v>6.3192393621860292</v>
      </c>
      <c r="N331" s="10">
        <f t="shared" si="147"/>
        <v>17.20418640980624</v>
      </c>
      <c r="O331" s="10">
        <f t="shared" si="148"/>
        <v>-0.14810000000000001</v>
      </c>
      <c r="P331" s="10">
        <f t="shared" si="169"/>
        <v>13.093497866353129</v>
      </c>
      <c r="Q331" s="45">
        <f t="shared" si="170"/>
        <v>0.73683936827469565</v>
      </c>
      <c r="R331" s="4">
        <f t="shared" si="171"/>
        <v>1017445.3089927839</v>
      </c>
      <c r="S331">
        <f t="shared" si="152"/>
        <v>1.0174453089927839E-3</v>
      </c>
      <c r="T331" s="44">
        <f t="shared" si="153"/>
        <v>1.0589510854892199E-3</v>
      </c>
      <c r="U331" s="45">
        <f t="shared" si="172"/>
        <v>1.8161907488175688</v>
      </c>
      <c r="V331" s="45">
        <f t="shared" si="173"/>
        <v>1.5682986423791008</v>
      </c>
      <c r="W331" s="45">
        <f t="shared" si="174"/>
        <v>1.5491842672216187</v>
      </c>
      <c r="X331" s="45">
        <f t="shared" si="175"/>
        <v>1.9114375157482044E-2</v>
      </c>
      <c r="Y331" s="45">
        <f t="shared" si="149"/>
        <v>2.0685993700533124E-2</v>
      </c>
      <c r="Z331" s="10">
        <f t="shared" si="176"/>
        <v>19.534418524134662</v>
      </c>
      <c r="AA331">
        <f t="shared" si="154"/>
        <v>6320558.5404970646</v>
      </c>
      <c r="AB331" s="10">
        <f t="shared" si="155"/>
        <v>6.320558540497065</v>
      </c>
      <c r="AC331" s="10">
        <f t="shared" si="156"/>
        <v>6.219558540497065</v>
      </c>
      <c r="AD331" s="3">
        <f t="shared" si="157"/>
        <v>902.0389471351798</v>
      </c>
      <c r="AI331" s="100">
        <f t="shared" si="158"/>
        <v>1.5491842672216187</v>
      </c>
    </row>
    <row r="332" spans="2:35">
      <c r="B332" s="39">
        <f t="shared" si="159"/>
        <v>304</v>
      </c>
      <c r="C332" s="45">
        <f t="shared" si="160"/>
        <v>8.9304556354911746</v>
      </c>
      <c r="D332" s="10">
        <f t="shared" si="161"/>
        <v>15.569544364509056</v>
      </c>
      <c r="E332" s="40">
        <f t="shared" si="162"/>
        <v>37.860911270981887</v>
      </c>
      <c r="F332" s="40">
        <f t="shared" si="163"/>
        <v>69</v>
      </c>
      <c r="G332" s="3">
        <f t="shared" si="164"/>
        <v>388.55635491607245</v>
      </c>
      <c r="H332" s="3">
        <f t="shared" si="165"/>
        <v>221.47275588995251</v>
      </c>
      <c r="I332">
        <f t="shared" si="150"/>
        <v>2.214727558899525E-4</v>
      </c>
      <c r="J332" s="4">
        <f t="shared" si="166"/>
        <v>1804.4119127222361</v>
      </c>
      <c r="K332" s="40">
        <f t="shared" si="167"/>
        <v>8.1473312844801082</v>
      </c>
      <c r="L332" s="40">
        <f t="shared" si="151"/>
        <v>0</v>
      </c>
      <c r="M332" s="10">
        <f t="shared" si="168"/>
        <v>6.320558540497065</v>
      </c>
      <c r="N332" s="10">
        <f t="shared" si="147"/>
        <v>17.20418640980624</v>
      </c>
      <c r="O332" s="10">
        <f t="shared" si="148"/>
        <v>-0.14810000000000001</v>
      </c>
      <c r="P332" s="10">
        <f t="shared" si="169"/>
        <v>13.093093106530393</v>
      </c>
      <c r="Q332" s="45">
        <f t="shared" si="170"/>
        <v>0.73908303205696158</v>
      </c>
      <c r="R332" s="4">
        <f t="shared" si="171"/>
        <v>1015473.6767676432</v>
      </c>
      <c r="S332">
        <f t="shared" si="152"/>
        <v>1.0154736767676433E-3</v>
      </c>
      <c r="T332" s="44">
        <f t="shared" si="153"/>
        <v>1.0609227177143605E-3</v>
      </c>
      <c r="U332" s="45">
        <f t="shared" si="172"/>
        <v>1.8126712867140815</v>
      </c>
      <c r="V332" s="45">
        <f t="shared" si="173"/>
        <v>1.5686227728527671</v>
      </c>
      <c r="W332" s="45">
        <f t="shared" si="174"/>
        <v>1.5495129213897973</v>
      </c>
      <c r="X332" s="45">
        <f t="shared" si="175"/>
        <v>1.9109851462969729E-2</v>
      </c>
      <c r="Y332" s="45">
        <f t="shared" si="149"/>
        <v>2.0728869782145071E-2</v>
      </c>
      <c r="Z332" s="10">
        <f t="shared" si="176"/>
        <v>19.53852946688059</v>
      </c>
      <c r="AA332">
        <f t="shared" si="154"/>
        <v>6321867.4225113075</v>
      </c>
      <c r="AB332" s="10">
        <f t="shared" si="155"/>
        <v>6.3218674225113078</v>
      </c>
      <c r="AC332" s="10">
        <f t="shared" si="156"/>
        <v>6.2208674225113079</v>
      </c>
      <c r="AD332" s="3">
        <f t="shared" si="157"/>
        <v>902.22877773913092</v>
      </c>
      <c r="AI332" s="100">
        <f t="shared" si="158"/>
        <v>1.5495129213897973</v>
      </c>
    </row>
    <row r="333" spans="2:35">
      <c r="B333" s="39">
        <f t="shared" si="159"/>
        <v>305</v>
      </c>
      <c r="C333" s="45">
        <f t="shared" si="160"/>
        <v>8.9598321342921317</v>
      </c>
      <c r="D333" s="10">
        <f t="shared" si="161"/>
        <v>15.540167865708099</v>
      </c>
      <c r="E333" s="40">
        <f t="shared" si="162"/>
        <v>37.919664268583801</v>
      </c>
      <c r="F333" s="40">
        <f t="shared" si="163"/>
        <v>69</v>
      </c>
      <c r="G333" s="3">
        <f t="shared" si="164"/>
        <v>388.32134292566479</v>
      </c>
      <c r="H333" s="3">
        <f t="shared" si="165"/>
        <v>221.47275588995251</v>
      </c>
      <c r="I333">
        <f t="shared" si="150"/>
        <v>2.214727558899525E-4</v>
      </c>
      <c r="J333" s="4">
        <f t="shared" si="166"/>
        <v>1807.9087692182175</v>
      </c>
      <c r="K333" s="40">
        <f t="shared" si="167"/>
        <v>8.163120389022243</v>
      </c>
      <c r="L333" s="40">
        <f t="shared" si="151"/>
        <v>0</v>
      </c>
      <c r="M333" s="10">
        <f t="shared" si="168"/>
        <v>6.3218674225113078</v>
      </c>
      <c r="N333" s="10">
        <f t="shared" si="147"/>
        <v>17.20418640980624</v>
      </c>
      <c r="O333" s="10">
        <f t="shared" si="148"/>
        <v>-0.14810000000000001</v>
      </c>
      <c r="P333" s="10">
        <f t="shared" si="169"/>
        <v>13.092691601737515</v>
      </c>
      <c r="Q333" s="45">
        <f t="shared" si="170"/>
        <v>0.74132676464416003</v>
      </c>
      <c r="R333" s="4">
        <f t="shared" si="171"/>
        <v>1013501.5800229901</v>
      </c>
      <c r="S333">
        <f t="shared" si="152"/>
        <v>1.0135015800229901E-3</v>
      </c>
      <c r="T333" s="44">
        <f t="shared" si="153"/>
        <v>1.0628948144590137E-3</v>
      </c>
      <c r="U333" s="45">
        <f t="shared" si="172"/>
        <v>1.8091509954200384</v>
      </c>
      <c r="V333" s="45">
        <f t="shared" si="173"/>
        <v>1.5689442289727336</v>
      </c>
      <c r="W333" s="45">
        <f t="shared" si="174"/>
        <v>1.5498390103847699</v>
      </c>
      <c r="X333" s="45">
        <f t="shared" si="175"/>
        <v>1.9105218587963657E-2</v>
      </c>
      <c r="Y333" s="45">
        <f t="shared" si="149"/>
        <v>2.0771736783676435E-2</v>
      </c>
      <c r="Z333" s="10">
        <f t="shared" si="176"/>
        <v>19.542608074768641</v>
      </c>
      <c r="AA333">
        <f t="shared" si="154"/>
        <v>6323166.0094383825</v>
      </c>
      <c r="AB333" s="10">
        <f t="shared" si="155"/>
        <v>6.3231660094383821</v>
      </c>
      <c r="AC333" s="10">
        <f t="shared" si="156"/>
        <v>6.2221660094383822</v>
      </c>
      <c r="AD333" s="3">
        <f t="shared" si="157"/>
        <v>902.4171152194898</v>
      </c>
      <c r="AI333" s="100">
        <f t="shared" si="158"/>
        <v>1.5498390103847699</v>
      </c>
    </row>
    <row r="334" spans="2:35">
      <c r="B334" s="39">
        <f t="shared" si="159"/>
        <v>306</v>
      </c>
      <c r="C334" s="45">
        <f t="shared" si="160"/>
        <v>8.9892086330930887</v>
      </c>
      <c r="D334" s="10">
        <f t="shared" si="161"/>
        <v>15.510791366907142</v>
      </c>
      <c r="E334" s="40">
        <f t="shared" si="162"/>
        <v>37.978417266185716</v>
      </c>
      <c r="F334" s="40">
        <f t="shared" si="163"/>
        <v>69</v>
      </c>
      <c r="G334" s="3">
        <f t="shared" si="164"/>
        <v>388.08633093525714</v>
      </c>
      <c r="H334" s="3">
        <f t="shared" si="165"/>
        <v>221.47275588995251</v>
      </c>
      <c r="I334">
        <f t="shared" si="150"/>
        <v>2.214727558899525E-4</v>
      </c>
      <c r="J334" s="4">
        <f t="shared" si="166"/>
        <v>1811.4110479691731</v>
      </c>
      <c r="K334" s="40">
        <f t="shared" si="167"/>
        <v>8.1789339762821403</v>
      </c>
      <c r="L334" s="40">
        <f t="shared" si="151"/>
        <v>0</v>
      </c>
      <c r="M334" s="10">
        <f t="shared" si="168"/>
        <v>6.3231660094383821</v>
      </c>
      <c r="N334" s="10">
        <f t="shared" si="147"/>
        <v>17.20418640980624</v>
      </c>
      <c r="O334" s="10">
        <f t="shared" si="148"/>
        <v>-0.14810000000000001</v>
      </c>
      <c r="P334" s="10">
        <f t="shared" si="169"/>
        <v>13.092293349308569</v>
      </c>
      <c r="Q334" s="45">
        <f t="shared" si="170"/>
        <v>0.74357056548310996</v>
      </c>
      <c r="R334" s="4">
        <f t="shared" si="171"/>
        <v>1011529.0225817093</v>
      </c>
      <c r="S334">
        <f t="shared" si="152"/>
        <v>1.0115290225817092E-3</v>
      </c>
      <c r="T334" s="44">
        <f t="shared" si="153"/>
        <v>1.0648673719002946E-3</v>
      </c>
      <c r="U334" s="45">
        <f t="shared" si="172"/>
        <v>1.8056298817594802</v>
      </c>
      <c r="V334" s="45">
        <f t="shared" si="173"/>
        <v>1.5692630109747279</v>
      </c>
      <c r="W334" s="45">
        <f t="shared" si="174"/>
        <v>1.5501625345078969</v>
      </c>
      <c r="X334" s="45">
        <f t="shared" si="175"/>
        <v>1.9100476466830996E-2</v>
      </c>
      <c r="Y334" s="45">
        <f t="shared" si="149"/>
        <v>2.0814594448797054E-2</v>
      </c>
      <c r="Z334" s="10">
        <f t="shared" si="176"/>
        <v>19.546654351567419</v>
      </c>
      <c r="AA334">
        <f t="shared" si="154"/>
        <v>6324454.3024781765</v>
      </c>
      <c r="AB334" s="10">
        <f t="shared" si="155"/>
        <v>6.324454302478177</v>
      </c>
      <c r="AC334" s="10">
        <f t="shared" si="156"/>
        <v>6.223454302478177</v>
      </c>
      <c r="AD334" s="3">
        <f t="shared" si="157"/>
        <v>902.60395975027939</v>
      </c>
      <c r="AI334" s="100">
        <f t="shared" si="158"/>
        <v>1.5501625345078969</v>
      </c>
    </row>
    <row r="335" spans="2:35">
      <c r="B335" s="39">
        <f t="shared" si="159"/>
        <v>307</v>
      </c>
      <c r="C335" s="45">
        <f t="shared" si="160"/>
        <v>9.0185851318940458</v>
      </c>
      <c r="D335" s="10">
        <f t="shared" si="161"/>
        <v>15.481414868106185</v>
      </c>
      <c r="E335" s="40">
        <f t="shared" si="162"/>
        <v>38.03717026378763</v>
      </c>
      <c r="F335" s="40">
        <f t="shared" si="163"/>
        <v>69</v>
      </c>
      <c r="G335" s="3">
        <f t="shared" si="164"/>
        <v>387.85131894484948</v>
      </c>
      <c r="H335" s="3">
        <f t="shared" si="165"/>
        <v>221.47275588995251</v>
      </c>
      <c r="I335">
        <f t="shared" si="150"/>
        <v>2.214727558899525E-4</v>
      </c>
      <c r="J335" s="4">
        <f t="shared" si="166"/>
        <v>1814.9187489751021</v>
      </c>
      <c r="K335" s="40">
        <f t="shared" si="167"/>
        <v>8.1947720462597946</v>
      </c>
      <c r="L335" s="40">
        <f t="shared" si="151"/>
        <v>0</v>
      </c>
      <c r="M335" s="10">
        <f t="shared" si="168"/>
        <v>6.324454302478177</v>
      </c>
      <c r="N335" s="10">
        <f t="shared" si="147"/>
        <v>17.20418640980624</v>
      </c>
      <c r="O335" s="10">
        <f t="shared" si="148"/>
        <v>-0.14810000000000001</v>
      </c>
      <c r="P335" s="10">
        <f t="shared" si="169"/>
        <v>13.09189834660069</v>
      </c>
      <c r="Q335" s="45">
        <f t="shared" si="170"/>
        <v>0.74581443402098213</v>
      </c>
      <c r="R335" s="4">
        <f t="shared" si="171"/>
        <v>1009556.0082666859</v>
      </c>
      <c r="S335">
        <f t="shared" si="152"/>
        <v>1.0095560082666859E-3</v>
      </c>
      <c r="T335" s="44">
        <f t="shared" si="153"/>
        <v>1.0668403862153179E-3</v>
      </c>
      <c r="U335" s="45">
        <f t="shared" si="172"/>
        <v>1.8021079525564476</v>
      </c>
      <c r="V335" s="45">
        <f t="shared" si="173"/>
        <v>1.5695791190924302</v>
      </c>
      <c r="W335" s="45">
        <f t="shared" si="174"/>
        <v>1.5504834940581125</v>
      </c>
      <c r="X335" s="45">
        <f t="shared" si="175"/>
        <v>1.909562503431772E-2</v>
      </c>
      <c r="Y335" s="45">
        <f t="shared" si="149"/>
        <v>2.0857442521022562E-2</v>
      </c>
      <c r="Z335" s="10">
        <f t="shared" si="176"/>
        <v>19.55066830101514</v>
      </c>
      <c r="AA335">
        <f t="shared" si="154"/>
        <v>6325732.3028208977</v>
      </c>
      <c r="AB335" s="10">
        <f t="shared" si="155"/>
        <v>6.3257323028208976</v>
      </c>
      <c r="AC335" s="10">
        <f t="shared" si="156"/>
        <v>6.2247323028208976</v>
      </c>
      <c r="AD335" s="3">
        <f t="shared" si="157"/>
        <v>902.78931150411859</v>
      </c>
      <c r="AI335" s="100">
        <f t="shared" si="158"/>
        <v>1.5504834940581125</v>
      </c>
    </row>
    <row r="336" spans="2:35">
      <c r="B336" s="39">
        <f t="shared" si="159"/>
        <v>308</v>
      </c>
      <c r="C336" s="45">
        <f t="shared" si="160"/>
        <v>9.0479616306950028</v>
      </c>
      <c r="D336" s="10">
        <f t="shared" si="161"/>
        <v>15.452038369305228</v>
      </c>
      <c r="E336" s="40">
        <f t="shared" si="162"/>
        <v>38.095923261389544</v>
      </c>
      <c r="F336" s="40">
        <f t="shared" si="163"/>
        <v>69</v>
      </c>
      <c r="G336" s="3">
        <f t="shared" si="164"/>
        <v>387.61630695444182</v>
      </c>
      <c r="H336" s="3">
        <f t="shared" si="165"/>
        <v>221.47275588995251</v>
      </c>
      <c r="I336">
        <f t="shared" si="150"/>
        <v>2.214727558899525E-4</v>
      </c>
      <c r="J336" s="4">
        <f t="shared" si="166"/>
        <v>1818.4318722360058</v>
      </c>
      <c r="K336" s="40">
        <f t="shared" si="167"/>
        <v>8.2106345989552114</v>
      </c>
      <c r="L336" s="40">
        <f t="shared" si="151"/>
        <v>0</v>
      </c>
      <c r="M336" s="10">
        <f t="shared" si="168"/>
        <v>6.3257323028208976</v>
      </c>
      <c r="N336" s="10">
        <f t="shared" si="147"/>
        <v>17.20418640980624</v>
      </c>
      <c r="O336" s="10">
        <f t="shared" si="148"/>
        <v>-0.14810000000000001</v>
      </c>
      <c r="P336" s="10">
        <f t="shared" si="169"/>
        <v>13.091506590994012</v>
      </c>
      <c r="Q336" s="45">
        <f t="shared" si="170"/>
        <v>0.74805836970529571</v>
      </c>
      <c r="R336" s="4">
        <f t="shared" si="171"/>
        <v>1007582.5409008041</v>
      </c>
      <c r="S336">
        <f t="shared" si="152"/>
        <v>1.0075825409008041E-3</v>
      </c>
      <c r="T336" s="44">
        <f t="shared" si="153"/>
        <v>1.0688138535811997E-3</v>
      </c>
      <c r="U336" s="45">
        <f t="shared" si="172"/>
        <v>1.7985852146349803</v>
      </c>
      <c r="V336" s="45">
        <f t="shared" si="173"/>
        <v>1.5698925535581445</v>
      </c>
      <c r="W336" s="45">
        <f t="shared" si="174"/>
        <v>1.5508018893319395</v>
      </c>
      <c r="X336" s="45">
        <f t="shared" si="175"/>
        <v>1.9090664226204979E-2</v>
      </c>
      <c r="Y336" s="45">
        <f t="shared" si="149"/>
        <v>2.0900280743716991E-2</v>
      </c>
      <c r="Z336" s="10">
        <f t="shared" si="176"/>
        <v>19.554649926821106</v>
      </c>
      <c r="AA336">
        <f t="shared" si="154"/>
        <v>6327000.0116475495</v>
      </c>
      <c r="AB336" s="10">
        <f t="shared" si="155"/>
        <v>6.3270000116475495</v>
      </c>
      <c r="AC336" s="10">
        <f t="shared" si="156"/>
        <v>6.2260000116475496</v>
      </c>
      <c r="AD336" s="3">
        <f t="shared" si="157"/>
        <v>902.9731706522914</v>
      </c>
      <c r="AI336" s="100">
        <f t="shared" si="158"/>
        <v>1.5508018893319395</v>
      </c>
    </row>
    <row r="337" spans="2:35">
      <c r="B337" s="39">
        <f t="shared" si="159"/>
        <v>309</v>
      </c>
      <c r="C337" s="45">
        <f t="shared" si="160"/>
        <v>9.0773381294959599</v>
      </c>
      <c r="D337" s="10">
        <f t="shared" si="161"/>
        <v>15.422661870504271</v>
      </c>
      <c r="E337" s="40">
        <f t="shared" si="162"/>
        <v>38.154676258991458</v>
      </c>
      <c r="F337" s="40">
        <f t="shared" si="163"/>
        <v>69</v>
      </c>
      <c r="G337" s="3">
        <f t="shared" si="164"/>
        <v>387.38129496403417</v>
      </c>
      <c r="H337" s="3">
        <f t="shared" si="165"/>
        <v>221.47275588995251</v>
      </c>
      <c r="I337">
        <f t="shared" si="150"/>
        <v>2.214727558899525E-4</v>
      </c>
      <c r="J337" s="4">
        <f t="shared" si="166"/>
        <v>1821.9504177518825</v>
      </c>
      <c r="K337" s="40">
        <f t="shared" si="167"/>
        <v>8.2265216343683853</v>
      </c>
      <c r="L337" s="40">
        <f t="shared" si="151"/>
        <v>0</v>
      </c>
      <c r="M337" s="10">
        <f t="shared" si="168"/>
        <v>6.3270000116475495</v>
      </c>
      <c r="N337" s="10">
        <f t="shared" si="147"/>
        <v>17.20418640980624</v>
      </c>
      <c r="O337" s="10">
        <f t="shared" si="148"/>
        <v>-0.14810000000000001</v>
      </c>
      <c r="P337" s="10">
        <f t="shared" si="169"/>
        <v>13.091118079891462</v>
      </c>
      <c r="Q337" s="45">
        <f t="shared" si="170"/>
        <v>0.75030237198391558</v>
      </c>
      <c r="R337" s="4">
        <f t="shared" si="171"/>
        <v>1005608.6243069494</v>
      </c>
      <c r="S337">
        <f t="shared" si="152"/>
        <v>1.0056086243069495E-3</v>
      </c>
      <c r="T337" s="44">
        <f t="shared" si="153"/>
        <v>1.0707877701750543E-3</v>
      </c>
      <c r="U337" s="45">
        <f t="shared" si="172"/>
        <v>1.7950616748191202</v>
      </c>
      <c r="V337" s="45">
        <f t="shared" si="173"/>
        <v>1.5702033146005798</v>
      </c>
      <c r="W337" s="45">
        <f t="shared" si="174"/>
        <v>1.5511177206236089</v>
      </c>
      <c r="X337" s="45">
        <f t="shared" si="175"/>
        <v>1.908559397697096E-2</v>
      </c>
      <c r="Y337" s="45">
        <f t="shared" si="149"/>
        <v>2.0943108860090126E-2</v>
      </c>
      <c r="Z337" s="10">
        <f t="shared" si="176"/>
        <v>19.558599232662424</v>
      </c>
      <c r="AA337">
        <f t="shared" si="154"/>
        <v>6328257.4301288854</v>
      </c>
      <c r="AB337" s="10">
        <f t="shared" si="155"/>
        <v>6.3282574301288852</v>
      </c>
      <c r="AC337" s="10">
        <f t="shared" si="156"/>
        <v>6.2272574301288852</v>
      </c>
      <c r="AD337" s="3">
        <f t="shared" si="157"/>
        <v>903.15553736459538</v>
      </c>
      <c r="AI337" s="100">
        <f t="shared" si="158"/>
        <v>1.5511177206236089</v>
      </c>
    </row>
    <row r="338" spans="2:35">
      <c r="B338" s="39">
        <f t="shared" si="159"/>
        <v>310</v>
      </c>
      <c r="C338" s="45">
        <f t="shared" si="160"/>
        <v>9.1067146282969169</v>
      </c>
      <c r="D338" s="10">
        <f t="shared" si="161"/>
        <v>15.393285371703314</v>
      </c>
      <c r="E338" s="40">
        <f t="shared" si="162"/>
        <v>38.213429256593372</v>
      </c>
      <c r="F338" s="40">
        <f t="shared" si="163"/>
        <v>69</v>
      </c>
      <c r="G338" s="3">
        <f t="shared" si="164"/>
        <v>387.14628297362651</v>
      </c>
      <c r="H338" s="3">
        <f t="shared" si="165"/>
        <v>221.47275588995251</v>
      </c>
      <c r="I338">
        <f t="shared" si="150"/>
        <v>2.214727558899525E-4</v>
      </c>
      <c r="J338" s="4">
        <f t="shared" si="166"/>
        <v>1825.4743855227339</v>
      </c>
      <c r="K338" s="40">
        <f t="shared" si="167"/>
        <v>8.2424331524993217</v>
      </c>
      <c r="L338" s="40">
        <f t="shared" si="151"/>
        <v>0</v>
      </c>
      <c r="M338" s="10">
        <f t="shared" si="168"/>
        <v>6.3282574301288852</v>
      </c>
      <c r="N338" s="10">
        <f t="shared" si="147"/>
        <v>17.20418640980624</v>
      </c>
      <c r="O338" s="10">
        <f t="shared" si="148"/>
        <v>-0.14810000000000001</v>
      </c>
      <c r="P338" s="10">
        <f t="shared" si="169"/>
        <v>13.090732810719036</v>
      </c>
      <c r="Q338" s="45">
        <f t="shared" si="170"/>
        <v>0.75254644030504914</v>
      </c>
      <c r="R338" s="4">
        <f t="shared" si="171"/>
        <v>1003634.2623080061</v>
      </c>
      <c r="S338">
        <f t="shared" si="152"/>
        <v>1.003634262308006E-3</v>
      </c>
      <c r="T338" s="44">
        <f t="shared" si="153"/>
        <v>1.0727621321739978E-3</v>
      </c>
      <c r="U338" s="45">
        <f t="shared" si="172"/>
        <v>1.7915373399329062</v>
      </c>
      <c r="V338" s="45">
        <f t="shared" si="173"/>
        <v>1.5705114024486104</v>
      </c>
      <c r="W338" s="45">
        <f t="shared" si="174"/>
        <v>1.5514309882247961</v>
      </c>
      <c r="X338" s="45">
        <f t="shared" si="175"/>
        <v>1.9080414223814346E-2</v>
      </c>
      <c r="Y338" s="45">
        <f t="shared" si="149"/>
        <v>2.0985926613203892E-2</v>
      </c>
      <c r="Z338" s="10">
        <f t="shared" si="176"/>
        <v>19.562516222189</v>
      </c>
      <c r="AA338">
        <f t="shared" si="154"/>
        <v>6329504.5594269987</v>
      </c>
      <c r="AB338" s="10">
        <f t="shared" si="155"/>
        <v>6.329504559426999</v>
      </c>
      <c r="AC338" s="10">
        <f t="shared" si="156"/>
        <v>6.228504559426999</v>
      </c>
      <c r="AD338" s="3">
        <f t="shared" si="157"/>
        <v>903.33641180957193</v>
      </c>
      <c r="AI338" s="100">
        <f t="shared" si="158"/>
        <v>1.5514309882247961</v>
      </c>
    </row>
    <row r="339" spans="2:35">
      <c r="B339" s="39">
        <f t="shared" si="159"/>
        <v>311</v>
      </c>
      <c r="C339" s="45">
        <f t="shared" si="160"/>
        <v>9.136091127097874</v>
      </c>
      <c r="D339" s="10">
        <f t="shared" si="161"/>
        <v>15.363908872902357</v>
      </c>
      <c r="E339" s="40">
        <f t="shared" si="162"/>
        <v>38.272182254195286</v>
      </c>
      <c r="F339" s="40">
        <f t="shared" si="163"/>
        <v>69</v>
      </c>
      <c r="G339" s="3">
        <f t="shared" si="164"/>
        <v>386.91127098321886</v>
      </c>
      <c r="H339" s="3">
        <f t="shared" si="165"/>
        <v>221.47275588995251</v>
      </c>
      <c r="I339">
        <f t="shared" si="150"/>
        <v>2.214727558899525E-4</v>
      </c>
      <c r="J339" s="4">
        <f t="shared" si="166"/>
        <v>1829.0037755485591</v>
      </c>
      <c r="K339" s="40">
        <f t="shared" si="167"/>
        <v>8.258369153348017</v>
      </c>
      <c r="L339" s="40">
        <f t="shared" si="151"/>
        <v>0</v>
      </c>
      <c r="M339" s="10">
        <f t="shared" si="168"/>
        <v>6.329504559426999</v>
      </c>
      <c r="N339" s="10">
        <f t="shared" si="147"/>
        <v>17.20418640980624</v>
      </c>
      <c r="O339" s="10">
        <f t="shared" si="148"/>
        <v>-0.14810000000000001</v>
      </c>
      <c r="P339" s="10">
        <f t="shared" si="169"/>
        <v>13.090350780925249</v>
      </c>
      <c r="Q339" s="45">
        <f t="shared" si="170"/>
        <v>0.75479057411724337</v>
      </c>
      <c r="R339" s="4">
        <f t="shared" si="171"/>
        <v>1001659.4587268591</v>
      </c>
      <c r="S339">
        <f t="shared" si="152"/>
        <v>1.001659458726859E-3</v>
      </c>
      <c r="T339" s="44">
        <f t="shared" si="153"/>
        <v>1.0747369357551448E-3</v>
      </c>
      <c r="U339" s="45">
        <f t="shared" si="172"/>
        <v>1.7880122168003798</v>
      </c>
      <c r="V339" s="45">
        <f t="shared" si="173"/>
        <v>1.5708168173267938</v>
      </c>
      <c r="W339" s="45">
        <f t="shared" si="174"/>
        <v>1.5517416924250198</v>
      </c>
      <c r="X339" s="45">
        <f t="shared" si="175"/>
        <v>1.9075124901773988E-2</v>
      </c>
      <c r="Y339" s="45">
        <f t="shared" si="149"/>
        <v>2.1028733745967792E-2</v>
      </c>
      <c r="Z339" s="10">
        <f t="shared" si="176"/>
        <v>19.566400899018443</v>
      </c>
      <c r="AA339">
        <f t="shared" si="154"/>
        <v>6330741.4006936988</v>
      </c>
      <c r="AB339" s="10">
        <f t="shared" si="155"/>
        <v>6.3307414006936984</v>
      </c>
      <c r="AC339" s="10">
        <f t="shared" si="156"/>
        <v>6.2297414006936984</v>
      </c>
      <c r="AD339" s="3">
        <f t="shared" si="157"/>
        <v>903.51579415427102</v>
      </c>
      <c r="AI339" s="100">
        <f t="shared" si="158"/>
        <v>1.5517416924250198</v>
      </c>
    </row>
    <row r="340" spans="2:35">
      <c r="B340" s="39">
        <f t="shared" si="159"/>
        <v>312</v>
      </c>
      <c r="C340" s="45">
        <f t="shared" si="160"/>
        <v>9.165467625898831</v>
      </c>
      <c r="D340" s="10">
        <f t="shared" si="161"/>
        <v>15.3345323741014</v>
      </c>
      <c r="E340" s="40">
        <f t="shared" si="162"/>
        <v>38.3309352517972</v>
      </c>
      <c r="F340" s="40">
        <f t="shared" si="163"/>
        <v>69</v>
      </c>
      <c r="G340" s="3">
        <f t="shared" si="164"/>
        <v>386.6762589928112</v>
      </c>
      <c r="H340" s="3">
        <f t="shared" si="165"/>
        <v>221.47275588995251</v>
      </c>
      <c r="I340">
        <f t="shared" si="150"/>
        <v>2.214727558899525E-4</v>
      </c>
      <c r="J340" s="4">
        <f t="shared" si="166"/>
        <v>1832.5385878293578</v>
      </c>
      <c r="K340" s="40">
        <f t="shared" si="167"/>
        <v>8.2743296369144694</v>
      </c>
      <c r="L340" s="40">
        <f t="shared" si="151"/>
        <v>0</v>
      </c>
      <c r="M340" s="10">
        <f t="shared" si="168"/>
        <v>6.3307414006936984</v>
      </c>
      <c r="N340" s="10">
        <f t="shared" si="147"/>
        <v>17.20418640980624</v>
      </c>
      <c r="O340" s="10">
        <f t="shared" si="148"/>
        <v>-0.14810000000000001</v>
      </c>
      <c r="P340" s="10">
        <f t="shared" si="169"/>
        <v>13.089971987981599</v>
      </c>
      <c r="Q340" s="45">
        <f t="shared" si="170"/>
        <v>0.75703477286938203</v>
      </c>
      <c r="R340" s="4">
        <f t="shared" si="171"/>
        <v>999684.21738639346</v>
      </c>
      <c r="S340">
        <f t="shared" si="152"/>
        <v>9.9968421738639342E-4</v>
      </c>
      <c r="T340" s="44">
        <f t="shared" si="153"/>
        <v>1.0767121770956104E-3</v>
      </c>
      <c r="U340" s="45">
        <f t="shared" si="172"/>
        <v>1.7844863122455819</v>
      </c>
      <c r="V340" s="45">
        <f t="shared" si="173"/>
        <v>1.5711195594587439</v>
      </c>
      <c r="W340" s="45">
        <f t="shared" si="174"/>
        <v>1.5520498335112372</v>
      </c>
      <c r="X340" s="45">
        <f t="shared" si="175"/>
        <v>1.9069725947506777E-2</v>
      </c>
      <c r="Y340" s="45">
        <f t="shared" si="149"/>
        <v>2.1071530001142813E-2</v>
      </c>
      <c r="Z340" s="10">
        <f t="shared" si="176"/>
        <v>19.570253266738799</v>
      </c>
      <c r="AA340">
        <f t="shared" si="154"/>
        <v>6331967.9550713822</v>
      </c>
      <c r="AB340" s="10">
        <f t="shared" si="155"/>
        <v>6.3319679550713825</v>
      </c>
      <c r="AC340" s="10">
        <f t="shared" si="156"/>
        <v>6.2309679550713826</v>
      </c>
      <c r="AD340" s="3">
        <f t="shared" si="157"/>
        <v>903.69368456437746</v>
      </c>
      <c r="AI340" s="100">
        <f t="shared" si="158"/>
        <v>1.5520498335112372</v>
      </c>
    </row>
    <row r="341" spans="2:35">
      <c r="B341" s="39">
        <f t="shared" si="159"/>
        <v>313</v>
      </c>
      <c r="C341" s="45">
        <f t="shared" si="160"/>
        <v>9.1948441246997881</v>
      </c>
      <c r="D341" s="10">
        <f t="shared" si="161"/>
        <v>15.305155875300443</v>
      </c>
      <c r="E341" s="40">
        <f t="shared" si="162"/>
        <v>38.389688249399114</v>
      </c>
      <c r="F341" s="40">
        <f t="shared" si="163"/>
        <v>69</v>
      </c>
      <c r="G341" s="3">
        <f t="shared" si="164"/>
        <v>386.44124700240354</v>
      </c>
      <c r="H341" s="3">
        <f t="shared" si="165"/>
        <v>221.47275588995251</v>
      </c>
      <c r="I341">
        <f t="shared" si="150"/>
        <v>2.214727558899525E-4</v>
      </c>
      <c r="J341" s="4">
        <f t="shared" si="166"/>
        <v>1836.0788223651307</v>
      </c>
      <c r="K341" s="40">
        <f t="shared" si="167"/>
        <v>8.2903146031986843</v>
      </c>
      <c r="L341" s="40">
        <f t="shared" si="151"/>
        <v>0</v>
      </c>
      <c r="M341" s="10">
        <f t="shared" si="168"/>
        <v>6.3319679550713825</v>
      </c>
      <c r="N341" s="10">
        <f t="shared" si="147"/>
        <v>17.20418640980624</v>
      </c>
      <c r="O341" s="10">
        <f t="shared" si="148"/>
        <v>-0.14810000000000001</v>
      </c>
      <c r="P341" s="10">
        <f t="shared" si="169"/>
        <v>13.089596429382244</v>
      </c>
      <c r="Q341" s="45">
        <f t="shared" si="170"/>
        <v>0.75927903601068225</v>
      </c>
      <c r="R341" s="4">
        <f t="shared" si="171"/>
        <v>997708.54210949363</v>
      </c>
      <c r="S341">
        <f t="shared" si="152"/>
        <v>9.9770854210949373E-4</v>
      </c>
      <c r="T341" s="44">
        <f t="shared" si="153"/>
        <v>1.0786878523725101E-3</v>
      </c>
      <c r="U341" s="45">
        <f t="shared" si="172"/>
        <v>1.7809596330925517</v>
      </c>
      <c r="V341" s="45">
        <f t="shared" si="173"/>
        <v>1.5714196290667541</v>
      </c>
      <c r="W341" s="45">
        <f t="shared" si="174"/>
        <v>1.5523554117680591</v>
      </c>
      <c r="X341" s="45">
        <f t="shared" si="175"/>
        <v>1.9064217298695008E-2</v>
      </c>
      <c r="Y341" s="45">
        <f t="shared" si="149"/>
        <v>2.1114315121344013E-2</v>
      </c>
      <c r="Z341" s="10">
        <f t="shared" si="176"/>
        <v>19.574073328910053</v>
      </c>
      <c r="AA341">
        <f t="shared" si="154"/>
        <v>6333184.2236935114</v>
      </c>
      <c r="AB341" s="10">
        <f t="shared" si="155"/>
        <v>6.3331842236935119</v>
      </c>
      <c r="AC341" s="10">
        <f t="shared" si="156"/>
        <v>6.2321842236935119</v>
      </c>
      <c r="AD341" s="3">
        <f t="shared" si="157"/>
        <v>903.87008320428015</v>
      </c>
      <c r="AI341" s="100">
        <f t="shared" si="158"/>
        <v>1.5523554117680591</v>
      </c>
    </row>
    <row r="342" spans="2:35">
      <c r="B342" s="39">
        <f t="shared" si="159"/>
        <v>314</v>
      </c>
      <c r="C342" s="45">
        <f t="shared" si="160"/>
        <v>9.2242206235007451</v>
      </c>
      <c r="D342" s="10">
        <f t="shared" si="161"/>
        <v>15.275779376499486</v>
      </c>
      <c r="E342" s="40">
        <f t="shared" si="162"/>
        <v>38.448441247001028</v>
      </c>
      <c r="F342" s="40">
        <f t="shared" si="163"/>
        <v>69</v>
      </c>
      <c r="G342" s="3">
        <f t="shared" si="164"/>
        <v>386.20623501199589</v>
      </c>
      <c r="H342" s="3">
        <f t="shared" si="165"/>
        <v>221.47275588995251</v>
      </c>
      <c r="I342">
        <f t="shared" si="150"/>
        <v>2.214727558899525E-4</v>
      </c>
      <c r="J342" s="4">
        <f t="shared" si="166"/>
        <v>1839.6244791558775</v>
      </c>
      <c r="K342" s="40">
        <f t="shared" si="167"/>
        <v>8.3063240522006581</v>
      </c>
      <c r="L342" s="40">
        <f t="shared" si="151"/>
        <v>0</v>
      </c>
      <c r="M342" s="10">
        <f t="shared" si="168"/>
        <v>6.3331842236935119</v>
      </c>
      <c r="N342" s="10">
        <f t="shared" si="147"/>
        <v>17.20418640980624</v>
      </c>
      <c r="O342" s="10">
        <f t="shared" si="148"/>
        <v>-0.14810000000000001</v>
      </c>
      <c r="P342" s="10">
        <f t="shared" si="169"/>
        <v>13.089224102643799</v>
      </c>
      <c r="Q342" s="45">
        <f t="shared" si="170"/>
        <v>0.76152336299069201</v>
      </c>
      <c r="R342" s="4">
        <f t="shared" si="171"/>
        <v>995732.43671904458</v>
      </c>
      <c r="S342">
        <f t="shared" si="152"/>
        <v>9.9573243671904465E-4</v>
      </c>
      <c r="T342" s="44">
        <f t="shared" si="153"/>
        <v>1.0806639577629592E-3</v>
      </c>
      <c r="U342" s="45">
        <f t="shared" si="172"/>
        <v>1.7774321861653304</v>
      </c>
      <c r="V342" s="45">
        <f t="shared" si="173"/>
        <v>1.5717170263692821</v>
      </c>
      <c r="W342" s="45">
        <f t="shared" si="174"/>
        <v>1.5526584274778714</v>
      </c>
      <c r="X342" s="45">
        <f t="shared" si="175"/>
        <v>1.9058598891410705E-2</v>
      </c>
      <c r="Y342" s="45">
        <f t="shared" si="149"/>
        <v>2.1157088849037189E-2</v>
      </c>
      <c r="Z342" s="10">
        <f t="shared" si="176"/>
        <v>19.577861089060157</v>
      </c>
      <c r="AA342">
        <f t="shared" si="154"/>
        <v>6334390.2076833509</v>
      </c>
      <c r="AB342" s="10">
        <f t="shared" si="155"/>
        <v>6.3343902076833505</v>
      </c>
      <c r="AC342" s="10">
        <f t="shared" si="156"/>
        <v>6.2333902076833505</v>
      </c>
      <c r="AD342" s="3">
        <f t="shared" si="157"/>
        <v>904.04499023688913</v>
      </c>
      <c r="AI342" s="100">
        <f t="shared" si="158"/>
        <v>1.5526584274778714</v>
      </c>
    </row>
    <row r="343" spans="2:35">
      <c r="B343" s="39">
        <f t="shared" si="159"/>
        <v>315</v>
      </c>
      <c r="C343" s="45">
        <f t="shared" si="160"/>
        <v>9.2535971223017022</v>
      </c>
      <c r="D343" s="10">
        <f t="shared" si="161"/>
        <v>15.246402877698529</v>
      </c>
      <c r="E343" s="40">
        <f t="shared" si="162"/>
        <v>38.507194244602942</v>
      </c>
      <c r="F343" s="40">
        <f t="shared" si="163"/>
        <v>69</v>
      </c>
      <c r="G343" s="3">
        <f t="shared" si="164"/>
        <v>385.97122302158823</v>
      </c>
      <c r="H343" s="3">
        <f t="shared" si="165"/>
        <v>221.47275588995251</v>
      </c>
      <c r="I343">
        <f t="shared" si="150"/>
        <v>2.214727558899525E-4</v>
      </c>
      <c r="J343" s="4">
        <f t="shared" si="166"/>
        <v>1843.1755582015981</v>
      </c>
      <c r="K343" s="40">
        <f t="shared" si="167"/>
        <v>8.3223579839203907</v>
      </c>
      <c r="L343" s="40">
        <f t="shared" si="151"/>
        <v>0</v>
      </c>
      <c r="M343" s="10">
        <f t="shared" si="168"/>
        <v>6.3343902076833505</v>
      </c>
      <c r="N343" s="10">
        <f t="shared" si="147"/>
        <v>17.20418640980624</v>
      </c>
      <c r="O343" s="10">
        <f t="shared" si="148"/>
        <v>-0.14810000000000001</v>
      </c>
      <c r="P343" s="10">
        <f t="shared" si="169"/>
        <v>13.088855005305682</v>
      </c>
      <c r="Q343" s="45">
        <f t="shared" si="170"/>
        <v>0.76376775325928692</v>
      </c>
      <c r="R343" s="4">
        <f t="shared" si="171"/>
        <v>993755.90503793117</v>
      </c>
      <c r="S343">
        <f t="shared" si="152"/>
        <v>9.9375590503793113E-4</v>
      </c>
      <c r="T343" s="44">
        <f t="shared" si="153"/>
        <v>1.0826404894440727E-3</v>
      </c>
      <c r="U343" s="45">
        <f t="shared" si="172"/>
        <v>1.7739039782879591</v>
      </c>
      <c r="V343" s="45">
        <f t="shared" si="173"/>
        <v>1.5720117515836991</v>
      </c>
      <c r="W343" s="45">
        <f t="shared" si="174"/>
        <v>1.5529588809205199</v>
      </c>
      <c r="X343" s="45">
        <f t="shared" si="175"/>
        <v>1.9052870663179178E-2</v>
      </c>
      <c r="Y343" s="45">
        <f t="shared" si="149"/>
        <v>2.1199850926542425E-2</v>
      </c>
      <c r="Z343" s="10">
        <f t="shared" si="176"/>
        <v>19.58161655068746</v>
      </c>
      <c r="AA343">
        <f t="shared" si="154"/>
        <v>6335585.9081547391</v>
      </c>
      <c r="AB343" s="10">
        <f t="shared" si="155"/>
        <v>6.335585908154739</v>
      </c>
      <c r="AC343" s="10">
        <f t="shared" si="156"/>
        <v>6.234585908154739</v>
      </c>
      <c r="AD343" s="3">
        <f t="shared" si="157"/>
        <v>904.2184058237475</v>
      </c>
      <c r="AI343" s="100">
        <f t="shared" si="158"/>
        <v>1.5529588809205199</v>
      </c>
    </row>
    <row r="344" spans="2:35">
      <c r="B344" s="39">
        <f t="shared" si="159"/>
        <v>316</v>
      </c>
      <c r="C344" s="45">
        <f t="shared" si="160"/>
        <v>9.2829736211026592</v>
      </c>
      <c r="D344" s="10">
        <f t="shared" si="161"/>
        <v>15.217026378897572</v>
      </c>
      <c r="E344" s="40">
        <f t="shared" si="162"/>
        <v>38.565947242204857</v>
      </c>
      <c r="F344" s="40">
        <f t="shared" si="163"/>
        <v>69</v>
      </c>
      <c r="G344" s="3">
        <f t="shared" si="164"/>
        <v>385.73621103118057</v>
      </c>
      <c r="H344" s="3">
        <f t="shared" si="165"/>
        <v>221.47275588995251</v>
      </c>
      <c r="I344">
        <f t="shared" si="150"/>
        <v>2.214727558899525E-4</v>
      </c>
      <c r="J344" s="4">
        <f t="shared" si="166"/>
        <v>1846.7320595022929</v>
      </c>
      <c r="K344" s="40">
        <f t="shared" si="167"/>
        <v>8.3384163983578858</v>
      </c>
      <c r="L344" s="40">
        <f t="shared" si="151"/>
        <v>0</v>
      </c>
      <c r="M344" s="10">
        <f t="shared" si="168"/>
        <v>6.335585908154739</v>
      </c>
      <c r="N344" s="10">
        <f t="shared" si="147"/>
        <v>17.20418640980624</v>
      </c>
      <c r="O344" s="10">
        <f t="shared" si="148"/>
        <v>-0.14810000000000001</v>
      </c>
      <c r="P344" s="10">
        <f t="shared" si="169"/>
        <v>13.088489134929834</v>
      </c>
      <c r="Q344" s="45">
        <f t="shared" si="170"/>
        <v>0.76601220626666722</v>
      </c>
      <c r="R344" s="4">
        <f t="shared" si="171"/>
        <v>991778.95088903804</v>
      </c>
      <c r="S344">
        <f t="shared" si="152"/>
        <v>9.917789508890381E-4</v>
      </c>
      <c r="T344" s="44">
        <f t="shared" si="153"/>
        <v>1.0846174435929657E-3</v>
      </c>
      <c r="U344" s="45">
        <f t="shared" si="172"/>
        <v>1.7703750162844774</v>
      </c>
      <c r="V344" s="45">
        <f t="shared" si="173"/>
        <v>1.5723038049260414</v>
      </c>
      <c r="W344" s="45">
        <f t="shared" si="174"/>
        <v>1.5532567723735009</v>
      </c>
      <c r="X344" s="45">
        <f t="shared" si="175"/>
        <v>1.9047032552540477E-2</v>
      </c>
      <c r="Y344" s="45">
        <f t="shared" si="149"/>
        <v>2.1242601096036644E-2</v>
      </c>
      <c r="Z344" s="10">
        <f t="shared" si="176"/>
        <v>19.585339717262144</v>
      </c>
      <c r="AA344">
        <f t="shared" si="154"/>
        <v>6336771.3262125459</v>
      </c>
      <c r="AB344" s="10">
        <f t="shared" si="155"/>
        <v>6.3367713262125456</v>
      </c>
      <c r="AC344" s="10">
        <f t="shared" si="156"/>
        <v>6.2357713262125456</v>
      </c>
      <c r="AD344" s="3">
        <f t="shared" si="157"/>
        <v>904.39033012509731</v>
      </c>
      <c r="AI344" s="100">
        <f t="shared" si="158"/>
        <v>1.5532567723735009</v>
      </c>
    </row>
    <row r="345" spans="2:35">
      <c r="B345" s="39">
        <f t="shared" si="159"/>
        <v>317</v>
      </c>
      <c r="C345" s="45">
        <f t="shared" si="160"/>
        <v>9.3123501199036163</v>
      </c>
      <c r="D345" s="10">
        <f t="shared" si="161"/>
        <v>15.187649880096615</v>
      </c>
      <c r="E345" s="40">
        <f t="shared" si="162"/>
        <v>38.624700239806771</v>
      </c>
      <c r="F345" s="40">
        <f t="shared" si="163"/>
        <v>69</v>
      </c>
      <c r="G345" s="3">
        <f t="shared" si="164"/>
        <v>385.50119904077292</v>
      </c>
      <c r="H345" s="3">
        <f t="shared" si="165"/>
        <v>221.47275588995251</v>
      </c>
      <c r="I345">
        <f t="shared" si="150"/>
        <v>2.214727558899525E-4</v>
      </c>
      <c r="J345" s="4">
        <f t="shared" si="166"/>
        <v>1850.2939830579612</v>
      </c>
      <c r="K345" s="40">
        <f t="shared" si="167"/>
        <v>8.3544992955131363</v>
      </c>
      <c r="L345" s="40">
        <f t="shared" si="151"/>
        <v>0</v>
      </c>
      <c r="M345" s="10">
        <f t="shared" si="168"/>
        <v>6.3367713262125456</v>
      </c>
      <c r="N345" s="10">
        <f t="shared" si="147"/>
        <v>17.20418640980624</v>
      </c>
      <c r="O345" s="10">
        <f t="shared" si="148"/>
        <v>-0.14810000000000001</v>
      </c>
      <c r="P345" s="10">
        <f t="shared" si="169"/>
        <v>13.088126489100517</v>
      </c>
      <c r="Q345" s="45">
        <f t="shared" si="170"/>
        <v>0.768256721463355</v>
      </c>
      <c r="R345" s="4">
        <f t="shared" si="171"/>
        <v>989801.5780952503</v>
      </c>
      <c r="S345">
        <f t="shared" si="152"/>
        <v>9.8980157809525028E-4</v>
      </c>
      <c r="T345" s="44">
        <f t="shared" si="153"/>
        <v>1.0865948163867535E-3</v>
      </c>
      <c r="U345" s="45">
        <f t="shared" si="172"/>
        <v>1.7668453069789265</v>
      </c>
      <c r="V345" s="45">
        <f t="shared" si="173"/>
        <v>1.5725931866086849</v>
      </c>
      <c r="W345" s="45">
        <f t="shared" si="174"/>
        <v>1.5535521021120766</v>
      </c>
      <c r="X345" s="45">
        <f t="shared" si="175"/>
        <v>1.904108449660824E-2</v>
      </c>
      <c r="Y345" s="45">
        <f t="shared" si="149"/>
        <v>2.1285339099550698E-2</v>
      </c>
      <c r="Z345" s="10">
        <f t="shared" si="176"/>
        <v>19.589030592222677</v>
      </c>
      <c r="AA345">
        <f t="shared" si="154"/>
        <v>6337946.4629515447</v>
      </c>
      <c r="AB345" s="10">
        <f t="shared" si="155"/>
        <v>6.3379464629515443</v>
      </c>
      <c r="AC345" s="10">
        <f t="shared" si="156"/>
        <v>6.2369464629515443</v>
      </c>
      <c r="AD345" s="3">
        <f t="shared" si="157"/>
        <v>904.56076329971643</v>
      </c>
      <c r="AI345" s="100">
        <f t="shared" si="158"/>
        <v>1.5535521021120766</v>
      </c>
    </row>
    <row r="346" spans="2:35">
      <c r="B346" s="39">
        <f t="shared" si="159"/>
        <v>318</v>
      </c>
      <c r="C346" s="45">
        <f t="shared" si="160"/>
        <v>9.3417266187045733</v>
      </c>
      <c r="D346" s="10">
        <f t="shared" si="161"/>
        <v>15.158273381295658</v>
      </c>
      <c r="E346" s="40">
        <f t="shared" si="162"/>
        <v>38.683453237408685</v>
      </c>
      <c r="F346" s="40">
        <f t="shared" si="163"/>
        <v>69</v>
      </c>
      <c r="G346" s="3">
        <f t="shared" si="164"/>
        <v>385.26618705036526</v>
      </c>
      <c r="H346" s="3">
        <f t="shared" si="165"/>
        <v>221.47275588995251</v>
      </c>
      <c r="I346">
        <f t="shared" si="150"/>
        <v>2.214727558899525E-4</v>
      </c>
      <c r="J346" s="4">
        <f t="shared" si="166"/>
        <v>1853.8613288686038</v>
      </c>
      <c r="K346" s="40">
        <f t="shared" si="167"/>
        <v>8.370606675386151</v>
      </c>
      <c r="L346" s="40">
        <f t="shared" si="151"/>
        <v>0</v>
      </c>
      <c r="M346" s="10">
        <f t="shared" si="168"/>
        <v>6.3379464629515443</v>
      </c>
      <c r="N346" s="10">
        <f t="shared" si="147"/>
        <v>17.20418640980624</v>
      </c>
      <c r="O346" s="10">
        <f t="shared" si="148"/>
        <v>-0.14810000000000001</v>
      </c>
      <c r="P346" s="10">
        <f t="shared" si="169"/>
        <v>13.087767065424631</v>
      </c>
      <c r="Q346" s="45">
        <f t="shared" si="170"/>
        <v>0.7705012983001911</v>
      </c>
      <c r="R346" s="4">
        <f t="shared" si="171"/>
        <v>987823.79047945235</v>
      </c>
      <c r="S346">
        <f t="shared" si="152"/>
        <v>9.8782379047945238E-4</v>
      </c>
      <c r="T346" s="44">
        <f t="shared" si="153"/>
        <v>1.0885726040025514E-3</v>
      </c>
      <c r="U346" s="45">
        <f t="shared" si="172"/>
        <v>1.7633148571953463</v>
      </c>
      <c r="V346" s="45">
        <f t="shared" si="173"/>
        <v>1.5728798968435533</v>
      </c>
      <c r="W346" s="45">
        <f t="shared" si="174"/>
        <v>1.5538448704089936</v>
      </c>
      <c r="X346" s="45">
        <f t="shared" si="175"/>
        <v>1.9035026434559787E-2</v>
      </c>
      <c r="Y346" s="45">
        <f t="shared" si="149"/>
        <v>2.1328064678974273E-2</v>
      </c>
      <c r="Z346" s="10">
        <f t="shared" si="176"/>
        <v>19.592689178979452</v>
      </c>
      <c r="AA346">
        <f t="shared" si="154"/>
        <v>6339111.3194575701</v>
      </c>
      <c r="AB346" s="10">
        <f t="shared" si="155"/>
        <v>6.3391113194575697</v>
      </c>
      <c r="AC346" s="10">
        <f t="shared" si="156"/>
        <v>6.2381113194575697</v>
      </c>
      <c r="AD346" s="3">
        <f t="shared" si="157"/>
        <v>904.72970550508626</v>
      </c>
      <c r="AI346" s="100">
        <f t="shared" si="158"/>
        <v>1.5538448704089936</v>
      </c>
    </row>
    <row r="347" spans="2:35">
      <c r="B347" s="39">
        <f t="shared" si="159"/>
        <v>319</v>
      </c>
      <c r="C347" s="45">
        <f t="shared" si="160"/>
        <v>9.3711031175055304</v>
      </c>
      <c r="D347" s="10">
        <f t="shared" si="161"/>
        <v>15.128896882494701</v>
      </c>
      <c r="E347" s="40">
        <f t="shared" si="162"/>
        <v>38.742206235010599</v>
      </c>
      <c r="F347" s="40">
        <f t="shared" si="163"/>
        <v>69</v>
      </c>
      <c r="G347" s="3">
        <f t="shared" si="164"/>
        <v>385.0311750599576</v>
      </c>
      <c r="H347" s="3">
        <f t="shared" si="165"/>
        <v>221.47275588995251</v>
      </c>
      <c r="I347">
        <f t="shared" si="150"/>
        <v>2.214727558899525E-4</v>
      </c>
      <c r="J347" s="4">
        <f t="shared" si="166"/>
        <v>1857.4340969342202</v>
      </c>
      <c r="K347" s="40">
        <f t="shared" si="167"/>
        <v>8.3867385379769228</v>
      </c>
      <c r="L347" s="40">
        <f t="shared" si="151"/>
        <v>0</v>
      </c>
      <c r="M347" s="10">
        <f t="shared" si="168"/>
        <v>6.3391113194575697</v>
      </c>
      <c r="N347" s="10">
        <f t="shared" si="147"/>
        <v>17.20418640980624</v>
      </c>
      <c r="O347" s="10">
        <f t="shared" si="148"/>
        <v>-0.14810000000000001</v>
      </c>
      <c r="P347" s="10">
        <f t="shared" si="169"/>
        <v>13.087410861531295</v>
      </c>
      <c r="Q347" s="45">
        <f t="shared" si="170"/>
        <v>0.7727459362283321</v>
      </c>
      <c r="R347" s="4">
        <f t="shared" si="171"/>
        <v>985845.59186452918</v>
      </c>
      <c r="S347">
        <f t="shared" si="152"/>
        <v>9.8584559186452913E-4</v>
      </c>
      <c r="T347" s="44">
        <f t="shared" si="153"/>
        <v>1.0905508026174747E-3</v>
      </c>
      <c r="U347" s="45">
        <f t="shared" si="172"/>
        <v>1.7597836737577779</v>
      </c>
      <c r="V347" s="45">
        <f t="shared" si="173"/>
        <v>1.5731639358392771</v>
      </c>
      <c r="W347" s="45">
        <f t="shared" si="174"/>
        <v>1.5541350775347722</v>
      </c>
      <c r="X347" s="45">
        <f t="shared" si="175"/>
        <v>1.9028858304504848E-2</v>
      </c>
      <c r="Y347" s="45">
        <f t="shared" si="149"/>
        <v>2.1370777576053785E-2</v>
      </c>
      <c r="Z347" s="10">
        <f t="shared" si="176"/>
        <v>19.596315480911962</v>
      </c>
      <c r="AA347">
        <f t="shared" si="154"/>
        <v>6340265.8968066163</v>
      </c>
      <c r="AB347" s="10">
        <f t="shared" si="155"/>
        <v>6.3402658968066161</v>
      </c>
      <c r="AC347" s="10">
        <f t="shared" si="156"/>
        <v>6.2392658968066161</v>
      </c>
      <c r="AD347" s="3">
        <f t="shared" si="157"/>
        <v>904.8971568972612</v>
      </c>
      <c r="AI347" s="100">
        <f t="shared" si="158"/>
        <v>1.5541350775347722</v>
      </c>
    </row>
    <row r="348" spans="2:35">
      <c r="B348" s="39">
        <f t="shared" si="159"/>
        <v>320</v>
      </c>
      <c r="C348" s="45">
        <f t="shared" si="160"/>
        <v>9.4004796163064874</v>
      </c>
      <c r="D348" s="10">
        <f t="shared" si="161"/>
        <v>15.099520383693743</v>
      </c>
      <c r="E348" s="40">
        <f t="shared" si="162"/>
        <v>38.800959232612513</v>
      </c>
      <c r="F348" s="40">
        <f t="shared" si="163"/>
        <v>69</v>
      </c>
      <c r="G348" s="3">
        <f t="shared" si="164"/>
        <v>384.79616306954995</v>
      </c>
      <c r="H348" s="3">
        <f t="shared" si="165"/>
        <v>221.47275588995251</v>
      </c>
      <c r="I348">
        <f t="shared" si="150"/>
        <v>2.214727558899525E-4</v>
      </c>
      <c r="J348" s="4">
        <f t="shared" si="166"/>
        <v>1861.0122872548104</v>
      </c>
      <c r="K348" s="40">
        <f t="shared" si="167"/>
        <v>8.4028948832854535</v>
      </c>
      <c r="L348" s="40">
        <f t="shared" si="151"/>
        <v>0</v>
      </c>
      <c r="M348" s="10">
        <f t="shared" si="168"/>
        <v>6.3402658968066161</v>
      </c>
      <c r="N348" s="10">
        <f t="shared" ref="N348:N411" si="177">IF(fueltype=1,VLOOKUP($M348,kndxbn_,4),IF(fueltype=2,VLOOKUP($M348,knsobn_,4),IF(fueltype=3,VLOOKUP($M348,knsbcobn_,4),IF(fueltype=4,VLOOKUP($M348,knsubn_,4),IF(fueltype=5,am_1,IF(fueltype=6,am_0,IF(fueltype=7,am_3,am_4)))))))</f>
        <v>17.20418640980624</v>
      </c>
      <c r="O348" s="10">
        <f t="shared" ref="O348:O411" si="178">IF(fueltype=1,VLOOKUP($M348,kndxbn_,5),IF(fueltype=2,VLOOKUP($M348,knsobn_,5),IF(fueltype=3,VLOOKUP($M348,knsbcobn_,5),IF(fueltype=4,VLOOKUP($M348,knsubn_,5),IF(fueltype=5,nm_1,IF(fueltype=6,an_0,IF(fueltype=7,nm_3,nm_4)))))))</f>
        <v>-0.14810000000000001</v>
      </c>
      <c r="P348" s="10">
        <f t="shared" si="169"/>
        <v>13.087057875072091</v>
      </c>
      <c r="Q348" s="45">
        <f t="shared" si="170"/>
        <v>0.77499063469924767</v>
      </c>
      <c r="R348" s="4">
        <f t="shared" si="171"/>
        <v>983866.98607336567</v>
      </c>
      <c r="S348">
        <f t="shared" si="152"/>
        <v>9.8386698607336566E-4</v>
      </c>
      <c r="T348" s="44">
        <f t="shared" si="153"/>
        <v>1.0925294084086381E-3</v>
      </c>
      <c r="U348" s="45">
        <f t="shared" si="172"/>
        <v>1.7562517634902615</v>
      </c>
      <c r="V348" s="45">
        <f t="shared" si="173"/>
        <v>1.5734453038032408</v>
      </c>
      <c r="W348" s="45">
        <f t="shared" si="174"/>
        <v>1.5544227237574817</v>
      </c>
      <c r="X348" s="45">
        <f t="shared" si="175"/>
        <v>1.9022580045759074E-2</v>
      </c>
      <c r="Y348" s="45">
        <f t="shared" si="149"/>
        <v>2.1413477532395371E-2</v>
      </c>
      <c r="Z348" s="10">
        <f t="shared" si="176"/>
        <v>19.599909501370696</v>
      </c>
      <c r="AA348">
        <f t="shared" si="154"/>
        <v>6341410.1960654464</v>
      </c>
      <c r="AB348" s="10">
        <f t="shared" si="155"/>
        <v>6.3414101960654463</v>
      </c>
      <c r="AC348" s="10">
        <f t="shared" si="156"/>
        <v>6.2404101960654463</v>
      </c>
      <c r="AD348" s="3">
        <f t="shared" si="157"/>
        <v>905.06311763095664</v>
      </c>
      <c r="AI348" s="100">
        <f t="shared" si="158"/>
        <v>1.5544227237574817</v>
      </c>
    </row>
    <row r="349" spans="2:35">
      <c r="B349" s="39">
        <f t="shared" si="159"/>
        <v>321</v>
      </c>
      <c r="C349" s="45">
        <f t="shared" si="160"/>
        <v>9.4298561151074445</v>
      </c>
      <c r="D349" s="10">
        <f t="shared" si="161"/>
        <v>15.070143884892786</v>
      </c>
      <c r="E349" s="40">
        <f t="shared" si="162"/>
        <v>38.859712230214427</v>
      </c>
      <c r="F349" s="40">
        <f t="shared" si="163"/>
        <v>69</v>
      </c>
      <c r="G349" s="3">
        <f t="shared" si="164"/>
        <v>384.56115107914229</v>
      </c>
      <c r="H349" s="3">
        <f t="shared" si="165"/>
        <v>221.47275588995251</v>
      </c>
      <c r="I349">
        <f t="shared" si="150"/>
        <v>2.214727558899525E-4</v>
      </c>
      <c r="J349" s="4">
        <f t="shared" si="166"/>
        <v>1864.5958998303749</v>
      </c>
      <c r="K349" s="40">
        <f t="shared" si="167"/>
        <v>8.4190757113117467</v>
      </c>
      <c r="L349" s="40">
        <f t="shared" si="151"/>
        <v>0</v>
      </c>
      <c r="M349" s="10">
        <f t="shared" si="168"/>
        <v>6.3414101960654463</v>
      </c>
      <c r="N349" s="10">
        <f t="shared" si="177"/>
        <v>17.20418640980624</v>
      </c>
      <c r="O349" s="10">
        <f t="shared" si="178"/>
        <v>-0.14810000000000001</v>
      </c>
      <c r="P349" s="10">
        <f t="shared" si="169"/>
        <v>13.086708103720815</v>
      </c>
      <c r="Q349" s="45">
        <f t="shared" si="170"/>
        <v>0.77723539316471735</v>
      </c>
      <c r="R349" s="4">
        <f t="shared" si="171"/>
        <v>981887.97692884633</v>
      </c>
      <c r="S349">
        <f t="shared" si="152"/>
        <v>9.8188797692884628E-4</v>
      </c>
      <c r="T349" s="44">
        <f t="shared" si="153"/>
        <v>1.0945084175531575E-3</v>
      </c>
      <c r="U349" s="45">
        <f t="shared" si="172"/>
        <v>1.7527191332168373</v>
      </c>
      <c r="V349" s="45">
        <f t="shared" si="173"/>
        <v>1.5737240009405948</v>
      </c>
      <c r="W349" s="45">
        <f t="shared" si="174"/>
        <v>1.554707809342889</v>
      </c>
      <c r="X349" s="45">
        <f t="shared" si="175"/>
        <v>1.9016191597705845E-2</v>
      </c>
      <c r="Y349" s="45">
        <f t="shared" si="149"/>
        <v>2.1456164289465316E-2</v>
      </c>
      <c r="Z349" s="10">
        <f t="shared" si="176"/>
        <v>19.603471243676612</v>
      </c>
      <c r="AA349">
        <f t="shared" si="154"/>
        <v>6342544.2182914186</v>
      </c>
      <c r="AB349" s="10">
        <f t="shared" si="155"/>
        <v>6.3425442182914189</v>
      </c>
      <c r="AC349" s="10">
        <f t="shared" si="156"/>
        <v>6.2415442182914189</v>
      </c>
      <c r="AD349" s="3">
        <f t="shared" si="157"/>
        <v>905.22758785952408</v>
      </c>
      <c r="AI349" s="100">
        <f t="shared" si="158"/>
        <v>1.554707809342889</v>
      </c>
    </row>
    <row r="350" spans="2:35">
      <c r="B350" s="39">
        <f t="shared" si="159"/>
        <v>322</v>
      </c>
      <c r="C350" s="45">
        <f t="shared" si="160"/>
        <v>9.4592326139084015</v>
      </c>
      <c r="D350" s="10">
        <f t="shared" si="161"/>
        <v>15.040767386091829</v>
      </c>
      <c r="E350" s="40">
        <f t="shared" si="162"/>
        <v>38.918465227816341</v>
      </c>
      <c r="F350" s="40">
        <f t="shared" si="163"/>
        <v>69</v>
      </c>
      <c r="G350" s="3">
        <f t="shared" si="164"/>
        <v>384.32613908873464</v>
      </c>
      <c r="H350" s="3">
        <f t="shared" si="165"/>
        <v>221.47275588995251</v>
      </c>
      <c r="I350">
        <f t="shared" si="150"/>
        <v>2.214727558899525E-4</v>
      </c>
      <c r="J350" s="4">
        <f t="shared" si="166"/>
        <v>1868.1849346609124</v>
      </c>
      <c r="K350" s="40">
        <f t="shared" si="167"/>
        <v>8.4352810220557952</v>
      </c>
      <c r="L350" s="40">
        <f t="shared" si="151"/>
        <v>0</v>
      </c>
      <c r="M350" s="10">
        <f t="shared" si="168"/>
        <v>6.3425442182914189</v>
      </c>
      <c r="N350" s="10">
        <f t="shared" si="177"/>
        <v>17.20418640980624</v>
      </c>
      <c r="O350" s="10">
        <f t="shared" si="178"/>
        <v>-0.14810000000000001</v>
      </c>
      <c r="P350" s="10">
        <f t="shared" si="169"/>
        <v>13.086361545173514</v>
      </c>
      <c r="Q350" s="45">
        <f t="shared" si="170"/>
        <v>0.77948021107682774</v>
      </c>
      <c r="R350" s="4">
        <f t="shared" si="171"/>
        <v>979908.56825385662</v>
      </c>
      <c r="S350">
        <f t="shared" si="152"/>
        <v>9.7990856825385655E-4</v>
      </c>
      <c r="T350" s="44">
        <f t="shared" si="153"/>
        <v>1.0964878262281473E-3</v>
      </c>
      <c r="U350" s="45">
        <f t="shared" si="172"/>
        <v>1.7491857897615468</v>
      </c>
      <c r="V350" s="45">
        <f t="shared" si="173"/>
        <v>1.5740000274537516</v>
      </c>
      <c r="W350" s="45">
        <f t="shared" si="174"/>
        <v>1.5549903345544207</v>
      </c>
      <c r="X350" s="45">
        <f t="shared" si="175"/>
        <v>1.9009692899330854E-2</v>
      </c>
      <c r="Y350" s="45">
        <f t="shared" ref="Y350:Y413" si="179">IF((X350*(Q350-Q349)+Y349)&lt;0,0,X350*(Q350-Q349)+Y349)</f>
        <v>2.1498837588589451E-2</v>
      </c>
      <c r="Z350" s="10">
        <f t="shared" si="176"/>
        <v>19.607000711119767</v>
      </c>
      <c r="AA350">
        <f t="shared" si="154"/>
        <v>6343667.9645320531</v>
      </c>
      <c r="AB350" s="10">
        <f t="shared" si="155"/>
        <v>6.3436679645320533</v>
      </c>
      <c r="AC350" s="10">
        <f t="shared" si="156"/>
        <v>6.2426679645320533</v>
      </c>
      <c r="AD350" s="3">
        <f t="shared" si="157"/>
        <v>905.39056773488801</v>
      </c>
      <c r="AI350" s="100">
        <f t="shared" si="158"/>
        <v>1.5549903345544207</v>
      </c>
    </row>
    <row r="351" spans="2:35">
      <c r="B351" s="39">
        <f t="shared" si="159"/>
        <v>323</v>
      </c>
      <c r="C351" s="45">
        <f t="shared" si="160"/>
        <v>9.4886091127093586</v>
      </c>
      <c r="D351" s="10">
        <f t="shared" si="161"/>
        <v>15.011390887290872</v>
      </c>
      <c r="E351" s="40">
        <f t="shared" si="162"/>
        <v>38.977218225418255</v>
      </c>
      <c r="F351" s="40">
        <f t="shared" si="163"/>
        <v>69</v>
      </c>
      <c r="G351" s="3">
        <f t="shared" si="164"/>
        <v>384.09112709832698</v>
      </c>
      <c r="H351" s="3">
        <f t="shared" si="165"/>
        <v>221.47275588995251</v>
      </c>
      <c r="I351">
        <f t="shared" si="150"/>
        <v>2.214727558899525E-4</v>
      </c>
      <c r="J351" s="4">
        <f t="shared" si="166"/>
        <v>1871.7793917464246</v>
      </c>
      <c r="K351" s="40">
        <f t="shared" si="167"/>
        <v>8.451510815517608</v>
      </c>
      <c r="L351" s="40">
        <f t="shared" si="151"/>
        <v>0</v>
      </c>
      <c r="M351" s="10">
        <f t="shared" si="168"/>
        <v>6.3436679645320533</v>
      </c>
      <c r="N351" s="10">
        <f t="shared" si="177"/>
        <v>17.20418640980624</v>
      </c>
      <c r="O351" s="10">
        <f t="shared" si="178"/>
        <v>-0.14810000000000001</v>
      </c>
      <c r="P351" s="10">
        <f t="shared" si="169"/>
        <v>13.08601819714854</v>
      </c>
      <c r="Q351" s="45">
        <f t="shared" si="170"/>
        <v>0.78172508788796946</v>
      </c>
      <c r="R351" s="4">
        <f t="shared" si="171"/>
        <v>977928.76387128059</v>
      </c>
      <c r="S351">
        <f t="shared" si="152"/>
        <v>9.7792876387128055E-4</v>
      </c>
      <c r="T351" s="44">
        <f t="shared" si="153"/>
        <v>1.0984676306107233E-3</v>
      </c>
      <c r="U351" s="45">
        <f t="shared" si="172"/>
        <v>1.7456517399484295</v>
      </c>
      <c r="V351" s="45">
        <f t="shared" si="173"/>
        <v>1.574273383544802</v>
      </c>
      <c r="W351" s="45">
        <f t="shared" si="174"/>
        <v>1.555270299653051</v>
      </c>
      <c r="X351" s="45">
        <f t="shared" si="175"/>
        <v>1.9003083891750983E-2</v>
      </c>
      <c r="Y351" s="45">
        <f t="shared" si="179"/>
        <v>2.1541497170958223E-2</v>
      </c>
      <c r="Z351" s="10">
        <f t="shared" si="176"/>
        <v>19.610497906963026</v>
      </c>
      <c r="AA351">
        <f t="shared" si="154"/>
        <v>6344781.4358262131</v>
      </c>
      <c r="AB351" s="10">
        <f t="shared" si="155"/>
        <v>6.3447814358262127</v>
      </c>
      <c r="AC351" s="10">
        <f t="shared" si="156"/>
        <v>6.2437814358262127</v>
      </c>
      <c r="AD351" s="3">
        <f t="shared" si="157"/>
        <v>905.5520574077176</v>
      </c>
      <c r="AI351" s="100">
        <f t="shared" si="158"/>
        <v>1.555270299653051</v>
      </c>
    </row>
    <row r="352" spans="2:35">
      <c r="B352" s="39">
        <f t="shared" si="159"/>
        <v>324</v>
      </c>
      <c r="C352" s="45">
        <f t="shared" si="160"/>
        <v>9.5179856115103156</v>
      </c>
      <c r="D352" s="10">
        <f t="shared" si="161"/>
        <v>14.982014388489915</v>
      </c>
      <c r="E352" s="40">
        <f t="shared" si="162"/>
        <v>39.035971223020169</v>
      </c>
      <c r="F352" s="40">
        <f t="shared" si="163"/>
        <v>69</v>
      </c>
      <c r="G352" s="3">
        <f t="shared" si="164"/>
        <v>383.85611510791932</v>
      </c>
      <c r="H352" s="3">
        <f t="shared" si="165"/>
        <v>221.47275588995251</v>
      </c>
      <c r="I352">
        <f t="shared" si="150"/>
        <v>2.214727558899525E-4</v>
      </c>
      <c r="J352" s="4">
        <f t="shared" si="166"/>
        <v>1875.3792710869102</v>
      </c>
      <c r="K352" s="40">
        <f t="shared" si="167"/>
        <v>8.4677650916971761</v>
      </c>
      <c r="L352" s="40">
        <f t="shared" si="151"/>
        <v>0</v>
      </c>
      <c r="M352" s="10">
        <f t="shared" si="168"/>
        <v>6.3447814358262127</v>
      </c>
      <c r="N352" s="10">
        <f t="shared" si="177"/>
        <v>17.20418640980624</v>
      </c>
      <c r="O352" s="10">
        <f t="shared" si="178"/>
        <v>-0.14810000000000001</v>
      </c>
      <c r="P352" s="10">
        <f t="shared" si="169"/>
        <v>13.085678057386167</v>
      </c>
      <c r="Q352" s="45">
        <f t="shared" si="170"/>
        <v>0.78397002305083452</v>
      </c>
      <c r="R352" s="4">
        <f t="shared" si="171"/>
        <v>975948.56760400359</v>
      </c>
      <c r="S352">
        <f t="shared" si="152"/>
        <v>9.7594856760400354E-4</v>
      </c>
      <c r="T352" s="44">
        <f t="shared" si="153"/>
        <v>1.1004478268780002E-3</v>
      </c>
      <c r="U352" s="45">
        <f t="shared" si="172"/>
        <v>1.7421169906015266</v>
      </c>
      <c r="V352" s="45">
        <f t="shared" si="173"/>
        <v>1.5745440694116699</v>
      </c>
      <c r="W352" s="45">
        <f t="shared" si="174"/>
        <v>1.5555477048975974</v>
      </c>
      <c r="X352" s="45">
        <f t="shared" si="175"/>
        <v>1.8996364514072495E-2</v>
      </c>
      <c r="Y352" s="45">
        <f t="shared" si="179"/>
        <v>2.1584142777622467E-2</v>
      </c>
      <c r="Z352" s="10">
        <f t="shared" si="176"/>
        <v>19.613962834437373</v>
      </c>
      <c r="AA352">
        <f t="shared" si="154"/>
        <v>6345884.6332026105</v>
      </c>
      <c r="AB352" s="10">
        <f t="shared" si="155"/>
        <v>6.3458846332026102</v>
      </c>
      <c r="AC352" s="10">
        <f t="shared" si="156"/>
        <v>6.2448846332026102</v>
      </c>
      <c r="AD352" s="3">
        <f t="shared" si="157"/>
        <v>905.71205702720965</v>
      </c>
      <c r="AI352" s="100">
        <f t="shared" si="158"/>
        <v>1.5555477048975974</v>
      </c>
    </row>
    <row r="353" spans="2:35">
      <c r="B353" s="39">
        <f t="shared" si="159"/>
        <v>325</v>
      </c>
      <c r="C353" s="45">
        <f t="shared" si="160"/>
        <v>9.5473621103112727</v>
      </c>
      <c r="D353" s="10">
        <f t="shared" si="161"/>
        <v>14.952637889688958</v>
      </c>
      <c r="E353" s="40">
        <f t="shared" si="162"/>
        <v>39.094724220622084</v>
      </c>
      <c r="F353" s="40">
        <f t="shared" si="163"/>
        <v>69</v>
      </c>
      <c r="G353" s="3">
        <f t="shared" si="164"/>
        <v>383.62110311751167</v>
      </c>
      <c r="H353" s="3">
        <f t="shared" si="165"/>
        <v>221.47275588995251</v>
      </c>
      <c r="I353">
        <f t="shared" si="150"/>
        <v>2.214727558899525E-4</v>
      </c>
      <c r="J353" s="4">
        <f t="shared" si="166"/>
        <v>1878.9845726823701</v>
      </c>
      <c r="K353" s="40">
        <f t="shared" si="167"/>
        <v>8.4840438505945066</v>
      </c>
      <c r="L353" s="40">
        <f t="shared" si="151"/>
        <v>0</v>
      </c>
      <c r="M353" s="10">
        <f t="shared" si="168"/>
        <v>6.3458846332026102</v>
      </c>
      <c r="N353" s="10">
        <f t="shared" si="177"/>
        <v>17.20418640980624</v>
      </c>
      <c r="O353" s="10">
        <f t="shared" si="178"/>
        <v>-0.14810000000000001</v>
      </c>
      <c r="P353" s="10">
        <f t="shared" si="169"/>
        <v>13.085341123648995</v>
      </c>
      <c r="Q353" s="45">
        <f t="shared" si="170"/>
        <v>0.78621501601841304</v>
      </c>
      <c r="R353" s="4">
        <f t="shared" si="171"/>
        <v>973967.9832749099</v>
      </c>
      <c r="S353">
        <f t="shared" si="152"/>
        <v>9.7396798327490991E-4</v>
      </c>
      <c r="T353" s="44">
        <f t="shared" si="153"/>
        <v>1.1024284112070939E-3</v>
      </c>
      <c r="U353" s="45">
        <f t="shared" si="172"/>
        <v>1.7385815485448779</v>
      </c>
      <c r="V353" s="45">
        <f t="shared" si="173"/>
        <v>1.5748120852521261</v>
      </c>
      <c r="W353" s="45">
        <f t="shared" si="174"/>
        <v>1.5558225505443486</v>
      </c>
      <c r="X353" s="45">
        <f t="shared" si="175"/>
        <v>1.8989534707777533E-2</v>
      </c>
      <c r="Y353" s="45">
        <f t="shared" si="179"/>
        <v>2.1626774149499015E-2</v>
      </c>
      <c r="Z353" s="10">
        <f t="shared" si="176"/>
        <v>19.617395496746113</v>
      </c>
      <c r="AA353">
        <f t="shared" si="154"/>
        <v>6346977.5576811451</v>
      </c>
      <c r="AB353" s="10">
        <f t="shared" si="155"/>
        <v>6.3469775576811456</v>
      </c>
      <c r="AC353" s="10">
        <f t="shared" si="156"/>
        <v>6.2459775576811456</v>
      </c>
      <c r="AD353" s="3">
        <f t="shared" si="157"/>
        <v>905.8705667412828</v>
      </c>
      <c r="AI353" s="100">
        <f t="shared" si="158"/>
        <v>1.5558225505443486</v>
      </c>
    </row>
    <row r="354" spans="2:35">
      <c r="B354" s="39">
        <f t="shared" si="159"/>
        <v>326</v>
      </c>
      <c r="C354" s="45">
        <f t="shared" si="160"/>
        <v>9.5767386091122297</v>
      </c>
      <c r="D354" s="10">
        <f t="shared" si="161"/>
        <v>14.923261390888001</v>
      </c>
      <c r="E354" s="40">
        <f t="shared" si="162"/>
        <v>39.153477218223998</v>
      </c>
      <c r="F354" s="40">
        <f t="shared" si="163"/>
        <v>69</v>
      </c>
      <c r="G354" s="3">
        <f t="shared" si="164"/>
        <v>383.38609112710401</v>
      </c>
      <c r="H354" s="3">
        <f t="shared" si="165"/>
        <v>221.47275588995251</v>
      </c>
      <c r="I354">
        <f t="shared" si="150"/>
        <v>2.214727558899525E-4</v>
      </c>
      <c r="J354" s="4">
        <f t="shared" si="166"/>
        <v>1882.5952965328038</v>
      </c>
      <c r="K354" s="40">
        <f t="shared" si="167"/>
        <v>8.5003470922095978</v>
      </c>
      <c r="L354" s="40">
        <f t="shared" si="151"/>
        <v>0</v>
      </c>
      <c r="M354" s="10">
        <f t="shared" si="168"/>
        <v>6.3469775576811456</v>
      </c>
      <c r="N354" s="10">
        <f t="shared" si="177"/>
        <v>17.20418640980624</v>
      </c>
      <c r="O354" s="10">
        <f t="shared" si="178"/>
        <v>-0.14810000000000001</v>
      </c>
      <c r="P354" s="10">
        <f t="shared" si="169"/>
        <v>13.085007393721504</v>
      </c>
      <c r="Q354" s="45">
        <f t="shared" si="170"/>
        <v>0.78846006624399056</v>
      </c>
      <c r="R354" s="4">
        <f t="shared" si="171"/>
        <v>971987.01470688474</v>
      </c>
      <c r="S354">
        <f t="shared" si="152"/>
        <v>9.7198701470688469E-4</v>
      </c>
      <c r="T354" s="44">
        <f t="shared" si="153"/>
        <v>1.1044093797751191E-3</v>
      </c>
      <c r="U354" s="45">
        <f t="shared" si="172"/>
        <v>1.7350454206025248</v>
      </c>
      <c r="V354" s="45">
        <f t="shared" si="173"/>
        <v>1.5750774312603584</v>
      </c>
      <c r="W354" s="45">
        <f t="shared" si="174"/>
        <v>1.5560948368473979</v>
      </c>
      <c r="X354" s="45">
        <f t="shared" si="175"/>
        <v>1.8982594412960463E-2</v>
      </c>
      <c r="Y354" s="45">
        <f t="shared" si="179"/>
        <v>2.1669391027367878E-2</v>
      </c>
      <c r="Z354" s="10">
        <f t="shared" si="176"/>
        <v>19.620795897061488</v>
      </c>
      <c r="AA354">
        <f t="shared" si="154"/>
        <v>6348060.210271826</v>
      </c>
      <c r="AB354" s="10">
        <f t="shared" si="155"/>
        <v>6.348060210271826</v>
      </c>
      <c r="AC354" s="10">
        <f t="shared" si="156"/>
        <v>6.247060210271826</v>
      </c>
      <c r="AD354" s="3">
        <f t="shared" si="157"/>
        <v>906.02758669642151</v>
      </c>
      <c r="AI354" s="100">
        <f t="shared" si="158"/>
        <v>1.5560948368473979</v>
      </c>
    </row>
    <row r="355" spans="2:35">
      <c r="B355" s="39">
        <f t="shared" si="159"/>
        <v>327</v>
      </c>
      <c r="C355" s="45">
        <f t="shared" si="160"/>
        <v>9.6061151079131868</v>
      </c>
      <c r="D355" s="10">
        <f t="shared" si="161"/>
        <v>14.893884892087044</v>
      </c>
      <c r="E355" s="40">
        <f t="shared" si="162"/>
        <v>39.212230215825912</v>
      </c>
      <c r="F355" s="40">
        <f t="shared" si="163"/>
        <v>69</v>
      </c>
      <c r="G355" s="3">
        <f t="shared" si="164"/>
        <v>383.15107913669635</v>
      </c>
      <c r="H355" s="3">
        <f t="shared" si="165"/>
        <v>221.47275588995251</v>
      </c>
      <c r="I355">
        <f t="shared" si="150"/>
        <v>2.214727558899525E-4</v>
      </c>
      <c r="J355" s="4">
        <f t="shared" si="166"/>
        <v>1886.2114426382113</v>
      </c>
      <c r="K355" s="40">
        <f t="shared" si="167"/>
        <v>8.5166748165424462</v>
      </c>
      <c r="L355" s="40">
        <f t="shared" si="151"/>
        <v>0</v>
      </c>
      <c r="M355" s="10">
        <f t="shared" si="168"/>
        <v>6.348060210271826</v>
      </c>
      <c r="N355" s="10">
        <f t="shared" si="177"/>
        <v>17.20418640980624</v>
      </c>
      <c r="O355" s="10">
        <f t="shared" si="178"/>
        <v>-0.14810000000000001</v>
      </c>
      <c r="P355" s="10">
        <f t="shared" si="169"/>
        <v>13.084676865410328</v>
      </c>
      <c r="Q355" s="45">
        <f t="shared" si="170"/>
        <v>0.79070517318114508</v>
      </c>
      <c r="R355" s="4">
        <f t="shared" si="171"/>
        <v>970005.66572281276</v>
      </c>
      <c r="S355">
        <f t="shared" si="152"/>
        <v>9.7000566572281273E-4</v>
      </c>
      <c r="T355" s="44">
        <f t="shared" si="153"/>
        <v>1.1063907287591911E-3</v>
      </c>
      <c r="U355" s="45">
        <f t="shared" si="172"/>
        <v>1.7315086135985069</v>
      </c>
      <c r="V355" s="45">
        <f t="shared" si="173"/>
        <v>1.575340107629982</v>
      </c>
      <c r="W355" s="45">
        <f t="shared" si="174"/>
        <v>1.556364564058375</v>
      </c>
      <c r="X355" s="45">
        <f t="shared" si="175"/>
        <v>1.8975543571607023E-2</v>
      </c>
      <c r="Y355" s="45">
        <f t="shared" si="179"/>
        <v>2.171199315187677E-2</v>
      </c>
      <c r="Z355" s="10">
        <f t="shared" si="176"/>
        <v>19.62416403852788</v>
      </c>
      <c r="AA355">
        <f t="shared" si="154"/>
        <v>6349132.5919757923</v>
      </c>
      <c r="AB355" s="10">
        <f t="shared" si="155"/>
        <v>6.3491325919757919</v>
      </c>
      <c r="AC355" s="10">
        <f t="shared" si="156"/>
        <v>6.248132591975792</v>
      </c>
      <c r="AD355" s="3">
        <f t="shared" si="157"/>
        <v>906.18311703782342</v>
      </c>
      <c r="AI355" s="100">
        <f t="shared" si="158"/>
        <v>1.556364564058375</v>
      </c>
    </row>
    <row r="356" spans="2:35">
      <c r="B356" s="39">
        <f t="shared" si="159"/>
        <v>328</v>
      </c>
      <c r="C356" s="45">
        <f t="shared" si="160"/>
        <v>9.6354916067141438</v>
      </c>
      <c r="D356" s="10">
        <f t="shared" si="161"/>
        <v>14.864508393286087</v>
      </c>
      <c r="E356" s="40">
        <f t="shared" si="162"/>
        <v>39.270983213427826</v>
      </c>
      <c r="F356" s="40">
        <f t="shared" si="163"/>
        <v>69</v>
      </c>
      <c r="G356" s="3">
        <f t="shared" si="164"/>
        <v>382.9160671462887</v>
      </c>
      <c r="H356" s="3">
        <f t="shared" si="165"/>
        <v>221.47275588995251</v>
      </c>
      <c r="I356">
        <f t="shared" si="150"/>
        <v>2.214727558899525E-4</v>
      </c>
      <c r="J356" s="4">
        <f t="shared" si="166"/>
        <v>1889.8330109985927</v>
      </c>
      <c r="K356" s="40">
        <f t="shared" si="167"/>
        <v>8.5330270235930552</v>
      </c>
      <c r="L356" s="40">
        <f t="shared" si="151"/>
        <v>0</v>
      </c>
      <c r="M356" s="10">
        <f t="shared" si="168"/>
        <v>6.3491325919757919</v>
      </c>
      <c r="N356" s="10">
        <f t="shared" si="177"/>
        <v>17.20418640980624</v>
      </c>
      <c r="O356" s="10">
        <f t="shared" si="178"/>
        <v>-0.14810000000000001</v>
      </c>
      <c r="P356" s="10">
        <f t="shared" si="169"/>
        <v>13.084349536543918</v>
      </c>
      <c r="Q356" s="45">
        <f t="shared" si="170"/>
        <v>0.79295033628374412</v>
      </c>
      <c r="R356" s="4">
        <f t="shared" si="171"/>
        <v>968023.94014557893</v>
      </c>
      <c r="S356">
        <f t="shared" si="152"/>
        <v>9.6802394014557894E-4</v>
      </c>
      <c r="T356" s="44">
        <f t="shared" si="153"/>
        <v>1.1083724543364249E-3</v>
      </c>
      <c r="U356" s="45">
        <f t="shared" si="172"/>
        <v>1.7279711343568656</v>
      </c>
      <c r="V356" s="45">
        <f t="shared" si="173"/>
        <v>1.5756001145512966</v>
      </c>
      <c r="W356" s="45">
        <f t="shared" si="174"/>
        <v>1.5566317324266989</v>
      </c>
      <c r="X356" s="45">
        <f t="shared" si="175"/>
        <v>1.8968382124597616E-2</v>
      </c>
      <c r="Y356" s="45">
        <f t="shared" si="179"/>
        <v>2.1754580263538915E-2</v>
      </c>
      <c r="Z356" s="10">
        <f t="shared" si="176"/>
        <v>19.627499924258977</v>
      </c>
      <c r="AA356">
        <f t="shared" si="154"/>
        <v>6350194.7037844099</v>
      </c>
      <c r="AB356" s="10">
        <f t="shared" si="155"/>
        <v>6.3501947037844095</v>
      </c>
      <c r="AC356" s="10">
        <f t="shared" si="156"/>
        <v>6.2491947037844096</v>
      </c>
      <c r="AD356" s="3">
        <f t="shared" si="157"/>
        <v>906.33715790926897</v>
      </c>
      <c r="AI356" s="100">
        <f t="shared" si="158"/>
        <v>1.5566317324266989</v>
      </c>
    </row>
    <row r="357" spans="2:35">
      <c r="B357" s="39">
        <f t="shared" si="159"/>
        <v>329</v>
      </c>
      <c r="C357" s="45">
        <f t="shared" si="160"/>
        <v>9.6648681055151009</v>
      </c>
      <c r="D357" s="10">
        <f t="shared" si="161"/>
        <v>14.83513189448513</v>
      </c>
      <c r="E357" s="40">
        <f t="shared" si="162"/>
        <v>39.32973621102974</v>
      </c>
      <c r="F357" s="40">
        <f t="shared" si="163"/>
        <v>69</v>
      </c>
      <c r="G357" s="3">
        <f t="shared" si="164"/>
        <v>382.68105515588104</v>
      </c>
      <c r="H357" s="3">
        <f t="shared" si="165"/>
        <v>221.47275588995251</v>
      </c>
      <c r="I357">
        <f t="shared" si="150"/>
        <v>2.214727558899525E-4</v>
      </c>
      <c r="J357" s="4">
        <f t="shared" si="166"/>
        <v>1893.4600016139484</v>
      </c>
      <c r="K357" s="40">
        <f t="shared" si="167"/>
        <v>8.5494037133614249</v>
      </c>
      <c r="L357" s="40">
        <f t="shared" si="151"/>
        <v>0</v>
      </c>
      <c r="M357" s="10">
        <f t="shared" si="168"/>
        <v>6.3501947037844095</v>
      </c>
      <c r="N357" s="10">
        <f t="shared" si="177"/>
        <v>17.20418640980624</v>
      </c>
      <c r="O357" s="10">
        <f t="shared" si="178"/>
        <v>-0.14810000000000001</v>
      </c>
      <c r="P357" s="10">
        <f t="shared" si="169"/>
        <v>13.084025404972765</v>
      </c>
      <c r="Q357" s="45">
        <f t="shared" si="170"/>
        <v>0.79519555500594197</v>
      </c>
      <c r="R357" s="4">
        <f t="shared" si="171"/>
        <v>966041.84179806756</v>
      </c>
      <c r="S357">
        <f t="shared" si="152"/>
        <v>9.6604184179806751E-4</v>
      </c>
      <c r="T357" s="44">
        <f t="shared" si="153"/>
        <v>1.1103545526839364E-3</v>
      </c>
      <c r="U357" s="45">
        <f t="shared" si="172"/>
        <v>1.7244329897016406</v>
      </c>
      <c r="V357" s="45">
        <f t="shared" si="173"/>
        <v>1.5758574522135873</v>
      </c>
      <c r="W357" s="45">
        <f t="shared" si="174"/>
        <v>1.5568963421993536</v>
      </c>
      <c r="X357" s="45">
        <f t="shared" si="175"/>
        <v>1.8961110014233729E-2</v>
      </c>
      <c r="Y357" s="45">
        <f t="shared" si="179"/>
        <v>2.1797152102736528E-2</v>
      </c>
      <c r="Z357" s="10">
        <f t="shared" si="176"/>
        <v>19.630803557340041</v>
      </c>
      <c r="AA357">
        <f t="shared" si="154"/>
        <v>6351246.546679996</v>
      </c>
      <c r="AB357" s="10">
        <f t="shared" si="155"/>
        <v>6.3512465466799961</v>
      </c>
      <c r="AC357" s="10">
        <f t="shared" si="156"/>
        <v>6.2502465466799961</v>
      </c>
      <c r="AD357" s="3">
        <f t="shared" si="157"/>
        <v>906.4897094532264</v>
      </c>
      <c r="AI357" s="100">
        <f t="shared" si="158"/>
        <v>1.5568963421993536</v>
      </c>
    </row>
    <row r="358" spans="2:35">
      <c r="B358" s="39">
        <f t="shared" si="159"/>
        <v>330</v>
      </c>
      <c r="C358" s="45">
        <f t="shared" si="160"/>
        <v>9.6942446043160579</v>
      </c>
      <c r="D358" s="10">
        <f t="shared" si="161"/>
        <v>14.805755395684173</v>
      </c>
      <c r="E358" s="40">
        <f t="shared" si="162"/>
        <v>39.388489208631654</v>
      </c>
      <c r="F358" s="40">
        <f t="shared" si="163"/>
        <v>69</v>
      </c>
      <c r="G358" s="3">
        <f t="shared" si="164"/>
        <v>382.44604316547338</v>
      </c>
      <c r="H358" s="3">
        <f t="shared" si="165"/>
        <v>221.47275588995251</v>
      </c>
      <c r="I358">
        <f t="shared" si="150"/>
        <v>2.214727558899525E-4</v>
      </c>
      <c r="J358" s="4">
        <f t="shared" si="166"/>
        <v>1897.0924144842779</v>
      </c>
      <c r="K358" s="40">
        <f t="shared" si="167"/>
        <v>8.5658048858475535</v>
      </c>
      <c r="L358" s="40">
        <f t="shared" si="151"/>
        <v>0</v>
      </c>
      <c r="M358" s="10">
        <f t="shared" si="168"/>
        <v>6.3512465466799961</v>
      </c>
      <c r="N358" s="10">
        <f t="shared" si="177"/>
        <v>17.20418640980624</v>
      </c>
      <c r="O358" s="10">
        <f t="shared" si="178"/>
        <v>-0.14810000000000001</v>
      </c>
      <c r="P358" s="10">
        <f t="shared" si="169"/>
        <v>13.083704468569136</v>
      </c>
      <c r="Q358" s="45">
        <f t="shared" si="170"/>
        <v>0.7974408288021767</v>
      </c>
      <c r="R358" s="4">
        <f t="shared" si="171"/>
        <v>964059.37450316397</v>
      </c>
      <c r="S358">
        <f t="shared" si="152"/>
        <v>9.6405937450316401E-4</v>
      </c>
      <c r="T358" s="44">
        <f t="shared" si="153"/>
        <v>1.1123370199788399E-3</v>
      </c>
      <c r="U358" s="45">
        <f t="shared" si="172"/>
        <v>1.7208941864568728</v>
      </c>
      <c r="V358" s="45">
        <f t="shared" si="173"/>
        <v>1.5761121208034088</v>
      </c>
      <c r="W358" s="45">
        <f t="shared" si="174"/>
        <v>1.5571583936210696</v>
      </c>
      <c r="X358" s="45">
        <f t="shared" si="175"/>
        <v>1.8953727182339231E-2</v>
      </c>
      <c r="Y358" s="45">
        <f t="shared" si="179"/>
        <v>2.1839708409720018E-2</v>
      </c>
      <c r="Z358" s="10">
        <f t="shared" si="176"/>
        <v>19.634074940826366</v>
      </c>
      <c r="AA358">
        <f t="shared" si="154"/>
        <v>6352288.1216353225</v>
      </c>
      <c r="AB358" s="10">
        <f t="shared" si="155"/>
        <v>6.3522881216353229</v>
      </c>
      <c r="AC358" s="10">
        <f t="shared" si="156"/>
        <v>6.2512881216353229</v>
      </c>
      <c r="AD358" s="3">
        <f t="shared" si="157"/>
        <v>906.64077181077914</v>
      </c>
      <c r="AI358" s="100">
        <f t="shared" si="158"/>
        <v>1.5571583936210696</v>
      </c>
    </row>
    <row r="359" spans="2:35">
      <c r="B359" s="39">
        <f t="shared" si="159"/>
        <v>331</v>
      </c>
      <c r="C359" s="45">
        <f t="shared" si="160"/>
        <v>9.723621103117015</v>
      </c>
      <c r="D359" s="10">
        <f t="shared" si="161"/>
        <v>14.776378896883216</v>
      </c>
      <c r="E359" s="40">
        <f t="shared" si="162"/>
        <v>39.447242206233568</v>
      </c>
      <c r="F359" s="40">
        <f t="shared" si="163"/>
        <v>69</v>
      </c>
      <c r="G359" s="3">
        <f t="shared" si="164"/>
        <v>382.21103117506573</v>
      </c>
      <c r="H359" s="3">
        <f t="shared" si="165"/>
        <v>221.47275588995251</v>
      </c>
      <c r="I359">
        <f t="shared" ref="I359:I422" si="180">H359/1000^2</f>
        <v>2.214727558899525E-4</v>
      </c>
      <c r="J359" s="4">
        <f t="shared" si="166"/>
        <v>1900.7302496095813</v>
      </c>
      <c r="K359" s="40">
        <f t="shared" si="167"/>
        <v>8.5822305410514428</v>
      </c>
      <c r="L359" s="40">
        <f t="shared" ref="L359:L422" si="181">IF((gstar-K359)&lt;0,0,gstar-K359)</f>
        <v>0</v>
      </c>
      <c r="M359" s="10">
        <f t="shared" si="168"/>
        <v>6.3522881216353229</v>
      </c>
      <c r="N359" s="10">
        <f t="shared" si="177"/>
        <v>17.20418640980624</v>
      </c>
      <c r="O359" s="10">
        <f t="shared" si="178"/>
        <v>-0.14810000000000001</v>
      </c>
      <c r="P359" s="10">
        <f t="shared" si="169"/>
        <v>13.083386725227191</v>
      </c>
      <c r="Q359" s="45">
        <f t="shared" si="170"/>
        <v>0.79968615712716729</v>
      </c>
      <c r="R359" s="4">
        <f t="shared" si="171"/>
        <v>962076.54208375281</v>
      </c>
      <c r="S359">
        <f t="shared" ref="S359:S422" si="182">R359/1000^3</f>
        <v>9.6207654208375285E-4</v>
      </c>
      <c r="T359" s="44">
        <f t="shared" ref="T359:T422" si="183">(vc/1000^3-S359)</f>
        <v>1.1143198523982508E-3</v>
      </c>
      <c r="U359" s="45">
        <f t="shared" si="172"/>
        <v>1.7173547314466031</v>
      </c>
      <c r="V359" s="45">
        <f t="shared" si="173"/>
        <v>1.5763641205054013</v>
      </c>
      <c r="W359" s="45">
        <f t="shared" si="174"/>
        <v>1.5574178869341988</v>
      </c>
      <c r="X359" s="45">
        <f t="shared" si="175"/>
        <v>1.8946233571202509E-2</v>
      </c>
      <c r="Y359" s="45">
        <f t="shared" si="179"/>
        <v>2.1882248924609327E-2</v>
      </c>
      <c r="Z359" s="10">
        <f t="shared" si="176"/>
        <v>19.637314077743586</v>
      </c>
      <c r="AA359">
        <f t="shared" ref="AA359:AA422" si="184">Z359*rat*to+patm*1000000</f>
        <v>6353319.4296137225</v>
      </c>
      <c r="AB359" s="10">
        <f t="shared" ref="AB359:AB422" si="185">AA359/1000000</f>
        <v>6.3533194296137223</v>
      </c>
      <c r="AC359" s="10">
        <f t="shared" ref="AC359:AC422" si="186">AB359-patm</f>
        <v>6.2523194296137223</v>
      </c>
      <c r="AD359" s="3">
        <f t="shared" ref="AD359:AD422" si="187">AC359*1000000/6895</f>
        <v>906.79034512164208</v>
      </c>
      <c r="AI359" s="100">
        <f t="shared" ref="AI359:AI422" si="188">($M359-patm)*1000000*$I359/SQRT(rat*to)*SQRT(k)*(2/(k+1))^((k+1)/2/(k-1))</f>
        <v>1.5574178869341988</v>
      </c>
    </row>
    <row r="360" spans="2:35">
      <c r="B360" s="39">
        <f t="shared" ref="B360:B423" si="189">1+B359</f>
        <v>332</v>
      </c>
      <c r="C360" s="45">
        <f t="shared" ref="C360:C423" si="190">xincp+C359</f>
        <v>9.752997601917972</v>
      </c>
      <c r="D360" s="10">
        <f t="shared" ref="D360:D423" si="191">(F360-E360)/2</f>
        <v>14.747002398082259</v>
      </c>
      <c r="E360" s="40">
        <f t="shared" ref="E360:E423" si="192">E359+ci*2*xincp</f>
        <v>39.505995203835482</v>
      </c>
      <c r="F360" s="40">
        <f t="shared" ref="F360:F423" si="193">F359-osi*2*xincp</f>
        <v>69</v>
      </c>
      <c r="G360" s="3">
        <f t="shared" ref="G360:G423" si="194">G359-ei*n*2*xincp</f>
        <v>381.97601918465807</v>
      </c>
      <c r="H360" s="3">
        <f t="shared" ref="H360:H423" si="195">PI()/4*(dto+erate*(two-D360)/two)^2</f>
        <v>221.47275588995251</v>
      </c>
      <c r="I360">
        <f t="shared" si="180"/>
        <v>2.214727558899525E-4</v>
      </c>
      <c r="J360" s="4">
        <f t="shared" ref="J360:J423" si="196">PI()/4*dc^2-PI()/4*(F360^2-E360^2)</f>
        <v>1904.3735069898585</v>
      </c>
      <c r="K360" s="40">
        <f t="shared" ref="K360:K423" si="197">J360/H360</f>
        <v>8.598680678973091</v>
      </c>
      <c r="L360" s="40">
        <f t="shared" si="181"/>
        <v>0</v>
      </c>
      <c r="M360" s="10">
        <f t="shared" ref="M360:M423" si="198">AB359</f>
        <v>6.3533194296137223</v>
      </c>
      <c r="N360" s="10">
        <f t="shared" si="177"/>
        <v>17.20418640980624</v>
      </c>
      <c r="O360" s="10">
        <f t="shared" si="178"/>
        <v>-0.14810000000000001</v>
      </c>
      <c r="P360" s="10">
        <f t="shared" ref="P360:P423" si="199">(1+kv*L360)*N360*M360^O360</f>
        <v>13.083072172862906</v>
      </c>
      <c r="Q360" s="45">
        <f t="shared" ref="Q360:Q423" si="200">xincp/P360+Q359</f>
        <v>0.80193153943591056</v>
      </c>
      <c r="R360" s="4">
        <f t="shared" ref="R360:R423" si="201">PI()/4*(F360^2-E360^2)*G360</f>
        <v>960093.34836271883</v>
      </c>
      <c r="S360">
        <f t="shared" si="182"/>
        <v>9.6009334836271885E-4</v>
      </c>
      <c r="T360" s="44">
        <f t="shared" si="183"/>
        <v>1.116303046119285E-3</v>
      </c>
      <c r="U360" s="45">
        <f t="shared" ref="U360:U423" si="202">rhopgrain*R360/1000^2</f>
        <v>1.7138146314948712</v>
      </c>
      <c r="V360" s="45">
        <f t="shared" ref="V360:V423" si="203">(U359-U360)/(Q360-Q359)</f>
        <v>1.5766134515031671</v>
      </c>
      <c r="W360" s="45">
        <f t="shared" ref="W360:W423" si="204">IF(V360&lt;AI360,IF(AB359&gt;pbd,AI360,0),AI360)</f>
        <v>1.5576748223787413</v>
      </c>
      <c r="X360" s="45">
        <f t="shared" ref="X360:X423" si="205">V360-W360</f>
        <v>1.8938629124425788E-2</v>
      </c>
      <c r="Y360" s="45">
        <f t="shared" si="179"/>
        <v>2.1924773387397161E-2</v>
      </c>
      <c r="Z360" s="10">
        <f t="shared" ref="Z360:Z423" si="206">Y360/T360</f>
        <v>19.640520971089728</v>
      </c>
      <c r="AA360">
        <f t="shared" si="184"/>
        <v>6354340.4715697356</v>
      </c>
      <c r="AB360" s="10">
        <f t="shared" si="185"/>
        <v>6.3543404715697358</v>
      </c>
      <c r="AC360" s="10">
        <f t="shared" si="186"/>
        <v>6.2533404715697358</v>
      </c>
      <c r="AD360" s="3">
        <f t="shared" si="187"/>
        <v>906.93842952425462</v>
      </c>
      <c r="AI360" s="100">
        <f t="shared" si="188"/>
        <v>1.5576748223787413</v>
      </c>
    </row>
    <row r="361" spans="2:35">
      <c r="B361" s="39">
        <f t="shared" si="189"/>
        <v>333</v>
      </c>
      <c r="C361" s="45">
        <f t="shared" si="190"/>
        <v>9.7823741007189291</v>
      </c>
      <c r="D361" s="10">
        <f t="shared" si="191"/>
        <v>14.717625899281302</v>
      </c>
      <c r="E361" s="40">
        <f t="shared" si="192"/>
        <v>39.564748201437396</v>
      </c>
      <c r="F361" s="40">
        <f t="shared" si="193"/>
        <v>69</v>
      </c>
      <c r="G361" s="3">
        <f t="shared" si="194"/>
        <v>381.74100719425041</v>
      </c>
      <c r="H361" s="3">
        <f t="shared" si="195"/>
        <v>221.47275588995251</v>
      </c>
      <c r="I361">
        <f t="shared" si="180"/>
        <v>2.214727558899525E-4</v>
      </c>
      <c r="J361" s="4">
        <f t="shared" si="196"/>
        <v>1908.0221866251095</v>
      </c>
      <c r="K361" s="40">
        <f t="shared" si="197"/>
        <v>8.615155299612498</v>
      </c>
      <c r="L361" s="40">
        <f t="shared" si="181"/>
        <v>0</v>
      </c>
      <c r="M361" s="10">
        <f t="shared" si="198"/>
        <v>6.3543404715697358</v>
      </c>
      <c r="N361" s="10">
        <f t="shared" si="177"/>
        <v>17.20418640980624</v>
      </c>
      <c r="O361" s="10">
        <f t="shared" si="178"/>
        <v>-0.14810000000000001</v>
      </c>
      <c r="P361" s="10">
        <f t="shared" si="199"/>
        <v>13.082760809413838</v>
      </c>
      <c r="Q361" s="45">
        <f t="shared" si="200"/>
        <v>0.8041769751836787</v>
      </c>
      <c r="R361" s="4">
        <f t="shared" si="201"/>
        <v>958109.7971629469</v>
      </c>
      <c r="S361">
        <f t="shared" si="182"/>
        <v>9.5810979716294694E-4</v>
      </c>
      <c r="T361" s="44">
        <f t="shared" si="183"/>
        <v>1.1182865973190569E-3</v>
      </c>
      <c r="U361" s="45">
        <f t="shared" si="202"/>
        <v>1.7102738934257184</v>
      </c>
      <c r="V361" s="45">
        <f t="shared" si="203"/>
        <v>1.5768601139765894</v>
      </c>
      <c r="W361" s="45">
        <f t="shared" si="204"/>
        <v>1.5579292001925078</v>
      </c>
      <c r="X361" s="45">
        <f t="shared" si="205"/>
        <v>1.8930913784081627E-2</v>
      </c>
      <c r="Y361" s="45">
        <f t="shared" si="179"/>
        <v>2.1967281537945856E-2</v>
      </c>
      <c r="Z361" s="10">
        <f t="shared" si="206"/>
        <v>19.643695623831572</v>
      </c>
      <c r="AA361">
        <f t="shared" si="184"/>
        <v>6355351.2484479547</v>
      </c>
      <c r="AB361" s="10">
        <f t="shared" si="185"/>
        <v>6.3553512484479544</v>
      </c>
      <c r="AC361" s="10">
        <f t="shared" si="186"/>
        <v>6.2543512484479544</v>
      </c>
      <c r="AD361" s="3">
        <f t="shared" si="187"/>
        <v>907.08502515561349</v>
      </c>
      <c r="AI361" s="100">
        <f t="shared" si="188"/>
        <v>1.5579292001925078</v>
      </c>
    </row>
    <row r="362" spans="2:35">
      <c r="B362" s="39">
        <f t="shared" si="189"/>
        <v>334</v>
      </c>
      <c r="C362" s="45">
        <f t="shared" si="190"/>
        <v>9.8117505995198862</v>
      </c>
      <c r="D362" s="10">
        <f t="shared" si="191"/>
        <v>14.688249400480345</v>
      </c>
      <c r="E362" s="40">
        <f t="shared" si="192"/>
        <v>39.62350119903931</v>
      </c>
      <c r="F362" s="40">
        <f t="shared" si="193"/>
        <v>69</v>
      </c>
      <c r="G362" s="3">
        <f t="shared" si="194"/>
        <v>381.50599520384276</v>
      </c>
      <c r="H362" s="3">
        <f t="shared" si="195"/>
        <v>221.47275588995251</v>
      </c>
      <c r="I362">
        <f t="shared" si="180"/>
        <v>2.214727558899525E-4</v>
      </c>
      <c r="J362" s="4">
        <f t="shared" si="196"/>
        <v>1911.6762885153348</v>
      </c>
      <c r="K362" s="40">
        <f t="shared" si="197"/>
        <v>8.6316544029696676</v>
      </c>
      <c r="L362" s="40">
        <f t="shared" si="181"/>
        <v>0</v>
      </c>
      <c r="M362" s="10">
        <f t="shared" si="198"/>
        <v>6.3553512484479544</v>
      </c>
      <c r="N362" s="10">
        <f t="shared" si="177"/>
        <v>17.20418640980624</v>
      </c>
      <c r="O362" s="10">
        <f t="shared" si="178"/>
        <v>-0.14810000000000001</v>
      </c>
      <c r="P362" s="10">
        <f t="shared" si="199"/>
        <v>13.082452632839434</v>
      </c>
      <c r="Q362" s="45">
        <f t="shared" si="200"/>
        <v>0.80642246382601612</v>
      </c>
      <c r="R362" s="4">
        <f t="shared" si="201"/>
        <v>956125.89230732154</v>
      </c>
      <c r="S362">
        <f t="shared" si="182"/>
        <v>9.5612589230732151E-4</v>
      </c>
      <c r="T362" s="44">
        <f t="shared" si="183"/>
        <v>1.1202705021746823E-3</v>
      </c>
      <c r="U362" s="45">
        <f t="shared" si="202"/>
        <v>1.7067325240631843</v>
      </c>
      <c r="V362" s="45">
        <f t="shared" si="203"/>
        <v>1.5771041081052943</v>
      </c>
      <c r="W362" s="45">
        <f t="shared" si="204"/>
        <v>1.5581810206108293</v>
      </c>
      <c r="X362" s="45">
        <f t="shared" si="205"/>
        <v>1.892308749446503E-2</v>
      </c>
      <c r="Y362" s="45">
        <f t="shared" si="179"/>
        <v>2.2009773115992635E-2</v>
      </c>
      <c r="Z362" s="10">
        <f t="shared" si="206"/>
        <v>19.646838038908463</v>
      </c>
      <c r="AA362">
        <f t="shared" si="184"/>
        <v>6356351.761184236</v>
      </c>
      <c r="AB362" s="10">
        <f t="shared" si="185"/>
        <v>6.3563517611842357</v>
      </c>
      <c r="AC362" s="10">
        <f t="shared" si="186"/>
        <v>6.2553517611842357</v>
      </c>
      <c r="AD362" s="3">
        <f t="shared" si="187"/>
        <v>907.23013215144829</v>
      </c>
      <c r="AI362" s="100">
        <f t="shared" si="188"/>
        <v>1.5581810206108293</v>
      </c>
    </row>
    <row r="363" spans="2:35">
      <c r="B363" s="39">
        <f t="shared" si="189"/>
        <v>335</v>
      </c>
      <c r="C363" s="45">
        <f t="shared" si="190"/>
        <v>9.8411270983208432</v>
      </c>
      <c r="D363" s="10">
        <f t="shared" si="191"/>
        <v>14.658872901679388</v>
      </c>
      <c r="E363" s="40">
        <f t="shared" si="192"/>
        <v>39.682254196641225</v>
      </c>
      <c r="F363" s="40">
        <f t="shared" si="193"/>
        <v>69</v>
      </c>
      <c r="G363" s="3">
        <f t="shared" si="194"/>
        <v>381.2709832134351</v>
      </c>
      <c r="H363" s="3">
        <f t="shared" si="195"/>
        <v>221.47275588995251</v>
      </c>
      <c r="I363">
        <f t="shared" si="180"/>
        <v>2.214727558899525E-4</v>
      </c>
      <c r="J363" s="4">
        <f t="shared" si="196"/>
        <v>1915.3358126605335</v>
      </c>
      <c r="K363" s="40">
        <f t="shared" si="197"/>
        <v>8.6481779890445925</v>
      </c>
      <c r="L363" s="40">
        <f t="shared" si="181"/>
        <v>0</v>
      </c>
      <c r="M363" s="10">
        <f t="shared" si="198"/>
        <v>6.3563517611842357</v>
      </c>
      <c r="N363" s="10">
        <f t="shared" si="177"/>
        <v>17.20418640980624</v>
      </c>
      <c r="O363" s="10">
        <f t="shared" si="178"/>
        <v>-0.14810000000000001</v>
      </c>
      <c r="P363" s="10">
        <f t="shared" si="199"/>
        <v>13.082147641120628</v>
      </c>
      <c r="Q363" s="45">
        <f t="shared" si="200"/>
        <v>0.80866800481873657</v>
      </c>
      <c r="R363" s="4">
        <f t="shared" si="201"/>
        <v>954141.6376187281</v>
      </c>
      <c r="S363">
        <f t="shared" si="182"/>
        <v>9.5414163761872815E-4</v>
      </c>
      <c r="T363" s="44">
        <f t="shared" si="183"/>
        <v>1.1222547568632757E-3</v>
      </c>
      <c r="U363" s="45">
        <f t="shared" si="202"/>
        <v>1.7031905302313106</v>
      </c>
      <c r="V363" s="45">
        <f t="shared" si="203"/>
        <v>1.5773454340651381</v>
      </c>
      <c r="W363" s="45">
        <f t="shared" si="204"/>
        <v>1.5584302838668609</v>
      </c>
      <c r="X363" s="45">
        <f t="shared" si="205"/>
        <v>1.8915150198277164E-2</v>
      </c>
      <c r="Y363" s="45">
        <f t="shared" si="179"/>
        <v>2.2052247861146332E-2</v>
      </c>
      <c r="Z363" s="10">
        <f t="shared" si="206"/>
        <v>19.649948219228584</v>
      </c>
      <c r="AA363">
        <f t="shared" si="184"/>
        <v>6357342.0107045174</v>
      </c>
      <c r="AB363" s="10">
        <f t="shared" si="185"/>
        <v>6.3573420107045173</v>
      </c>
      <c r="AC363" s="10">
        <f t="shared" si="186"/>
        <v>6.2563420107045173</v>
      </c>
      <c r="AD363" s="3">
        <f t="shared" si="187"/>
        <v>907.37375064605033</v>
      </c>
      <c r="AI363" s="100">
        <f t="shared" si="188"/>
        <v>1.5584302838668609</v>
      </c>
    </row>
    <row r="364" spans="2:35">
      <c r="B364" s="39">
        <f t="shared" si="189"/>
        <v>336</v>
      </c>
      <c r="C364" s="45">
        <f t="shared" si="190"/>
        <v>9.8705035971218003</v>
      </c>
      <c r="D364" s="10">
        <f t="shared" si="191"/>
        <v>14.629496402878431</v>
      </c>
      <c r="E364" s="40">
        <f t="shared" si="192"/>
        <v>39.741007194243139</v>
      </c>
      <c r="F364" s="40">
        <f t="shared" si="193"/>
        <v>69</v>
      </c>
      <c r="G364" s="3">
        <f t="shared" si="194"/>
        <v>381.03597122302745</v>
      </c>
      <c r="H364" s="3">
        <f t="shared" si="195"/>
        <v>221.47275588995251</v>
      </c>
      <c r="I364">
        <f t="shared" si="180"/>
        <v>2.214727558899525E-4</v>
      </c>
      <c r="J364" s="4">
        <f t="shared" si="196"/>
        <v>1919.0007590607061</v>
      </c>
      <c r="K364" s="40">
        <f t="shared" si="197"/>
        <v>8.664726057837278</v>
      </c>
      <c r="L364" s="40">
        <f t="shared" si="181"/>
        <v>0</v>
      </c>
      <c r="M364" s="10">
        <f t="shared" si="198"/>
        <v>6.3573420107045173</v>
      </c>
      <c r="N364" s="10">
        <f t="shared" si="177"/>
        <v>17.20418640980624</v>
      </c>
      <c r="O364" s="10">
        <f t="shared" si="178"/>
        <v>-0.14810000000000001</v>
      </c>
      <c r="P364" s="10">
        <f t="shared" si="199"/>
        <v>13.081845832260157</v>
      </c>
      <c r="Q364" s="45">
        <f t="shared" si="200"/>
        <v>0.81091359761792048</v>
      </c>
      <c r="R364" s="4">
        <f t="shared" si="201"/>
        <v>952157.03692005109</v>
      </c>
      <c r="S364">
        <f t="shared" si="182"/>
        <v>9.5215703692005113E-4</v>
      </c>
      <c r="T364" s="44">
        <f t="shared" si="183"/>
        <v>1.1242393575619527E-3</v>
      </c>
      <c r="U364" s="45">
        <f t="shared" si="202"/>
        <v>1.6996479187541371</v>
      </c>
      <c r="V364" s="45">
        <f t="shared" si="203"/>
        <v>1.5775840920317148</v>
      </c>
      <c r="W364" s="45">
        <f t="shared" si="204"/>
        <v>1.5586769901912865</v>
      </c>
      <c r="X364" s="45">
        <f t="shared" si="205"/>
        <v>1.890710184042832E-2</v>
      </c>
      <c r="Y364" s="45">
        <f t="shared" si="179"/>
        <v>2.2094705512892634E-2</v>
      </c>
      <c r="Z364" s="10">
        <f t="shared" si="206"/>
        <v>19.653026167672728</v>
      </c>
      <c r="AA364">
        <f t="shared" si="184"/>
        <v>6358321.9979260126</v>
      </c>
      <c r="AB364" s="10">
        <f t="shared" si="185"/>
        <v>6.358321997926013</v>
      </c>
      <c r="AC364" s="10">
        <f t="shared" si="186"/>
        <v>6.2573219979260131</v>
      </c>
      <c r="AD364" s="3">
        <f t="shared" si="187"/>
        <v>907.5158807724456</v>
      </c>
      <c r="AI364" s="100">
        <f t="shared" si="188"/>
        <v>1.5586769901912865</v>
      </c>
    </row>
    <row r="365" spans="2:35">
      <c r="B365" s="39">
        <f t="shared" si="189"/>
        <v>337</v>
      </c>
      <c r="C365" s="45">
        <f t="shared" si="190"/>
        <v>9.8998800959227573</v>
      </c>
      <c r="D365" s="10">
        <f t="shared" si="191"/>
        <v>14.600119904077474</v>
      </c>
      <c r="E365" s="40">
        <f t="shared" si="192"/>
        <v>39.799760191845053</v>
      </c>
      <c r="F365" s="40">
        <f t="shared" si="193"/>
        <v>69</v>
      </c>
      <c r="G365" s="3">
        <f t="shared" si="194"/>
        <v>380.80095923261979</v>
      </c>
      <c r="H365" s="3">
        <f t="shared" si="195"/>
        <v>221.47275588995251</v>
      </c>
      <c r="I365">
        <f t="shared" si="180"/>
        <v>2.214727558899525E-4</v>
      </c>
      <c r="J365" s="4">
        <f t="shared" si="196"/>
        <v>1922.6711277158529</v>
      </c>
      <c r="K365" s="40">
        <f t="shared" si="197"/>
        <v>8.6812986093477242</v>
      </c>
      <c r="L365" s="40">
        <f t="shared" si="181"/>
        <v>0</v>
      </c>
      <c r="M365" s="10">
        <f t="shared" si="198"/>
        <v>6.358321997926013</v>
      </c>
      <c r="N365" s="10">
        <f t="shared" si="177"/>
        <v>17.20418640980624</v>
      </c>
      <c r="O365" s="10">
        <f t="shared" si="178"/>
        <v>-0.14810000000000001</v>
      </c>
      <c r="P365" s="10">
        <f t="shared" si="199"/>
        <v>13.08154720428216</v>
      </c>
      <c r="Q365" s="45">
        <f t="shared" si="200"/>
        <v>0.81315924167991194</v>
      </c>
      <c r="R365" s="4">
        <f t="shared" si="201"/>
        <v>950172.09403417516</v>
      </c>
      <c r="S365">
        <f t="shared" si="182"/>
        <v>9.5017209403417519E-4</v>
      </c>
      <c r="T365" s="44">
        <f t="shared" si="183"/>
        <v>1.1262243004478286E-3</v>
      </c>
      <c r="U365" s="45">
        <f t="shared" si="202"/>
        <v>1.6961046964557043</v>
      </c>
      <c r="V365" s="45">
        <f t="shared" si="203"/>
        <v>1.5778200821775306</v>
      </c>
      <c r="W365" s="45">
        <f t="shared" si="204"/>
        <v>1.5589211398126166</v>
      </c>
      <c r="X365" s="45">
        <f t="shared" si="205"/>
        <v>1.8898942364913962E-2</v>
      </c>
      <c r="Y365" s="45">
        <f t="shared" si="179"/>
        <v>2.2137145810592323E-2</v>
      </c>
      <c r="Z365" s="10">
        <f t="shared" si="206"/>
        <v>19.656071887091915</v>
      </c>
      <c r="AA365">
        <f t="shared" si="184"/>
        <v>6359291.7237564567</v>
      </c>
      <c r="AB365" s="10">
        <f t="shared" si="185"/>
        <v>6.3592917237564563</v>
      </c>
      <c r="AC365" s="10">
        <f t="shared" si="186"/>
        <v>6.2582917237564564</v>
      </c>
      <c r="AD365" s="3">
        <f t="shared" si="187"/>
        <v>907.65652266228528</v>
      </c>
      <c r="AI365" s="100">
        <f t="shared" si="188"/>
        <v>1.5589211398126166</v>
      </c>
    </row>
    <row r="366" spans="2:35">
      <c r="B366" s="39">
        <f t="shared" si="189"/>
        <v>338</v>
      </c>
      <c r="C366" s="45">
        <f t="shared" si="190"/>
        <v>9.9292565947237144</v>
      </c>
      <c r="D366" s="10">
        <f t="shared" si="191"/>
        <v>14.570743405276517</v>
      </c>
      <c r="E366" s="40">
        <f t="shared" si="192"/>
        <v>39.858513189446967</v>
      </c>
      <c r="F366" s="40">
        <f t="shared" si="193"/>
        <v>69</v>
      </c>
      <c r="G366" s="3">
        <f t="shared" si="194"/>
        <v>380.56594724221213</v>
      </c>
      <c r="H366" s="3">
        <f t="shared" si="195"/>
        <v>221.47275588995251</v>
      </c>
      <c r="I366">
        <f t="shared" si="180"/>
        <v>2.214727558899525E-4</v>
      </c>
      <c r="J366" s="4">
        <f t="shared" si="196"/>
        <v>1926.3469186259736</v>
      </c>
      <c r="K366" s="40">
        <f t="shared" si="197"/>
        <v>8.6978956435759311</v>
      </c>
      <c r="L366" s="40">
        <f t="shared" si="181"/>
        <v>0</v>
      </c>
      <c r="M366" s="10">
        <f t="shared" si="198"/>
        <v>6.3592917237564563</v>
      </c>
      <c r="N366" s="10">
        <f t="shared" si="177"/>
        <v>17.20418640980624</v>
      </c>
      <c r="O366" s="10">
        <f t="shared" si="178"/>
        <v>-0.14810000000000001</v>
      </c>
      <c r="P366" s="10">
        <f t="shared" si="199"/>
        <v>13.081251755232381</v>
      </c>
      <c r="Q366" s="45">
        <f t="shared" si="200"/>
        <v>0.81540493646131595</v>
      </c>
      <c r="R366" s="4">
        <f t="shared" si="201"/>
        <v>948186.81278398528</v>
      </c>
      <c r="S366">
        <f t="shared" si="182"/>
        <v>9.4818681278398525E-4</v>
      </c>
      <c r="T366" s="44">
        <f t="shared" si="183"/>
        <v>1.1282095816980186E-3</v>
      </c>
      <c r="U366" s="45">
        <f t="shared" si="202"/>
        <v>1.692560870160053</v>
      </c>
      <c r="V366" s="45">
        <f t="shared" si="203"/>
        <v>1.5780534046731385</v>
      </c>
      <c r="W366" s="45">
        <f t="shared" si="204"/>
        <v>1.5591627329570008</v>
      </c>
      <c r="X366" s="45">
        <f t="shared" si="205"/>
        <v>1.8890671716137675E-2</v>
      </c>
      <c r="Y366" s="45">
        <f t="shared" si="179"/>
        <v>2.217956849348247E-2</v>
      </c>
      <c r="Z366" s="10">
        <f t="shared" si="206"/>
        <v>19.659085380307602</v>
      </c>
      <c r="AA366">
        <f t="shared" si="184"/>
        <v>6360251.1890941728</v>
      </c>
      <c r="AB366" s="10">
        <f t="shared" si="185"/>
        <v>6.3602511890941731</v>
      </c>
      <c r="AC366" s="10">
        <f t="shared" si="186"/>
        <v>6.2592511890941731</v>
      </c>
      <c r="AD366" s="3">
        <f t="shared" si="187"/>
        <v>907.79567644585541</v>
      </c>
      <c r="AI366" s="100">
        <f t="shared" si="188"/>
        <v>1.5591627329570008</v>
      </c>
    </row>
    <row r="367" spans="2:35">
      <c r="B367" s="39">
        <f t="shared" si="189"/>
        <v>339</v>
      </c>
      <c r="C367" s="45">
        <f t="shared" si="190"/>
        <v>9.9586330935246714</v>
      </c>
      <c r="D367" s="10">
        <f t="shared" si="191"/>
        <v>14.54136690647556</v>
      </c>
      <c r="E367" s="40">
        <f t="shared" si="192"/>
        <v>39.917266187048881</v>
      </c>
      <c r="F367" s="40">
        <f t="shared" si="193"/>
        <v>69</v>
      </c>
      <c r="G367" s="3">
        <f t="shared" si="194"/>
        <v>380.33093525180448</v>
      </c>
      <c r="H367" s="3">
        <f t="shared" si="195"/>
        <v>221.47275588995251</v>
      </c>
      <c r="I367">
        <f t="shared" si="180"/>
        <v>2.214727558899525E-4</v>
      </c>
      <c r="J367" s="4">
        <f t="shared" si="196"/>
        <v>1930.0281317910685</v>
      </c>
      <c r="K367" s="40">
        <f t="shared" si="197"/>
        <v>8.7145171605218987</v>
      </c>
      <c r="L367" s="40">
        <f t="shared" si="181"/>
        <v>0</v>
      </c>
      <c r="M367" s="10">
        <f t="shared" si="198"/>
        <v>6.3602511890941731</v>
      </c>
      <c r="N367" s="10">
        <f t="shared" si="177"/>
        <v>17.20418640980624</v>
      </c>
      <c r="O367" s="10">
        <f t="shared" si="178"/>
        <v>-0.14810000000000001</v>
      </c>
      <c r="P367" s="10">
        <f t="shared" si="199"/>
        <v>13.080959483178081</v>
      </c>
      <c r="Q367" s="45">
        <f t="shared" si="200"/>
        <v>0.81765068141899555</v>
      </c>
      <c r="R367" s="4">
        <f t="shared" si="201"/>
        <v>946201.19699236599</v>
      </c>
      <c r="S367">
        <f t="shared" si="182"/>
        <v>9.4620119699236603E-4</v>
      </c>
      <c r="T367" s="44">
        <f t="shared" si="183"/>
        <v>1.1301951974896378E-3</v>
      </c>
      <c r="U367" s="45">
        <f t="shared" si="202"/>
        <v>1.689016446691223</v>
      </c>
      <c r="V367" s="45">
        <f t="shared" si="203"/>
        <v>1.5782840596878152</v>
      </c>
      <c r="W367" s="45">
        <f t="shared" si="204"/>
        <v>1.5594017698482423</v>
      </c>
      <c r="X367" s="45">
        <f t="shared" si="205"/>
        <v>1.8882289839572852E-2</v>
      </c>
      <c r="Y367" s="45">
        <f t="shared" si="179"/>
        <v>2.2221973300679137E-2</v>
      </c>
      <c r="Z367" s="10">
        <f t="shared" si="206"/>
        <v>19.662066650113225</v>
      </c>
      <c r="AA367">
        <f t="shared" si="184"/>
        <v>6361200.3948285636</v>
      </c>
      <c r="AB367" s="10">
        <f t="shared" si="185"/>
        <v>6.3612003948285638</v>
      </c>
      <c r="AC367" s="10">
        <f t="shared" si="186"/>
        <v>6.2602003948285638</v>
      </c>
      <c r="AD367" s="3">
        <f t="shared" si="187"/>
        <v>907.93334225214846</v>
      </c>
      <c r="AI367" s="100">
        <f t="shared" si="188"/>
        <v>1.5594017698482423</v>
      </c>
    </row>
    <row r="368" spans="2:35">
      <c r="B368" s="39">
        <f t="shared" si="189"/>
        <v>340</v>
      </c>
      <c r="C368" s="45">
        <f t="shared" si="190"/>
        <v>9.9880095923256285</v>
      </c>
      <c r="D368" s="10">
        <f t="shared" si="191"/>
        <v>14.511990407674602</v>
      </c>
      <c r="E368" s="40">
        <f t="shared" si="192"/>
        <v>39.976019184650795</v>
      </c>
      <c r="F368" s="40">
        <f t="shared" si="193"/>
        <v>69</v>
      </c>
      <c r="G368" s="3">
        <f t="shared" si="194"/>
        <v>380.09592326139682</v>
      </c>
      <c r="H368" s="3">
        <f t="shared" si="195"/>
        <v>221.47275588995251</v>
      </c>
      <c r="I368">
        <f t="shared" si="180"/>
        <v>2.214727558899525E-4</v>
      </c>
      <c r="J368" s="4">
        <f t="shared" si="196"/>
        <v>1933.7147672111369</v>
      </c>
      <c r="K368" s="40">
        <f t="shared" si="197"/>
        <v>8.7311631601856234</v>
      </c>
      <c r="L368" s="40">
        <f t="shared" si="181"/>
        <v>0</v>
      </c>
      <c r="M368" s="10">
        <f t="shared" si="198"/>
        <v>6.3612003948285638</v>
      </c>
      <c r="N368" s="10">
        <f t="shared" si="177"/>
        <v>17.20418640980624</v>
      </c>
      <c r="O368" s="10">
        <f t="shared" si="178"/>
        <v>-0.14810000000000001</v>
      </c>
      <c r="P368" s="10">
        <f t="shared" si="199"/>
        <v>13.080670386207888</v>
      </c>
      <c r="Q368" s="45">
        <f t="shared" si="200"/>
        <v>0.81989647601006876</v>
      </c>
      <c r="R368" s="4">
        <f t="shared" si="201"/>
        <v>944215.25048220262</v>
      </c>
      <c r="S368">
        <f t="shared" si="182"/>
        <v>9.4421525048220267E-4</v>
      </c>
      <c r="T368" s="44">
        <f t="shared" si="183"/>
        <v>1.1321811439998011E-3</v>
      </c>
      <c r="U368" s="45">
        <f t="shared" si="202"/>
        <v>1.6854714328732558</v>
      </c>
      <c r="V368" s="45">
        <f t="shared" si="203"/>
        <v>1.5785120473876659</v>
      </c>
      <c r="W368" s="45">
        <f t="shared" si="204"/>
        <v>1.5596382507079238</v>
      </c>
      <c r="X368" s="45">
        <f t="shared" si="205"/>
        <v>1.8873796679742094E-2</v>
      </c>
      <c r="Y368" s="45">
        <f t="shared" si="179"/>
        <v>2.2264359971175516E-2</v>
      </c>
      <c r="Z368" s="10">
        <f t="shared" si="206"/>
        <v>19.665015699271731</v>
      </c>
      <c r="AA368">
        <f t="shared" si="184"/>
        <v>6362139.341839321</v>
      </c>
      <c r="AB368" s="10">
        <f t="shared" si="185"/>
        <v>6.3621393418393213</v>
      </c>
      <c r="AC368" s="10">
        <f t="shared" si="186"/>
        <v>6.2611393418393213</v>
      </c>
      <c r="AD368" s="3">
        <f t="shared" si="187"/>
        <v>908.06952020874849</v>
      </c>
      <c r="AI368" s="100">
        <f t="shared" si="188"/>
        <v>1.5596382507079238</v>
      </c>
    </row>
    <row r="369" spans="2:35">
      <c r="B369" s="39">
        <f t="shared" si="189"/>
        <v>341</v>
      </c>
      <c r="C369" s="45">
        <f t="shared" si="190"/>
        <v>10.017386091126586</v>
      </c>
      <c r="D369" s="10">
        <f t="shared" si="191"/>
        <v>14.482613908873645</v>
      </c>
      <c r="E369" s="40">
        <f t="shared" si="192"/>
        <v>40.034772182252709</v>
      </c>
      <c r="F369" s="40">
        <f t="shared" si="193"/>
        <v>69</v>
      </c>
      <c r="G369" s="3">
        <f t="shared" si="194"/>
        <v>379.86091127098916</v>
      </c>
      <c r="H369" s="3">
        <f t="shared" si="195"/>
        <v>221.47275588995251</v>
      </c>
      <c r="I369">
        <f t="shared" si="180"/>
        <v>2.214727558899525E-4</v>
      </c>
      <c r="J369" s="4">
        <f t="shared" si="196"/>
        <v>1937.4068248861786</v>
      </c>
      <c r="K369" s="40">
        <f t="shared" si="197"/>
        <v>8.7478336425671053</v>
      </c>
      <c r="L369" s="40">
        <f t="shared" si="181"/>
        <v>0</v>
      </c>
      <c r="M369" s="10">
        <f t="shared" si="198"/>
        <v>6.3621393418393213</v>
      </c>
      <c r="N369" s="10">
        <f t="shared" si="177"/>
        <v>17.20418640980624</v>
      </c>
      <c r="O369" s="10">
        <f t="shared" si="178"/>
        <v>-0.14810000000000001</v>
      </c>
      <c r="P369" s="10">
        <f t="shared" si="199"/>
        <v>13.080384462431981</v>
      </c>
      <c r="Q369" s="45">
        <f t="shared" si="200"/>
        <v>0.82214231969190621</v>
      </c>
      <c r="R369" s="4">
        <f t="shared" si="201"/>
        <v>942228.97707637982</v>
      </c>
      <c r="S369">
        <f t="shared" si="182"/>
        <v>9.422289770763798E-4</v>
      </c>
      <c r="T369" s="44">
        <f t="shared" si="183"/>
        <v>1.1341674174056241E-3</v>
      </c>
      <c r="U369" s="45">
        <f t="shared" si="202"/>
        <v>1.6819258355301918</v>
      </c>
      <c r="V369" s="45">
        <f t="shared" si="203"/>
        <v>1.5787373679379102</v>
      </c>
      <c r="W369" s="45">
        <f t="shared" si="204"/>
        <v>1.5598721757552076</v>
      </c>
      <c r="X369" s="45">
        <f t="shared" si="205"/>
        <v>1.886519218270255E-2</v>
      </c>
      <c r="Y369" s="45">
        <f t="shared" si="179"/>
        <v>2.2306728243845688E-2</v>
      </c>
      <c r="Z369" s="10">
        <f t="shared" si="206"/>
        <v>19.667932530518023</v>
      </c>
      <c r="AA369">
        <f t="shared" si="184"/>
        <v>6363068.030997212</v>
      </c>
      <c r="AB369" s="10">
        <f t="shared" si="185"/>
        <v>6.3630680309972121</v>
      </c>
      <c r="AC369" s="10">
        <f t="shared" si="186"/>
        <v>6.2620680309972121</v>
      </c>
      <c r="AD369" s="3">
        <f t="shared" si="187"/>
        <v>908.20421044194518</v>
      </c>
      <c r="AI369" s="100">
        <f t="shared" si="188"/>
        <v>1.5598721757552076</v>
      </c>
    </row>
    <row r="370" spans="2:35">
      <c r="B370" s="39">
        <f t="shared" si="189"/>
        <v>342</v>
      </c>
      <c r="C370" s="45">
        <f t="shared" si="190"/>
        <v>10.046762589927543</v>
      </c>
      <c r="D370" s="10">
        <f t="shared" si="191"/>
        <v>14.453237410072688</v>
      </c>
      <c r="E370" s="40">
        <f t="shared" si="192"/>
        <v>40.093525179854623</v>
      </c>
      <c r="F370" s="40">
        <f t="shared" si="193"/>
        <v>69</v>
      </c>
      <c r="G370" s="3">
        <f t="shared" si="194"/>
        <v>379.62589928058151</v>
      </c>
      <c r="H370" s="3">
        <f t="shared" si="195"/>
        <v>221.47275588995251</v>
      </c>
      <c r="I370">
        <f t="shared" si="180"/>
        <v>2.214727558899525E-4</v>
      </c>
      <c r="J370" s="4">
        <f t="shared" si="196"/>
        <v>1941.1043048161955</v>
      </c>
      <c r="K370" s="40">
        <f t="shared" si="197"/>
        <v>8.7645286076663531</v>
      </c>
      <c r="L370" s="40">
        <f t="shared" si="181"/>
        <v>0</v>
      </c>
      <c r="M370" s="10">
        <f t="shared" si="198"/>
        <v>6.3630680309972121</v>
      </c>
      <c r="N370" s="10">
        <f t="shared" si="177"/>
        <v>17.20418640980624</v>
      </c>
      <c r="O370" s="10">
        <f t="shared" si="178"/>
        <v>-0.14810000000000001</v>
      </c>
      <c r="P370" s="10">
        <f t="shared" si="199"/>
        <v>13.080101709981818</v>
      </c>
      <c r="Q370" s="45">
        <f t="shared" si="200"/>
        <v>0.82438821192212797</v>
      </c>
      <c r="R370" s="4">
        <f t="shared" si="201"/>
        <v>940242.38059778174</v>
      </c>
      <c r="S370">
        <f t="shared" si="182"/>
        <v>9.4024238059778169E-4</v>
      </c>
      <c r="T370" s="44">
        <f t="shared" si="183"/>
        <v>1.1361540138842222E-3</v>
      </c>
      <c r="U370" s="45">
        <f t="shared" si="202"/>
        <v>1.6783796614860704</v>
      </c>
      <c r="V370" s="45">
        <f t="shared" si="203"/>
        <v>1.5789600215016728</v>
      </c>
      <c r="W370" s="45">
        <f t="shared" si="204"/>
        <v>1.5601035452070322</v>
      </c>
      <c r="X370" s="45">
        <f t="shared" si="205"/>
        <v>1.8856476294640601E-2</v>
      </c>
      <c r="Y370" s="45">
        <f t="shared" si="179"/>
        <v>2.2349077857445183E-2</v>
      </c>
      <c r="Z370" s="10">
        <f t="shared" si="206"/>
        <v>19.67081714655864</v>
      </c>
      <c r="AA370">
        <f t="shared" si="184"/>
        <v>6363986.46316397</v>
      </c>
      <c r="AB370" s="10">
        <f t="shared" si="185"/>
        <v>6.36398646316397</v>
      </c>
      <c r="AC370" s="10">
        <f t="shared" si="186"/>
        <v>6.26298646316397</v>
      </c>
      <c r="AD370" s="3">
        <f t="shared" si="187"/>
        <v>908.33741307671789</v>
      </c>
      <c r="AI370" s="100">
        <f t="shared" si="188"/>
        <v>1.5601035452070322</v>
      </c>
    </row>
    <row r="371" spans="2:35">
      <c r="B371" s="39">
        <f t="shared" si="189"/>
        <v>343</v>
      </c>
      <c r="C371" s="45">
        <f t="shared" si="190"/>
        <v>10.0761390887285</v>
      </c>
      <c r="D371" s="10">
        <f t="shared" si="191"/>
        <v>14.423860911271731</v>
      </c>
      <c r="E371" s="40">
        <f t="shared" si="192"/>
        <v>40.152278177456537</v>
      </c>
      <c r="F371" s="40">
        <f t="shared" si="193"/>
        <v>69</v>
      </c>
      <c r="G371" s="3">
        <f t="shared" si="194"/>
        <v>379.39088729017385</v>
      </c>
      <c r="H371" s="3">
        <f t="shared" si="195"/>
        <v>221.47275588995251</v>
      </c>
      <c r="I371">
        <f t="shared" si="180"/>
        <v>2.214727558899525E-4</v>
      </c>
      <c r="J371" s="4">
        <f t="shared" si="196"/>
        <v>1944.8072070011854</v>
      </c>
      <c r="K371" s="40">
        <f t="shared" si="197"/>
        <v>8.7812480554833563</v>
      </c>
      <c r="L371" s="40">
        <f t="shared" si="181"/>
        <v>0</v>
      </c>
      <c r="M371" s="10">
        <f t="shared" si="198"/>
        <v>6.36398646316397</v>
      </c>
      <c r="N371" s="10">
        <f t="shared" si="177"/>
        <v>17.20418640980624</v>
      </c>
      <c r="O371" s="10">
        <f t="shared" si="178"/>
        <v>-0.14810000000000001</v>
      </c>
      <c r="P371" s="10">
        <f t="shared" si="199"/>
        <v>13.079822127010132</v>
      </c>
      <c r="Q371" s="45">
        <f t="shared" si="200"/>
        <v>0.8266341521586007</v>
      </c>
      <c r="R371" s="4">
        <f t="shared" si="201"/>
        <v>938255.46486929408</v>
      </c>
      <c r="S371">
        <f t="shared" si="182"/>
        <v>9.3825546486929414E-4</v>
      </c>
      <c r="T371" s="44">
        <f t="shared" si="183"/>
        <v>1.1381409296127097E-3</v>
      </c>
      <c r="U371" s="45">
        <f t="shared" si="202"/>
        <v>1.6748329175649335</v>
      </c>
      <c r="V371" s="45">
        <f t="shared" si="203"/>
        <v>1.5791800082388454</v>
      </c>
      <c r="W371" s="45">
        <f t="shared" si="204"/>
        <v>1.5603323592780867</v>
      </c>
      <c r="X371" s="45">
        <f t="shared" si="205"/>
        <v>1.8847648960758745E-2</v>
      </c>
      <c r="Y371" s="45">
        <f t="shared" si="179"/>
        <v>2.2391408550609063E-2</v>
      </c>
      <c r="Z371" s="10">
        <f t="shared" si="206"/>
        <v>19.673669550069238</v>
      </c>
      <c r="AA371">
        <f t="shared" si="184"/>
        <v>6364894.6391914962</v>
      </c>
      <c r="AB371" s="10">
        <f t="shared" si="185"/>
        <v>6.3648946391914958</v>
      </c>
      <c r="AC371" s="10">
        <f t="shared" si="186"/>
        <v>6.2638946391914958</v>
      </c>
      <c r="AD371" s="3">
        <f t="shared" si="187"/>
        <v>908.46912823662024</v>
      </c>
      <c r="AI371" s="100">
        <f t="shared" si="188"/>
        <v>1.5603323592780867</v>
      </c>
    </row>
    <row r="372" spans="2:35">
      <c r="B372" s="39">
        <f t="shared" si="189"/>
        <v>344</v>
      </c>
      <c r="C372" s="45">
        <f t="shared" si="190"/>
        <v>10.105515587529457</v>
      </c>
      <c r="D372" s="10">
        <f t="shared" si="191"/>
        <v>14.394484412470774</v>
      </c>
      <c r="E372" s="40">
        <f t="shared" si="192"/>
        <v>40.211031175058451</v>
      </c>
      <c r="F372" s="40">
        <f t="shared" si="193"/>
        <v>69</v>
      </c>
      <c r="G372" s="3">
        <f t="shared" si="194"/>
        <v>379.15587529976619</v>
      </c>
      <c r="H372" s="3">
        <f t="shared" si="195"/>
        <v>221.47275588995251</v>
      </c>
      <c r="I372">
        <f t="shared" si="180"/>
        <v>2.214727558899525E-4</v>
      </c>
      <c r="J372" s="4">
        <f t="shared" si="196"/>
        <v>1948.5155314411495</v>
      </c>
      <c r="K372" s="40">
        <f t="shared" si="197"/>
        <v>8.7979919860181202</v>
      </c>
      <c r="L372" s="40">
        <f t="shared" si="181"/>
        <v>0</v>
      </c>
      <c r="M372" s="10">
        <f t="shared" si="198"/>
        <v>6.3648946391914958</v>
      </c>
      <c r="N372" s="10">
        <f t="shared" si="177"/>
        <v>17.20418640980624</v>
      </c>
      <c r="O372" s="10">
        <f t="shared" si="178"/>
        <v>-0.14810000000000001</v>
      </c>
      <c r="P372" s="10">
        <f t="shared" si="199"/>
        <v>13.079545711691139</v>
      </c>
      <c r="Q372" s="45">
        <f t="shared" si="200"/>
        <v>0.82888013985943498</v>
      </c>
      <c r="R372" s="4">
        <f t="shared" si="201"/>
        <v>936268.23371380114</v>
      </c>
      <c r="S372">
        <f t="shared" si="182"/>
        <v>9.3626823371380111E-4</v>
      </c>
      <c r="T372" s="44">
        <f t="shared" si="183"/>
        <v>1.1401281607682028E-3</v>
      </c>
      <c r="U372" s="45">
        <f t="shared" si="202"/>
        <v>1.6712856105908207</v>
      </c>
      <c r="V372" s="45">
        <f t="shared" si="203"/>
        <v>1.5793973283090981</v>
      </c>
      <c r="W372" s="45">
        <f t="shared" si="204"/>
        <v>1.5605586181806095</v>
      </c>
      <c r="X372" s="45">
        <f t="shared" si="205"/>
        <v>1.8838710128488589E-2</v>
      </c>
      <c r="Y372" s="45">
        <f t="shared" si="179"/>
        <v>2.2433720061857232E-2</v>
      </c>
      <c r="Z372" s="10">
        <f t="shared" si="206"/>
        <v>19.676489743698372</v>
      </c>
      <c r="AA372">
        <f t="shared" si="184"/>
        <v>6365792.559923064</v>
      </c>
      <c r="AB372" s="10">
        <f t="shared" si="185"/>
        <v>6.3657925599230643</v>
      </c>
      <c r="AC372" s="10">
        <f t="shared" si="186"/>
        <v>6.2647925599230643</v>
      </c>
      <c r="AD372" s="3">
        <f t="shared" si="187"/>
        <v>908.59935604395412</v>
      </c>
      <c r="AI372" s="100">
        <f t="shared" si="188"/>
        <v>1.5605586181806095</v>
      </c>
    </row>
    <row r="373" spans="2:35">
      <c r="B373" s="39">
        <f t="shared" si="189"/>
        <v>345</v>
      </c>
      <c r="C373" s="45">
        <f t="shared" si="190"/>
        <v>10.134892086330414</v>
      </c>
      <c r="D373" s="10">
        <f t="shared" si="191"/>
        <v>14.365107913669817</v>
      </c>
      <c r="E373" s="40">
        <f t="shared" si="192"/>
        <v>40.269784172660366</v>
      </c>
      <c r="F373" s="40">
        <f t="shared" si="193"/>
        <v>69</v>
      </c>
      <c r="G373" s="3">
        <f t="shared" si="194"/>
        <v>378.92086330935854</v>
      </c>
      <c r="H373" s="3">
        <f t="shared" si="195"/>
        <v>221.47275588995251</v>
      </c>
      <c r="I373">
        <f t="shared" si="180"/>
        <v>2.214727558899525E-4</v>
      </c>
      <c r="J373" s="4">
        <f t="shared" si="196"/>
        <v>1952.2292781360875</v>
      </c>
      <c r="K373" s="40">
        <f t="shared" si="197"/>
        <v>8.8147603992706429</v>
      </c>
      <c r="L373" s="40">
        <f t="shared" si="181"/>
        <v>0</v>
      </c>
      <c r="M373" s="10">
        <f t="shared" si="198"/>
        <v>6.3657925599230643</v>
      </c>
      <c r="N373" s="10">
        <f t="shared" si="177"/>
        <v>17.20418640980624</v>
      </c>
      <c r="O373" s="10">
        <f t="shared" si="178"/>
        <v>-0.14810000000000001</v>
      </c>
      <c r="P373" s="10">
        <f t="shared" si="199"/>
        <v>13.079272462220141</v>
      </c>
      <c r="Q373" s="45">
        <f t="shared" si="200"/>
        <v>0.83112617448298254</v>
      </c>
      <c r="R373" s="4">
        <f t="shared" si="201"/>
        <v>934280.69095418777</v>
      </c>
      <c r="S373">
        <f t="shared" si="182"/>
        <v>9.3428069095418775E-4</v>
      </c>
      <c r="T373" s="44">
        <f t="shared" si="183"/>
        <v>1.1421157035278161E-3</v>
      </c>
      <c r="U373" s="45">
        <f t="shared" si="202"/>
        <v>1.6677377473877728</v>
      </c>
      <c r="V373" s="45">
        <f t="shared" si="203"/>
        <v>1.5796119818687997</v>
      </c>
      <c r="W373" s="45">
        <f t="shared" si="204"/>
        <v>1.5607823221246895</v>
      </c>
      <c r="X373" s="45">
        <f t="shared" si="205"/>
        <v>1.8829659744110216E-2</v>
      </c>
      <c r="Y373" s="45">
        <f t="shared" si="179"/>
        <v>2.2476012129592122E-2</v>
      </c>
      <c r="Z373" s="10">
        <f t="shared" si="206"/>
        <v>19.679277730064694</v>
      </c>
      <c r="AA373">
        <f t="shared" si="184"/>
        <v>6366680.2261924241</v>
      </c>
      <c r="AB373" s="10">
        <f t="shared" si="185"/>
        <v>6.3666802261924245</v>
      </c>
      <c r="AC373" s="10">
        <f t="shared" si="186"/>
        <v>6.2656802261924245</v>
      </c>
      <c r="AD373" s="3">
        <f t="shared" si="187"/>
        <v>908.72809661964095</v>
      </c>
      <c r="AI373" s="100">
        <f t="shared" si="188"/>
        <v>1.5607823221246895</v>
      </c>
    </row>
    <row r="374" spans="2:35">
      <c r="B374" s="39">
        <f t="shared" si="189"/>
        <v>346</v>
      </c>
      <c r="C374" s="45">
        <f t="shared" si="190"/>
        <v>10.164268585131371</v>
      </c>
      <c r="D374" s="10">
        <f t="shared" si="191"/>
        <v>14.33573141486886</v>
      </c>
      <c r="E374" s="40">
        <f t="shared" si="192"/>
        <v>40.32853717026228</v>
      </c>
      <c r="F374" s="40">
        <f t="shared" si="193"/>
        <v>69</v>
      </c>
      <c r="G374" s="3">
        <f t="shared" si="194"/>
        <v>378.68585131895088</v>
      </c>
      <c r="H374" s="3">
        <f t="shared" si="195"/>
        <v>221.47275588995251</v>
      </c>
      <c r="I374">
        <f t="shared" si="180"/>
        <v>2.214727558899525E-4</v>
      </c>
      <c r="J374" s="4">
        <f t="shared" si="196"/>
        <v>1955.9484470859998</v>
      </c>
      <c r="K374" s="40">
        <f t="shared" si="197"/>
        <v>8.8315532952409281</v>
      </c>
      <c r="L374" s="40">
        <f t="shared" si="181"/>
        <v>0</v>
      </c>
      <c r="M374" s="10">
        <f t="shared" si="198"/>
        <v>6.3666802261924245</v>
      </c>
      <c r="N374" s="10">
        <f t="shared" si="177"/>
        <v>17.20418640980624</v>
      </c>
      <c r="O374" s="10">
        <f t="shared" si="178"/>
        <v>-0.14810000000000001</v>
      </c>
      <c r="P374" s="10">
        <f t="shared" si="199"/>
        <v>13.079002376813758</v>
      </c>
      <c r="Q374" s="45">
        <f t="shared" si="200"/>
        <v>0.83337225548783322</v>
      </c>
      <c r="R374" s="4">
        <f t="shared" si="201"/>
        <v>932292.84041333874</v>
      </c>
      <c r="S374">
        <f t="shared" si="182"/>
        <v>9.3229284041333879E-4</v>
      </c>
      <c r="T374" s="44">
        <f t="shared" si="183"/>
        <v>1.1441035540686651E-3</v>
      </c>
      <c r="U374" s="45">
        <f t="shared" si="202"/>
        <v>1.6641893347798304</v>
      </c>
      <c r="V374" s="45">
        <f t="shared" si="203"/>
        <v>1.5798239690728577</v>
      </c>
      <c r="W374" s="45">
        <f t="shared" si="204"/>
        <v>1.5610034713180447</v>
      </c>
      <c r="X374" s="45">
        <f t="shared" si="205"/>
        <v>1.8820497754812981E-2</v>
      </c>
      <c r="Y374" s="45">
        <f t="shared" si="179"/>
        <v>2.2518284492101043E-2</v>
      </c>
      <c r="Z374" s="10">
        <f t="shared" si="206"/>
        <v>19.682033511758128</v>
      </c>
      <c r="AA374">
        <f t="shared" si="184"/>
        <v>6367557.6388241835</v>
      </c>
      <c r="AB374" s="10">
        <f t="shared" si="185"/>
        <v>6.3675576388241835</v>
      </c>
      <c r="AC374" s="10">
        <f t="shared" si="186"/>
        <v>6.2665576388241835</v>
      </c>
      <c r="AD374" s="3">
        <f t="shared" si="187"/>
        <v>908.85535008327531</v>
      </c>
      <c r="AI374" s="100">
        <f t="shared" si="188"/>
        <v>1.5610034713180447</v>
      </c>
    </row>
    <row r="375" spans="2:35">
      <c r="B375" s="39">
        <f t="shared" si="189"/>
        <v>347</v>
      </c>
      <c r="C375" s="45">
        <f t="shared" si="190"/>
        <v>10.193645083932328</v>
      </c>
      <c r="D375" s="10">
        <f t="shared" si="191"/>
        <v>14.306354916067903</v>
      </c>
      <c r="E375" s="40">
        <f t="shared" si="192"/>
        <v>40.387290167864194</v>
      </c>
      <c r="F375" s="40">
        <f t="shared" si="193"/>
        <v>69</v>
      </c>
      <c r="G375" s="3">
        <f t="shared" si="194"/>
        <v>378.45083932854322</v>
      </c>
      <c r="H375" s="3">
        <f t="shared" si="195"/>
        <v>221.47275588995251</v>
      </c>
      <c r="I375">
        <f t="shared" si="180"/>
        <v>2.214727558899525E-4</v>
      </c>
      <c r="J375" s="4">
        <f t="shared" si="196"/>
        <v>1959.6730382908854</v>
      </c>
      <c r="K375" s="40">
        <f t="shared" si="197"/>
        <v>8.8483706739289705</v>
      </c>
      <c r="L375" s="40">
        <f t="shared" si="181"/>
        <v>0</v>
      </c>
      <c r="M375" s="10">
        <f t="shared" si="198"/>
        <v>6.3675576388241835</v>
      </c>
      <c r="N375" s="10">
        <f t="shared" si="177"/>
        <v>17.20418640980624</v>
      </c>
      <c r="O375" s="10">
        <f t="shared" si="178"/>
        <v>-0.14810000000000001</v>
      </c>
      <c r="P375" s="10">
        <f t="shared" si="199"/>
        <v>13.078735453709786</v>
      </c>
      <c r="Q375" s="45">
        <f t="shared" si="200"/>
        <v>0.83561838233281238</v>
      </c>
      <c r="R375" s="4">
        <f t="shared" si="201"/>
        <v>930304.68591413915</v>
      </c>
      <c r="S375">
        <f t="shared" si="182"/>
        <v>9.3030468591413914E-4</v>
      </c>
      <c r="T375" s="44">
        <f t="shared" si="183"/>
        <v>1.1460917085678647E-3</v>
      </c>
      <c r="U375" s="45">
        <f t="shared" si="202"/>
        <v>1.6606403795910341</v>
      </c>
      <c r="V375" s="45">
        <f t="shared" si="203"/>
        <v>1.5800332900741945</v>
      </c>
      <c r="W375" s="45">
        <f t="shared" si="204"/>
        <v>1.5612220659661131</v>
      </c>
      <c r="X375" s="45">
        <f t="shared" si="205"/>
        <v>1.8811224108081337E-2</v>
      </c>
      <c r="Y375" s="45">
        <f t="shared" si="179"/>
        <v>2.2560536887557124E-2</v>
      </c>
      <c r="Z375" s="10">
        <f t="shared" si="206"/>
        <v>19.68475709133989</v>
      </c>
      <c r="AA375">
        <f t="shared" si="184"/>
        <v>6368424.7986338055</v>
      </c>
      <c r="AB375" s="10">
        <f t="shared" si="185"/>
        <v>6.3684247986338054</v>
      </c>
      <c r="AC375" s="10">
        <f t="shared" si="186"/>
        <v>6.2674247986338054</v>
      </c>
      <c r="AD375" s="3">
        <f t="shared" si="187"/>
        <v>908.9811165531263</v>
      </c>
      <c r="AI375" s="100">
        <f t="shared" si="188"/>
        <v>1.5612220659661131</v>
      </c>
    </row>
    <row r="376" spans="2:35">
      <c r="B376" s="39">
        <f t="shared" si="189"/>
        <v>348</v>
      </c>
      <c r="C376" s="45">
        <f t="shared" si="190"/>
        <v>10.223021582733285</v>
      </c>
      <c r="D376" s="10">
        <f t="shared" si="191"/>
        <v>14.276978417266946</v>
      </c>
      <c r="E376" s="40">
        <f t="shared" si="192"/>
        <v>40.446043165466108</v>
      </c>
      <c r="F376" s="40">
        <f t="shared" si="193"/>
        <v>69</v>
      </c>
      <c r="G376" s="3">
        <f t="shared" si="194"/>
        <v>378.21582733813557</v>
      </c>
      <c r="H376" s="3">
        <f t="shared" si="195"/>
        <v>221.47275588995251</v>
      </c>
      <c r="I376">
        <f t="shared" si="180"/>
        <v>2.214727558899525E-4</v>
      </c>
      <c r="J376" s="4">
        <f t="shared" si="196"/>
        <v>1963.4030517507454</v>
      </c>
      <c r="K376" s="40">
        <f t="shared" si="197"/>
        <v>8.8652125353347735</v>
      </c>
      <c r="L376" s="40">
        <f t="shared" si="181"/>
        <v>0</v>
      </c>
      <c r="M376" s="10">
        <f t="shared" si="198"/>
        <v>6.3684247986338054</v>
      </c>
      <c r="N376" s="10">
        <f t="shared" si="177"/>
        <v>17.20418640980624</v>
      </c>
      <c r="O376" s="10">
        <f t="shared" si="178"/>
        <v>-0.14810000000000001</v>
      </c>
      <c r="P376" s="10">
        <f t="shared" si="199"/>
        <v>13.078471691167152</v>
      </c>
      <c r="Q376" s="45">
        <f t="shared" si="200"/>
        <v>0.83786455447697794</v>
      </c>
      <c r="R376" s="4">
        <f t="shared" si="201"/>
        <v>928316.23127947352</v>
      </c>
      <c r="S376">
        <f t="shared" si="182"/>
        <v>9.2831623127947354E-4</v>
      </c>
      <c r="T376" s="44">
        <f t="shared" si="183"/>
        <v>1.1480801632025302E-3</v>
      </c>
      <c r="U376" s="45">
        <f t="shared" si="202"/>
        <v>1.6570908886454243</v>
      </c>
      <c r="V376" s="45">
        <f t="shared" si="203"/>
        <v>1.5802399450236093</v>
      </c>
      <c r="W376" s="45">
        <f t="shared" si="204"/>
        <v>1.5614381062720561</v>
      </c>
      <c r="X376" s="45">
        <f t="shared" si="205"/>
        <v>1.8801838751553168E-2</v>
      </c>
      <c r="Y376" s="45">
        <f t="shared" si="179"/>
        <v>2.2602769054019957E-2</v>
      </c>
      <c r="Z376" s="10">
        <f t="shared" si="206"/>
        <v>19.687448471342201</v>
      </c>
      <c r="AA376">
        <f t="shared" si="184"/>
        <v>6369281.7064275248</v>
      </c>
      <c r="AB376" s="10">
        <f t="shared" si="185"/>
        <v>6.3692817064275244</v>
      </c>
      <c r="AC376" s="10">
        <f t="shared" si="186"/>
        <v>6.2682817064275245</v>
      </c>
      <c r="AD376" s="3">
        <f t="shared" si="187"/>
        <v>909.10539614612401</v>
      </c>
      <c r="AI376" s="100">
        <f t="shared" si="188"/>
        <v>1.5614381062720561</v>
      </c>
    </row>
    <row r="377" spans="2:35">
      <c r="B377" s="39">
        <f t="shared" si="189"/>
        <v>349</v>
      </c>
      <c r="C377" s="45">
        <f t="shared" si="190"/>
        <v>10.252398081534242</v>
      </c>
      <c r="D377" s="10">
        <f t="shared" si="191"/>
        <v>14.247601918465989</v>
      </c>
      <c r="E377" s="40">
        <f t="shared" si="192"/>
        <v>40.504796163068022</v>
      </c>
      <c r="F377" s="40">
        <f t="shared" si="193"/>
        <v>69</v>
      </c>
      <c r="G377" s="3">
        <f t="shared" si="194"/>
        <v>377.98081534772791</v>
      </c>
      <c r="H377" s="3">
        <f t="shared" si="195"/>
        <v>221.47275588995251</v>
      </c>
      <c r="I377">
        <f t="shared" si="180"/>
        <v>2.214727558899525E-4</v>
      </c>
      <c r="J377" s="4">
        <f t="shared" si="196"/>
        <v>1967.1384874655787</v>
      </c>
      <c r="K377" s="40">
        <f t="shared" si="197"/>
        <v>8.8820788794583354</v>
      </c>
      <c r="L377" s="40">
        <f t="shared" si="181"/>
        <v>0</v>
      </c>
      <c r="M377" s="10">
        <f t="shared" si="198"/>
        <v>6.3692817064275244</v>
      </c>
      <c r="N377" s="10">
        <f t="shared" si="177"/>
        <v>17.20418640980624</v>
      </c>
      <c r="O377" s="10">
        <f t="shared" si="178"/>
        <v>-0.14810000000000001</v>
      </c>
      <c r="P377" s="10">
        <f t="shared" si="199"/>
        <v>13.078211087465922</v>
      </c>
      <c r="Q377" s="45">
        <f t="shared" si="200"/>
        <v>0.84011077137961776</v>
      </c>
      <c r="R377" s="4">
        <f t="shared" si="201"/>
        <v>926327.48033222684</v>
      </c>
      <c r="S377">
        <f t="shared" si="182"/>
        <v>9.263274803322268E-4</v>
      </c>
      <c r="T377" s="44">
        <f t="shared" si="183"/>
        <v>1.1500689141497769E-3</v>
      </c>
      <c r="U377" s="45">
        <f t="shared" si="202"/>
        <v>1.6535408687670414</v>
      </c>
      <c r="V377" s="45">
        <f t="shared" si="203"/>
        <v>1.5804439340701226</v>
      </c>
      <c r="W377" s="45">
        <f t="shared" si="204"/>
        <v>1.5616515924367351</v>
      </c>
      <c r="X377" s="45">
        <f t="shared" si="205"/>
        <v>1.8792341633387499E-2</v>
      </c>
      <c r="Y377" s="45">
        <f t="shared" si="179"/>
        <v>2.2644980729437054E-2</v>
      </c>
      <c r="Z377" s="10">
        <f t="shared" si="206"/>
        <v>19.690107654268736</v>
      </c>
      <c r="AA377">
        <f t="shared" si="184"/>
        <v>6370128.3630024837</v>
      </c>
      <c r="AB377" s="10">
        <f t="shared" si="185"/>
        <v>6.3701283630024834</v>
      </c>
      <c r="AC377" s="10">
        <f t="shared" si="186"/>
        <v>6.2691283630024834</v>
      </c>
      <c r="AD377" s="3">
        <f t="shared" si="187"/>
        <v>909.22818897788011</v>
      </c>
      <c r="AI377" s="100">
        <f t="shared" si="188"/>
        <v>1.5616515924367351</v>
      </c>
    </row>
    <row r="378" spans="2:35">
      <c r="B378" s="39">
        <f t="shared" si="189"/>
        <v>350</v>
      </c>
      <c r="C378" s="45">
        <f t="shared" si="190"/>
        <v>10.281774580335199</v>
      </c>
      <c r="D378" s="10">
        <f t="shared" si="191"/>
        <v>14.218225419665032</v>
      </c>
      <c r="E378" s="40">
        <f t="shared" si="192"/>
        <v>40.563549160669936</v>
      </c>
      <c r="F378" s="40">
        <f t="shared" si="193"/>
        <v>69</v>
      </c>
      <c r="G378" s="3">
        <f t="shared" si="194"/>
        <v>377.74580335732026</v>
      </c>
      <c r="H378" s="3">
        <f t="shared" si="195"/>
        <v>221.47275588995251</v>
      </c>
      <c r="I378">
        <f t="shared" si="180"/>
        <v>2.214727558899525E-4</v>
      </c>
      <c r="J378" s="4">
        <f t="shared" si="196"/>
        <v>1970.8793454353868</v>
      </c>
      <c r="K378" s="40">
        <f t="shared" si="197"/>
        <v>8.8989697062996598</v>
      </c>
      <c r="L378" s="40">
        <f t="shared" si="181"/>
        <v>0</v>
      </c>
      <c r="M378" s="10">
        <f t="shared" si="198"/>
        <v>6.3701283630024834</v>
      </c>
      <c r="N378" s="10">
        <f t="shared" si="177"/>
        <v>17.20418640980624</v>
      </c>
      <c r="O378" s="10">
        <f t="shared" si="178"/>
        <v>-0.14810000000000001</v>
      </c>
      <c r="P378" s="10">
        <f t="shared" si="199"/>
        <v>13.077953640907213</v>
      </c>
      <c r="Q378" s="45">
        <f t="shared" si="200"/>
        <v>0.84235703250024674</v>
      </c>
      <c r="R378" s="4">
        <f t="shared" si="201"/>
        <v>924338.43689528352</v>
      </c>
      <c r="S378">
        <f t="shared" si="182"/>
        <v>9.2433843689528354E-4</v>
      </c>
      <c r="T378" s="44">
        <f t="shared" si="183"/>
        <v>1.1520579575867202E-3</v>
      </c>
      <c r="U378" s="45">
        <f t="shared" si="202"/>
        <v>1.6499903267799259</v>
      </c>
      <c r="V378" s="45">
        <f t="shared" si="203"/>
        <v>1.5806452573605434</v>
      </c>
      <c r="W378" s="45">
        <f t="shared" si="204"/>
        <v>1.5618625246587468</v>
      </c>
      <c r="X378" s="45">
        <f t="shared" si="205"/>
        <v>1.8782732701796645E-2</v>
      </c>
      <c r="Y378" s="45">
        <f t="shared" si="179"/>
        <v>2.2687171651644265E-2</v>
      </c>
      <c r="Z378" s="10">
        <f t="shared" si="206"/>
        <v>19.69273464259415</v>
      </c>
      <c r="AA378">
        <f t="shared" si="184"/>
        <v>6370964.7691465896</v>
      </c>
      <c r="AB378" s="10">
        <f t="shared" si="185"/>
        <v>6.3709647691465898</v>
      </c>
      <c r="AC378" s="10">
        <f t="shared" si="186"/>
        <v>6.2699647691465898</v>
      </c>
      <c r="AD378" s="3">
        <f t="shared" si="187"/>
        <v>909.34949516266704</v>
      </c>
      <c r="AI378" s="100">
        <f t="shared" si="188"/>
        <v>1.5618625246587468</v>
      </c>
    </row>
    <row r="379" spans="2:35">
      <c r="B379" s="39">
        <f t="shared" si="189"/>
        <v>351</v>
      </c>
      <c r="C379" s="45">
        <f t="shared" si="190"/>
        <v>10.311151079136156</v>
      </c>
      <c r="D379" s="10">
        <f t="shared" si="191"/>
        <v>14.188848920864075</v>
      </c>
      <c r="E379" s="40">
        <f t="shared" si="192"/>
        <v>40.62230215827185</v>
      </c>
      <c r="F379" s="40">
        <f t="shared" si="193"/>
        <v>69</v>
      </c>
      <c r="G379" s="3">
        <f t="shared" si="194"/>
        <v>377.5107913669126</v>
      </c>
      <c r="H379" s="3">
        <f t="shared" si="195"/>
        <v>221.47275588995251</v>
      </c>
      <c r="I379">
        <f t="shared" si="180"/>
        <v>2.214727558899525E-4</v>
      </c>
      <c r="J379" s="4">
        <f t="shared" si="196"/>
        <v>1974.6256256601682</v>
      </c>
      <c r="K379" s="40">
        <f t="shared" si="197"/>
        <v>8.9158850158587413</v>
      </c>
      <c r="L379" s="40">
        <f t="shared" si="181"/>
        <v>0</v>
      </c>
      <c r="M379" s="10">
        <f t="shared" si="198"/>
        <v>6.3709647691465898</v>
      </c>
      <c r="N379" s="10">
        <f t="shared" si="177"/>
        <v>17.20418640980624</v>
      </c>
      <c r="O379" s="10">
        <f t="shared" si="178"/>
        <v>-0.14810000000000001</v>
      </c>
      <c r="P379" s="10">
        <f t="shared" si="199"/>
        <v>13.077699349813209</v>
      </c>
      <c r="Q379" s="45">
        <f t="shared" si="200"/>
        <v>0.84460333729860393</v>
      </c>
      <c r="R379" s="4">
        <f t="shared" si="201"/>
        <v>922349.10479152878</v>
      </c>
      <c r="S379">
        <f t="shared" si="182"/>
        <v>9.223491047915288E-4</v>
      </c>
      <c r="T379" s="44">
        <f t="shared" si="183"/>
        <v>1.154047289690475E-3</v>
      </c>
      <c r="U379" s="45">
        <f t="shared" si="202"/>
        <v>1.6464392695081185</v>
      </c>
      <c r="V379" s="45">
        <f t="shared" si="203"/>
        <v>1.5808439150396705</v>
      </c>
      <c r="W379" s="45">
        <f t="shared" si="204"/>
        <v>1.5620709031343869</v>
      </c>
      <c r="X379" s="45">
        <f t="shared" si="205"/>
        <v>1.8773011905283576E-2</v>
      </c>
      <c r="Y379" s="45">
        <f t="shared" si="179"/>
        <v>2.2729341558366721E-2</v>
      </c>
      <c r="Z379" s="10">
        <f t="shared" si="206"/>
        <v>19.695329438764087</v>
      </c>
      <c r="AA379">
        <f t="shared" si="184"/>
        <v>6371790.925638509</v>
      </c>
      <c r="AB379" s="10">
        <f t="shared" si="185"/>
        <v>6.3717909256385088</v>
      </c>
      <c r="AC379" s="10">
        <f t="shared" si="186"/>
        <v>6.2707909256385088</v>
      </c>
      <c r="AD379" s="3">
        <f t="shared" si="187"/>
        <v>909.46931481341687</v>
      </c>
      <c r="AI379" s="100">
        <f t="shared" si="188"/>
        <v>1.5620709031343869</v>
      </c>
    </row>
    <row r="380" spans="2:35">
      <c r="B380" s="39">
        <f t="shared" si="189"/>
        <v>352</v>
      </c>
      <c r="C380" s="45">
        <f t="shared" si="190"/>
        <v>10.340527577937113</v>
      </c>
      <c r="D380" s="10">
        <f t="shared" si="191"/>
        <v>14.159472422063118</v>
      </c>
      <c r="E380" s="40">
        <f t="shared" si="192"/>
        <v>40.681055155873764</v>
      </c>
      <c r="F380" s="40">
        <f t="shared" si="193"/>
        <v>69</v>
      </c>
      <c r="G380" s="3">
        <f t="shared" si="194"/>
        <v>377.27577937650494</v>
      </c>
      <c r="H380" s="3">
        <f t="shared" si="195"/>
        <v>221.47275588995251</v>
      </c>
      <c r="I380">
        <f t="shared" si="180"/>
        <v>2.214727558899525E-4</v>
      </c>
      <c r="J380" s="4">
        <f t="shared" si="196"/>
        <v>1978.3773281399231</v>
      </c>
      <c r="K380" s="40">
        <f t="shared" si="197"/>
        <v>8.9328248081355799</v>
      </c>
      <c r="L380" s="40">
        <f t="shared" si="181"/>
        <v>0</v>
      </c>
      <c r="M380" s="10">
        <f t="shared" si="198"/>
        <v>6.3717909256385088</v>
      </c>
      <c r="N380" s="10">
        <f t="shared" si="177"/>
        <v>17.20418640980624</v>
      </c>
      <c r="O380" s="10">
        <f t="shared" si="178"/>
        <v>-0.14810000000000001</v>
      </c>
      <c r="P380" s="10">
        <f t="shared" si="199"/>
        <v>13.077448212527132</v>
      </c>
      <c r="Q380" s="45">
        <f t="shared" si="200"/>
        <v>0.84684968523464987</v>
      </c>
      <c r="R380" s="4">
        <f t="shared" si="201"/>
        <v>920359.48784384748</v>
      </c>
      <c r="S380">
        <f t="shared" si="182"/>
        <v>9.203594878438475E-4</v>
      </c>
      <c r="T380" s="44">
        <f t="shared" si="183"/>
        <v>1.1560369066381563E-3</v>
      </c>
      <c r="U380" s="45">
        <f t="shared" si="202"/>
        <v>1.64288770377566</v>
      </c>
      <c r="V380" s="45">
        <f t="shared" si="203"/>
        <v>1.5810399072505374</v>
      </c>
      <c r="W380" s="45">
        <f t="shared" si="204"/>
        <v>1.5622767280576484</v>
      </c>
      <c r="X380" s="45">
        <f t="shared" si="205"/>
        <v>1.8763179192889057E-2</v>
      </c>
      <c r="Y380" s="45">
        <f t="shared" si="179"/>
        <v>2.2771490187220328E-2</v>
      </c>
      <c r="Z380" s="10">
        <f t="shared" si="206"/>
        <v>19.697892045195651</v>
      </c>
      <c r="AA380">
        <f t="shared" si="184"/>
        <v>6372606.8332478227</v>
      </c>
      <c r="AB380" s="10">
        <f t="shared" si="185"/>
        <v>6.372606833247823</v>
      </c>
      <c r="AC380" s="10">
        <f t="shared" si="186"/>
        <v>6.271606833247823</v>
      </c>
      <c r="AD380" s="3">
        <f t="shared" si="187"/>
        <v>909.58764804174371</v>
      </c>
      <c r="AI380" s="100">
        <f t="shared" si="188"/>
        <v>1.5622767280576484</v>
      </c>
    </row>
    <row r="381" spans="2:35">
      <c r="B381" s="39">
        <f t="shared" si="189"/>
        <v>353</v>
      </c>
      <c r="C381" s="45">
        <f t="shared" si="190"/>
        <v>10.36990407673807</v>
      </c>
      <c r="D381" s="10">
        <f t="shared" si="191"/>
        <v>14.130095923262161</v>
      </c>
      <c r="E381" s="40">
        <f t="shared" si="192"/>
        <v>40.739808153475678</v>
      </c>
      <c r="F381" s="40">
        <f t="shared" si="193"/>
        <v>69</v>
      </c>
      <c r="G381" s="3">
        <f t="shared" si="194"/>
        <v>377.04076738609729</v>
      </c>
      <c r="H381" s="3">
        <f t="shared" si="195"/>
        <v>221.47275588995251</v>
      </c>
      <c r="I381">
        <f t="shared" si="180"/>
        <v>2.214727558899525E-4</v>
      </c>
      <c r="J381" s="4">
        <f t="shared" si="196"/>
        <v>1982.1344528746527</v>
      </c>
      <c r="K381" s="40">
        <f t="shared" si="197"/>
        <v>8.9497890831301827</v>
      </c>
      <c r="L381" s="40">
        <f t="shared" si="181"/>
        <v>0</v>
      </c>
      <c r="M381" s="10">
        <f t="shared" si="198"/>
        <v>6.372606833247823</v>
      </c>
      <c r="N381" s="10">
        <f t="shared" si="177"/>
        <v>17.20418640980624</v>
      </c>
      <c r="O381" s="10">
        <f t="shared" si="178"/>
        <v>-0.14810000000000001</v>
      </c>
      <c r="P381" s="10">
        <f t="shared" si="199"/>
        <v>13.077200227413163</v>
      </c>
      <c r="Q381" s="45">
        <f t="shared" si="200"/>
        <v>0.84909607576856383</v>
      </c>
      <c r="R381" s="4">
        <f t="shared" si="201"/>
        <v>918369.58987512393</v>
      </c>
      <c r="S381">
        <f t="shared" si="182"/>
        <v>9.1836958987512394E-4</v>
      </c>
      <c r="T381" s="44">
        <f t="shared" si="183"/>
        <v>1.1580268046068798E-3</v>
      </c>
      <c r="U381" s="45">
        <f t="shared" si="202"/>
        <v>1.6393356364065901</v>
      </c>
      <c r="V381" s="45">
        <f t="shared" si="203"/>
        <v>1.5812332341344946</v>
      </c>
      <c r="W381" s="45">
        <f t="shared" si="204"/>
        <v>1.5624799996202616</v>
      </c>
      <c r="X381" s="45">
        <f t="shared" si="205"/>
        <v>1.8753234514232942E-2</v>
      </c>
      <c r="Y381" s="45">
        <f t="shared" si="179"/>
        <v>2.281361727571337E-2</v>
      </c>
      <c r="Z381" s="10">
        <f t="shared" si="206"/>
        <v>19.700422464277935</v>
      </c>
      <c r="AA381">
        <f t="shared" si="184"/>
        <v>6373412.492735194</v>
      </c>
      <c r="AB381" s="10">
        <f t="shared" si="185"/>
        <v>6.3734124927351941</v>
      </c>
      <c r="AC381" s="10">
        <f t="shared" si="186"/>
        <v>6.2724124927351941</v>
      </c>
      <c r="AD381" s="3">
        <f t="shared" si="187"/>
        <v>909.70449495796868</v>
      </c>
      <c r="AI381" s="100">
        <f t="shared" si="188"/>
        <v>1.5624799996202616</v>
      </c>
    </row>
    <row r="382" spans="2:35">
      <c r="B382" s="39">
        <f t="shared" si="189"/>
        <v>354</v>
      </c>
      <c r="C382" s="45">
        <f t="shared" si="190"/>
        <v>10.399280575539027</v>
      </c>
      <c r="D382" s="10">
        <f t="shared" si="191"/>
        <v>14.100719424461204</v>
      </c>
      <c r="E382" s="40">
        <f t="shared" si="192"/>
        <v>40.798561151077593</v>
      </c>
      <c r="F382" s="40">
        <f t="shared" si="193"/>
        <v>69</v>
      </c>
      <c r="G382" s="3">
        <f t="shared" si="194"/>
        <v>376.80575539568963</v>
      </c>
      <c r="H382" s="3">
        <f t="shared" si="195"/>
        <v>221.47275588995251</v>
      </c>
      <c r="I382">
        <f t="shared" si="180"/>
        <v>2.214727558899525E-4</v>
      </c>
      <c r="J382" s="4">
        <f t="shared" si="196"/>
        <v>1985.8969998643561</v>
      </c>
      <c r="K382" s="40">
        <f t="shared" si="197"/>
        <v>8.9667778408425427</v>
      </c>
      <c r="L382" s="40">
        <f t="shared" si="181"/>
        <v>0</v>
      </c>
      <c r="M382" s="10">
        <f t="shared" si="198"/>
        <v>6.3734124927351941</v>
      </c>
      <c r="N382" s="10">
        <f t="shared" si="177"/>
        <v>17.20418640980624</v>
      </c>
      <c r="O382" s="10">
        <f t="shared" si="178"/>
        <v>-0.14810000000000001</v>
      </c>
      <c r="P382" s="10">
        <f t="shared" si="199"/>
        <v>13.076955392856362</v>
      </c>
      <c r="Q382" s="45">
        <f t="shared" si="200"/>
        <v>0.85134250836074088</v>
      </c>
      <c r="R382" s="4">
        <f t="shared" si="201"/>
        <v>916379.41470824333</v>
      </c>
      <c r="S382">
        <f t="shared" si="182"/>
        <v>9.1637941470824338E-4</v>
      </c>
      <c r="T382" s="44">
        <f t="shared" si="183"/>
        <v>1.1600169797737604E-3</v>
      </c>
      <c r="U382" s="45">
        <f t="shared" si="202"/>
        <v>1.6357830742249497</v>
      </c>
      <c r="V382" s="45">
        <f t="shared" si="203"/>
        <v>1.5814238958301046</v>
      </c>
      <c r="W382" s="45">
        <f t="shared" si="204"/>
        <v>1.562680718011735</v>
      </c>
      <c r="X382" s="45">
        <f t="shared" si="205"/>
        <v>1.8743177818369539E-2</v>
      </c>
      <c r="Y382" s="45">
        <f t="shared" si="179"/>
        <v>2.2855722561245524E-2</v>
      </c>
      <c r="Z382" s="10">
        <f t="shared" si="206"/>
        <v>19.702920698370384</v>
      </c>
      <c r="AA382">
        <f t="shared" si="184"/>
        <v>6374207.9048518473</v>
      </c>
      <c r="AB382" s="10">
        <f t="shared" si="185"/>
        <v>6.374207904851847</v>
      </c>
      <c r="AC382" s="10">
        <f t="shared" si="186"/>
        <v>6.273207904851847</v>
      </c>
      <c r="AD382" s="3">
        <f t="shared" si="187"/>
        <v>909.8198556710438</v>
      </c>
      <c r="AI382" s="100">
        <f t="shared" si="188"/>
        <v>1.562680718011735</v>
      </c>
    </row>
    <row r="383" spans="2:35">
      <c r="B383" s="39">
        <f t="shared" si="189"/>
        <v>355</v>
      </c>
      <c r="C383" s="45">
        <f t="shared" si="190"/>
        <v>10.428657074339984</v>
      </c>
      <c r="D383" s="10">
        <f t="shared" si="191"/>
        <v>14.071342925660247</v>
      </c>
      <c r="E383" s="40">
        <f t="shared" si="192"/>
        <v>40.857314148679507</v>
      </c>
      <c r="F383" s="40">
        <f t="shared" si="193"/>
        <v>69</v>
      </c>
      <c r="G383" s="3">
        <f t="shared" si="194"/>
        <v>376.57074340528197</v>
      </c>
      <c r="H383" s="3">
        <f t="shared" si="195"/>
        <v>221.47275588995251</v>
      </c>
      <c r="I383">
        <f t="shared" si="180"/>
        <v>2.214727558899525E-4</v>
      </c>
      <c r="J383" s="4">
        <f t="shared" si="196"/>
        <v>1989.6649691090333</v>
      </c>
      <c r="K383" s="40">
        <f t="shared" si="197"/>
        <v>8.9837910812726651</v>
      </c>
      <c r="L383" s="40">
        <f t="shared" si="181"/>
        <v>0</v>
      </c>
      <c r="M383" s="10">
        <f t="shared" si="198"/>
        <v>6.374207904851847</v>
      </c>
      <c r="N383" s="10">
        <f t="shared" si="177"/>
        <v>17.20418640980624</v>
      </c>
      <c r="O383" s="10">
        <f t="shared" si="178"/>
        <v>-0.14810000000000001</v>
      </c>
      <c r="P383" s="10">
        <f t="shared" si="199"/>
        <v>13.076713707262792</v>
      </c>
      <c r="Q383" s="45">
        <f t="shared" si="200"/>
        <v>0.85358898247178927</v>
      </c>
      <c r="R383" s="4">
        <f t="shared" si="201"/>
        <v>914388.96616609034</v>
      </c>
      <c r="S383">
        <f t="shared" si="182"/>
        <v>9.143889661660903E-4</v>
      </c>
      <c r="T383" s="44">
        <f t="shared" si="183"/>
        <v>1.1620074283159136E-3</v>
      </c>
      <c r="U383" s="45">
        <f t="shared" si="202"/>
        <v>1.6322300240547796</v>
      </c>
      <c r="V383" s="45">
        <f t="shared" si="203"/>
        <v>1.5816118924744742</v>
      </c>
      <c r="W383" s="45">
        <f t="shared" si="204"/>
        <v>1.5628788834192249</v>
      </c>
      <c r="X383" s="45">
        <f t="shared" si="205"/>
        <v>1.8733009055249328E-2</v>
      </c>
      <c r="Y383" s="45">
        <f t="shared" si="179"/>
        <v>2.2897805781110177E-2</v>
      </c>
      <c r="Z383" s="10">
        <f t="shared" si="206"/>
        <v>19.705386749803957</v>
      </c>
      <c r="AA383">
        <f t="shared" si="184"/>
        <v>6374993.070339933</v>
      </c>
      <c r="AB383" s="10">
        <f t="shared" si="185"/>
        <v>6.3749930703399329</v>
      </c>
      <c r="AC383" s="10">
        <f t="shared" si="186"/>
        <v>6.2739930703399329</v>
      </c>
      <c r="AD383" s="3">
        <f t="shared" si="187"/>
        <v>909.93373028860526</v>
      </c>
      <c r="AI383" s="100">
        <f t="shared" si="188"/>
        <v>1.5628788834192249</v>
      </c>
    </row>
    <row r="384" spans="2:35">
      <c r="B384" s="39">
        <f t="shared" si="189"/>
        <v>356</v>
      </c>
      <c r="C384" s="45">
        <f t="shared" si="190"/>
        <v>10.458033573140941</v>
      </c>
      <c r="D384" s="10">
        <f t="shared" si="191"/>
        <v>14.04196642685929</v>
      </c>
      <c r="E384" s="40">
        <f t="shared" si="192"/>
        <v>40.916067146281421</v>
      </c>
      <c r="F384" s="40">
        <f t="shared" si="193"/>
        <v>69</v>
      </c>
      <c r="G384" s="3">
        <f t="shared" si="194"/>
        <v>376.33573141487432</v>
      </c>
      <c r="H384" s="3">
        <f t="shared" si="195"/>
        <v>221.47275588995251</v>
      </c>
      <c r="I384">
        <f t="shared" si="180"/>
        <v>2.214727558899525E-4</v>
      </c>
      <c r="J384" s="4">
        <f t="shared" si="196"/>
        <v>1993.438360608684</v>
      </c>
      <c r="K384" s="40">
        <f t="shared" si="197"/>
        <v>9.0008288044205429</v>
      </c>
      <c r="L384" s="40">
        <f t="shared" si="181"/>
        <v>0</v>
      </c>
      <c r="M384" s="10">
        <f t="shared" si="198"/>
        <v>6.3749930703399329</v>
      </c>
      <c r="N384" s="10">
        <f t="shared" si="177"/>
        <v>17.20418640980624</v>
      </c>
      <c r="O384" s="10">
        <f t="shared" si="178"/>
        <v>-0.14810000000000001</v>
      </c>
      <c r="P384" s="10">
        <f t="shared" si="199"/>
        <v>13.076475169059373</v>
      </c>
      <c r="Q384" s="45">
        <f t="shared" si="200"/>
        <v>0.85583549756252764</v>
      </c>
      <c r="R384" s="4">
        <f t="shared" si="201"/>
        <v>912398.24807154993</v>
      </c>
      <c r="S384">
        <f t="shared" si="182"/>
        <v>9.1239824807154988E-4</v>
      </c>
      <c r="T384" s="44">
        <f t="shared" si="183"/>
        <v>1.1639981464104539E-3</v>
      </c>
      <c r="U384" s="45">
        <f t="shared" si="202"/>
        <v>1.6286764927201201</v>
      </c>
      <c r="V384" s="45">
        <f t="shared" si="203"/>
        <v>1.5817972242027434</v>
      </c>
      <c r="W384" s="45">
        <f t="shared" si="204"/>
        <v>1.5630744960276275</v>
      </c>
      <c r="X384" s="45">
        <f t="shared" si="205"/>
        <v>1.8722728175115888E-2</v>
      </c>
      <c r="Y384" s="45">
        <f t="shared" si="179"/>
        <v>2.2939866672495368E-2</v>
      </c>
      <c r="Z384" s="10">
        <f t="shared" si="206"/>
        <v>19.70782062088114</v>
      </c>
      <c r="AA384">
        <f t="shared" si="184"/>
        <v>6375767.9899325417</v>
      </c>
      <c r="AB384" s="10">
        <f t="shared" si="185"/>
        <v>6.3757679899325419</v>
      </c>
      <c r="AC384" s="10">
        <f t="shared" si="186"/>
        <v>6.2747679899325419</v>
      </c>
      <c r="AD384" s="3">
        <f t="shared" si="187"/>
        <v>910.04611891697482</v>
      </c>
      <c r="AI384" s="100">
        <f t="shared" si="188"/>
        <v>1.5630744960276275</v>
      </c>
    </row>
    <row r="385" spans="2:35">
      <c r="B385" s="39">
        <f t="shared" si="189"/>
        <v>357</v>
      </c>
      <c r="C385" s="45">
        <f t="shared" si="190"/>
        <v>10.487410071941898</v>
      </c>
      <c r="D385" s="10">
        <f t="shared" si="191"/>
        <v>14.012589928058333</v>
      </c>
      <c r="E385" s="40">
        <f t="shared" si="192"/>
        <v>40.974820143883335</v>
      </c>
      <c r="F385" s="40">
        <f t="shared" si="193"/>
        <v>69</v>
      </c>
      <c r="G385" s="3">
        <f t="shared" si="194"/>
        <v>376.10071942446666</v>
      </c>
      <c r="H385" s="3">
        <f t="shared" si="195"/>
        <v>221.47275588995251</v>
      </c>
      <c r="I385">
        <f t="shared" si="180"/>
        <v>2.214727558899525E-4</v>
      </c>
      <c r="J385" s="4">
        <f t="shared" si="196"/>
        <v>1997.2171743633089</v>
      </c>
      <c r="K385" s="40">
        <f t="shared" si="197"/>
        <v>9.0178910102861831</v>
      </c>
      <c r="L385" s="40">
        <f t="shared" si="181"/>
        <v>0</v>
      </c>
      <c r="M385" s="10">
        <f t="shared" si="198"/>
        <v>6.3757679899325419</v>
      </c>
      <c r="N385" s="10">
        <f t="shared" si="177"/>
        <v>17.20418640980624</v>
      </c>
      <c r="O385" s="10">
        <f t="shared" si="178"/>
        <v>-0.14810000000000001</v>
      </c>
      <c r="P385" s="10">
        <f t="shared" si="199"/>
        <v>13.076239776693864</v>
      </c>
      <c r="Q385" s="45">
        <f t="shared" si="200"/>
        <v>0.85808205309398222</v>
      </c>
      <c r="R385" s="4">
        <f t="shared" si="201"/>
        <v>910407.26424750674</v>
      </c>
      <c r="S385">
        <f t="shared" si="182"/>
        <v>9.104072642475067E-4</v>
      </c>
      <c r="T385" s="44">
        <f t="shared" si="183"/>
        <v>1.1659891302344971E-3</v>
      </c>
      <c r="U385" s="45">
        <f t="shared" si="202"/>
        <v>1.6251224870450121</v>
      </c>
      <c r="V385" s="45">
        <f t="shared" si="203"/>
        <v>1.5819798911477922</v>
      </c>
      <c r="W385" s="45">
        <f t="shared" si="204"/>
        <v>1.563267556019581</v>
      </c>
      <c r="X385" s="45">
        <f t="shared" si="205"/>
        <v>1.8712335128211244E-2</v>
      </c>
      <c r="Y385" s="45">
        <f t="shared" si="179"/>
        <v>2.2981904972484084E-2</v>
      </c>
      <c r="Z385" s="10">
        <f t="shared" si="206"/>
        <v>19.710222313875338</v>
      </c>
      <c r="AA385">
        <f t="shared" si="184"/>
        <v>6376532.6643535001</v>
      </c>
      <c r="AB385" s="10">
        <f t="shared" si="185"/>
        <v>6.3765326643535003</v>
      </c>
      <c r="AC385" s="10">
        <f t="shared" si="186"/>
        <v>6.2755326643535003</v>
      </c>
      <c r="AD385" s="3">
        <f t="shared" si="187"/>
        <v>910.15702166113124</v>
      </c>
      <c r="AI385" s="100">
        <f t="shared" si="188"/>
        <v>1.563267556019581</v>
      </c>
    </row>
    <row r="386" spans="2:35">
      <c r="B386" s="39">
        <f t="shared" si="189"/>
        <v>358</v>
      </c>
      <c r="C386" s="45">
        <f t="shared" si="190"/>
        <v>10.516786570742855</v>
      </c>
      <c r="D386" s="10">
        <f t="shared" si="191"/>
        <v>13.983213429257376</v>
      </c>
      <c r="E386" s="40">
        <f t="shared" si="192"/>
        <v>41.033573141485249</v>
      </c>
      <c r="F386" s="40">
        <f t="shared" si="193"/>
        <v>69</v>
      </c>
      <c r="G386" s="3">
        <f t="shared" si="194"/>
        <v>375.865707434059</v>
      </c>
      <c r="H386" s="3">
        <f t="shared" si="195"/>
        <v>221.47275588995251</v>
      </c>
      <c r="I386">
        <f t="shared" si="180"/>
        <v>2.214727558899525E-4</v>
      </c>
      <c r="J386" s="4">
        <f t="shared" si="196"/>
        <v>2001.0014103729081</v>
      </c>
      <c r="K386" s="40">
        <f t="shared" si="197"/>
        <v>9.034977698869584</v>
      </c>
      <c r="L386" s="40">
        <f t="shared" si="181"/>
        <v>0</v>
      </c>
      <c r="M386" s="10">
        <f t="shared" si="198"/>
        <v>6.3765326643535003</v>
      </c>
      <c r="N386" s="10">
        <f t="shared" si="177"/>
        <v>17.20418640980624</v>
      </c>
      <c r="O386" s="10">
        <f t="shared" si="178"/>
        <v>-0.14810000000000001</v>
      </c>
      <c r="P386" s="10">
        <f t="shared" si="199"/>
        <v>13.07600752863488</v>
      </c>
      <c r="Q386" s="45">
        <f t="shared" si="200"/>
        <v>0.860328648527384</v>
      </c>
      <c r="R386" s="4">
        <f t="shared" si="201"/>
        <v>908416.01851684542</v>
      </c>
      <c r="S386">
        <f t="shared" si="182"/>
        <v>9.0841601851684539E-4</v>
      </c>
      <c r="T386" s="44">
        <f t="shared" si="183"/>
        <v>1.1679803759651584E-3</v>
      </c>
      <c r="U386" s="45">
        <f t="shared" si="202"/>
        <v>1.6215680138534949</v>
      </c>
      <c r="V386" s="45">
        <f t="shared" si="203"/>
        <v>1.58215989344151</v>
      </c>
      <c r="W386" s="45">
        <f t="shared" si="204"/>
        <v>1.5634580635754176</v>
      </c>
      <c r="X386" s="45">
        <f t="shared" si="205"/>
        <v>1.8701829866092368E-2</v>
      </c>
      <c r="Y386" s="45">
        <f t="shared" si="179"/>
        <v>2.3023920418057505E-2</v>
      </c>
      <c r="Z386" s="10">
        <f t="shared" si="206"/>
        <v>19.712591831032888</v>
      </c>
      <c r="AA386">
        <f t="shared" si="184"/>
        <v>6377287.0943180211</v>
      </c>
      <c r="AB386" s="10">
        <f t="shared" si="185"/>
        <v>6.3772870943180209</v>
      </c>
      <c r="AC386" s="10">
        <f t="shared" si="186"/>
        <v>6.2762870943180209</v>
      </c>
      <c r="AD386" s="3">
        <f t="shared" si="187"/>
        <v>910.26643862480364</v>
      </c>
      <c r="AI386" s="100">
        <f t="shared" si="188"/>
        <v>1.5634580635754176</v>
      </c>
    </row>
    <row r="387" spans="2:35">
      <c r="B387" s="39">
        <f t="shared" si="189"/>
        <v>359</v>
      </c>
      <c r="C387" s="45">
        <f t="shared" si="190"/>
        <v>10.546163069543812</v>
      </c>
      <c r="D387" s="10">
        <f t="shared" si="191"/>
        <v>13.953836930456418</v>
      </c>
      <c r="E387" s="40">
        <f t="shared" si="192"/>
        <v>41.092326139087163</v>
      </c>
      <c r="F387" s="40">
        <f t="shared" si="193"/>
        <v>69</v>
      </c>
      <c r="G387" s="3">
        <f t="shared" si="194"/>
        <v>375.63069544365135</v>
      </c>
      <c r="H387" s="3">
        <f t="shared" si="195"/>
        <v>221.47275588995251</v>
      </c>
      <c r="I387">
        <f t="shared" si="180"/>
        <v>2.214727558899525E-4</v>
      </c>
      <c r="J387" s="4">
        <f t="shared" si="196"/>
        <v>2004.7910686374807</v>
      </c>
      <c r="K387" s="40">
        <f t="shared" si="197"/>
        <v>9.052088870170742</v>
      </c>
      <c r="L387" s="40">
        <f t="shared" si="181"/>
        <v>0</v>
      </c>
      <c r="M387" s="10">
        <f t="shared" si="198"/>
        <v>6.3772870943180209</v>
      </c>
      <c r="N387" s="10">
        <f t="shared" si="177"/>
        <v>17.20418640980624</v>
      </c>
      <c r="O387" s="10">
        <f t="shared" si="178"/>
        <v>-0.14810000000000001</v>
      </c>
      <c r="P387" s="10">
        <f t="shared" si="199"/>
        <v>13.075778423371672</v>
      </c>
      <c r="Q387" s="45">
        <f t="shared" si="200"/>
        <v>0.862575283324166</v>
      </c>
      <c r="R387" s="4">
        <f t="shared" si="201"/>
        <v>906424.51470245107</v>
      </c>
      <c r="S387">
        <f t="shared" si="182"/>
        <v>9.0642451470245109E-4</v>
      </c>
      <c r="T387" s="44">
        <f t="shared" si="183"/>
        <v>1.1699718797795527E-3</v>
      </c>
      <c r="U387" s="45">
        <f t="shared" si="202"/>
        <v>1.6180130799696104</v>
      </c>
      <c r="V387" s="45">
        <f t="shared" si="203"/>
        <v>1.5823372312119739</v>
      </c>
      <c r="W387" s="45">
        <f t="shared" si="204"/>
        <v>1.5636460188733212</v>
      </c>
      <c r="X387" s="45">
        <f t="shared" si="205"/>
        <v>1.8691212338652674E-2</v>
      </c>
      <c r="Y387" s="45">
        <f t="shared" si="179"/>
        <v>2.3065912746091564E-2</v>
      </c>
      <c r="Z387" s="10">
        <f t="shared" si="206"/>
        <v>19.714929174569278</v>
      </c>
      <c r="AA387">
        <f t="shared" si="184"/>
        <v>6378031.2805314921</v>
      </c>
      <c r="AB387" s="10">
        <f t="shared" si="185"/>
        <v>6.3780312805314923</v>
      </c>
      <c r="AC387" s="10">
        <f t="shared" si="186"/>
        <v>6.2770312805314923</v>
      </c>
      <c r="AD387" s="3">
        <f t="shared" si="187"/>
        <v>910.3743699102962</v>
      </c>
      <c r="AI387" s="100">
        <f t="shared" si="188"/>
        <v>1.5636460188733212</v>
      </c>
    </row>
    <row r="388" spans="2:35">
      <c r="B388" s="39">
        <f t="shared" si="189"/>
        <v>360</v>
      </c>
      <c r="C388" s="45">
        <f t="shared" si="190"/>
        <v>10.575539568344769</v>
      </c>
      <c r="D388" s="10">
        <f t="shared" si="191"/>
        <v>13.924460431655461</v>
      </c>
      <c r="E388" s="40">
        <f t="shared" si="192"/>
        <v>41.151079136689077</v>
      </c>
      <c r="F388" s="40">
        <f t="shared" si="193"/>
        <v>69</v>
      </c>
      <c r="G388" s="3">
        <f t="shared" si="194"/>
        <v>375.39568345324369</v>
      </c>
      <c r="H388" s="3">
        <f t="shared" si="195"/>
        <v>221.47275588995251</v>
      </c>
      <c r="I388">
        <f t="shared" si="180"/>
        <v>2.214727558899525E-4</v>
      </c>
      <c r="J388" s="4">
        <f t="shared" si="196"/>
        <v>2008.5861491570276</v>
      </c>
      <c r="K388" s="40">
        <f t="shared" si="197"/>
        <v>9.0692245241896625</v>
      </c>
      <c r="L388" s="40">
        <f t="shared" si="181"/>
        <v>0</v>
      </c>
      <c r="M388" s="10">
        <f t="shared" si="198"/>
        <v>6.3780312805314923</v>
      </c>
      <c r="N388" s="10">
        <f t="shared" si="177"/>
        <v>17.20418640980624</v>
      </c>
      <c r="O388" s="10">
        <f t="shared" si="178"/>
        <v>-0.14810000000000001</v>
      </c>
      <c r="P388" s="10">
        <f t="shared" si="199"/>
        <v>13.075552459414466</v>
      </c>
      <c r="Q388" s="45">
        <f t="shared" si="200"/>
        <v>0.86482195694596053</v>
      </c>
      <c r="R388" s="4">
        <f t="shared" si="201"/>
        <v>904432.75662720832</v>
      </c>
      <c r="S388">
        <f t="shared" si="182"/>
        <v>9.0443275662720831E-4</v>
      </c>
      <c r="T388" s="44">
        <f t="shared" si="183"/>
        <v>1.1719636378547955E-3</v>
      </c>
      <c r="U388" s="45">
        <f t="shared" si="202"/>
        <v>1.6144576922173981</v>
      </c>
      <c r="V388" s="45">
        <f t="shared" si="203"/>
        <v>1.5825119045873859</v>
      </c>
      <c r="W388" s="45">
        <f t="shared" si="204"/>
        <v>1.5638314220890295</v>
      </c>
      <c r="X388" s="45">
        <f t="shared" si="205"/>
        <v>1.868048249835641E-2</v>
      </c>
      <c r="Y388" s="45">
        <f t="shared" si="179"/>
        <v>2.3107881693363017E-2</v>
      </c>
      <c r="Z388" s="10">
        <f t="shared" si="206"/>
        <v>19.717234346673518</v>
      </c>
      <c r="AA388">
        <f t="shared" si="184"/>
        <v>6378765.2236908711</v>
      </c>
      <c r="AB388" s="10">
        <f t="shared" si="185"/>
        <v>6.3787652236908707</v>
      </c>
      <c r="AC388" s="10">
        <f t="shared" si="186"/>
        <v>6.2777652236908708</v>
      </c>
      <c r="AD388" s="3">
        <f t="shared" si="187"/>
        <v>910.48081561869049</v>
      </c>
      <c r="AI388" s="100">
        <f t="shared" si="188"/>
        <v>1.5638314220890295</v>
      </c>
    </row>
    <row r="389" spans="2:35">
      <c r="B389" s="39">
        <f t="shared" si="189"/>
        <v>361</v>
      </c>
      <c r="C389" s="45">
        <f t="shared" si="190"/>
        <v>10.604916067145727</v>
      </c>
      <c r="D389" s="10">
        <f t="shared" si="191"/>
        <v>13.895083932854504</v>
      </c>
      <c r="E389" s="40">
        <f t="shared" si="192"/>
        <v>41.209832134290991</v>
      </c>
      <c r="F389" s="40">
        <f t="shared" si="193"/>
        <v>69</v>
      </c>
      <c r="G389" s="3">
        <f t="shared" si="194"/>
        <v>375.16067146283604</v>
      </c>
      <c r="H389" s="3">
        <f t="shared" si="195"/>
        <v>221.47275588995251</v>
      </c>
      <c r="I389">
        <f t="shared" si="180"/>
        <v>2.214727558899525E-4</v>
      </c>
      <c r="J389" s="4">
        <f t="shared" si="196"/>
        <v>2012.3866519315484</v>
      </c>
      <c r="K389" s="40">
        <f t="shared" si="197"/>
        <v>9.0863846609263401</v>
      </c>
      <c r="L389" s="40">
        <f t="shared" si="181"/>
        <v>0</v>
      </c>
      <c r="M389" s="10">
        <f t="shared" si="198"/>
        <v>6.3787652236908707</v>
      </c>
      <c r="N389" s="10">
        <f t="shared" si="177"/>
        <v>17.20418640980624</v>
      </c>
      <c r="O389" s="10">
        <f t="shared" si="178"/>
        <v>-0.14810000000000001</v>
      </c>
      <c r="P389" s="10">
        <f t="shared" si="199"/>
        <v>13.075329635294009</v>
      </c>
      <c r="Q389" s="45">
        <f t="shared" si="200"/>
        <v>0.86706866885459666</v>
      </c>
      <c r="R389" s="4">
        <f t="shared" si="201"/>
        <v>902440.74811400205</v>
      </c>
      <c r="S389">
        <f t="shared" si="182"/>
        <v>9.0244074811400208E-4</v>
      </c>
      <c r="T389" s="44">
        <f t="shared" si="183"/>
        <v>1.1739556463680016E-3</v>
      </c>
      <c r="U389" s="45">
        <f t="shared" si="202"/>
        <v>1.6109018574208995</v>
      </c>
      <c r="V389" s="45">
        <f t="shared" si="203"/>
        <v>1.5826839136919675</v>
      </c>
      <c r="W389" s="45">
        <f t="shared" si="204"/>
        <v>1.564014273396179</v>
      </c>
      <c r="X389" s="45">
        <f t="shared" si="205"/>
        <v>1.8669640295788437E-2</v>
      </c>
      <c r="Y389" s="45">
        <f t="shared" si="179"/>
        <v>2.3149826996545518E-2</v>
      </c>
      <c r="Z389" s="10">
        <f t="shared" si="206"/>
        <v>19.719507349503992</v>
      </c>
      <c r="AA389">
        <f t="shared" si="184"/>
        <v>6379488.9244833663</v>
      </c>
      <c r="AB389" s="10">
        <f t="shared" si="185"/>
        <v>6.3794889244833666</v>
      </c>
      <c r="AC389" s="10">
        <f t="shared" si="186"/>
        <v>6.2784889244833666</v>
      </c>
      <c r="AD389" s="3">
        <f t="shared" si="187"/>
        <v>910.58577584965428</v>
      </c>
      <c r="AI389" s="100">
        <f t="shared" si="188"/>
        <v>1.564014273396179</v>
      </c>
    </row>
    <row r="390" spans="2:35">
      <c r="B390" s="39">
        <f t="shared" si="189"/>
        <v>362</v>
      </c>
      <c r="C390" s="45">
        <f t="shared" si="190"/>
        <v>10.634292565946684</v>
      </c>
      <c r="D390" s="10">
        <f t="shared" si="191"/>
        <v>13.865707434053547</v>
      </c>
      <c r="E390" s="40">
        <f t="shared" si="192"/>
        <v>41.268585131892905</v>
      </c>
      <c r="F390" s="40">
        <f t="shared" si="193"/>
        <v>69</v>
      </c>
      <c r="G390" s="3">
        <f t="shared" si="194"/>
        <v>374.92565947242838</v>
      </c>
      <c r="H390" s="3">
        <f t="shared" si="195"/>
        <v>221.47275588995251</v>
      </c>
      <c r="I390">
        <f t="shared" si="180"/>
        <v>2.214727558899525E-4</v>
      </c>
      <c r="J390" s="4">
        <f t="shared" si="196"/>
        <v>2016.192576961043</v>
      </c>
      <c r="K390" s="40">
        <f t="shared" si="197"/>
        <v>9.1035692803807784</v>
      </c>
      <c r="L390" s="40">
        <f t="shared" si="181"/>
        <v>0</v>
      </c>
      <c r="M390" s="10">
        <f t="shared" si="198"/>
        <v>6.3794889244833666</v>
      </c>
      <c r="N390" s="10">
        <f t="shared" si="177"/>
        <v>17.20418640980624</v>
      </c>
      <c r="O390" s="10">
        <f t="shared" si="178"/>
        <v>-0.14810000000000001</v>
      </c>
      <c r="P390" s="10">
        <f t="shared" si="199"/>
        <v>13.075109949561948</v>
      </c>
      <c r="Q390" s="45">
        <f t="shared" si="200"/>
        <v>0.86931541851209704</v>
      </c>
      <c r="R390" s="4">
        <f t="shared" si="201"/>
        <v>900448.49298571702</v>
      </c>
      <c r="S390">
        <f t="shared" si="182"/>
        <v>9.0044849298571701E-4</v>
      </c>
      <c r="T390" s="44">
        <f t="shared" si="183"/>
        <v>1.1759479014962868E-3</v>
      </c>
      <c r="U390" s="45">
        <f t="shared" si="202"/>
        <v>1.607345582404154</v>
      </c>
      <c r="V390" s="45">
        <f t="shared" si="203"/>
        <v>1.5828532586501085</v>
      </c>
      <c r="W390" s="45">
        <f t="shared" si="204"/>
        <v>1.5641945729659781</v>
      </c>
      <c r="X390" s="45">
        <f t="shared" si="205"/>
        <v>1.8658685684130427E-2</v>
      </c>
      <c r="Y390" s="45">
        <f t="shared" si="179"/>
        <v>2.3191748392215744E-2</v>
      </c>
      <c r="Z390" s="10">
        <f t="shared" si="206"/>
        <v>19.721748185192858</v>
      </c>
      <c r="AA390">
        <f t="shared" si="184"/>
        <v>6380202.3835878344</v>
      </c>
      <c r="AB390" s="10">
        <f t="shared" si="185"/>
        <v>6.3802023835878341</v>
      </c>
      <c r="AC390" s="10">
        <f t="shared" si="186"/>
        <v>6.2792023835878341</v>
      </c>
      <c r="AD390" s="3">
        <f t="shared" si="187"/>
        <v>910.68925070164391</v>
      </c>
      <c r="AI390" s="100">
        <f t="shared" si="188"/>
        <v>1.5641945729659781</v>
      </c>
    </row>
    <row r="391" spans="2:35">
      <c r="B391" s="39">
        <f t="shared" si="189"/>
        <v>363</v>
      </c>
      <c r="C391" s="45">
        <f t="shared" si="190"/>
        <v>10.663669064747641</v>
      </c>
      <c r="D391" s="10">
        <f t="shared" si="191"/>
        <v>13.83633093525259</v>
      </c>
      <c r="E391" s="40">
        <f t="shared" si="192"/>
        <v>41.327338129494819</v>
      </c>
      <c r="F391" s="40">
        <f t="shared" si="193"/>
        <v>69</v>
      </c>
      <c r="G391" s="3">
        <f t="shared" si="194"/>
        <v>374.69064748202072</v>
      </c>
      <c r="H391" s="3">
        <f t="shared" si="195"/>
        <v>221.47275588995251</v>
      </c>
      <c r="I391">
        <f t="shared" si="180"/>
        <v>2.214727558899525E-4</v>
      </c>
      <c r="J391" s="4">
        <f t="shared" si="196"/>
        <v>2020.0039242455114</v>
      </c>
      <c r="K391" s="40">
        <f t="shared" si="197"/>
        <v>9.1207783825529773</v>
      </c>
      <c r="L391" s="40">
        <f t="shared" si="181"/>
        <v>0</v>
      </c>
      <c r="M391" s="10">
        <f t="shared" si="198"/>
        <v>6.3802023835878341</v>
      </c>
      <c r="N391" s="10">
        <f t="shared" si="177"/>
        <v>17.20418640980624</v>
      </c>
      <c r="O391" s="10">
        <f t="shared" si="178"/>
        <v>-0.14810000000000001</v>
      </c>
      <c r="P391" s="10">
        <f t="shared" si="199"/>
        <v>13.074893400790369</v>
      </c>
      <c r="Q391" s="45">
        <f t="shared" si="200"/>
        <v>0.87156220538067541</v>
      </c>
      <c r="R391" s="4">
        <f t="shared" si="201"/>
        <v>898455.99506523809</v>
      </c>
      <c r="S391">
        <f t="shared" si="182"/>
        <v>8.9845599506523804E-4</v>
      </c>
      <c r="T391" s="44">
        <f t="shared" si="183"/>
        <v>1.1779403994167659E-3</v>
      </c>
      <c r="U391" s="45">
        <f t="shared" si="202"/>
        <v>1.6037888739912032</v>
      </c>
      <c r="V391" s="45">
        <f t="shared" si="203"/>
        <v>1.5830199395821278</v>
      </c>
      <c r="W391" s="45">
        <f t="shared" si="204"/>
        <v>1.564372320967554</v>
      </c>
      <c r="X391" s="45">
        <f t="shared" si="205"/>
        <v>1.8647618614573869E-2</v>
      </c>
      <c r="Y391" s="45">
        <f t="shared" si="179"/>
        <v>2.3233645616849225E-2</v>
      </c>
      <c r="Z391" s="10">
        <f t="shared" si="206"/>
        <v>19.723956855841696</v>
      </c>
      <c r="AA391">
        <f t="shared" si="184"/>
        <v>6380905.6016733972</v>
      </c>
      <c r="AB391" s="10">
        <f t="shared" si="185"/>
        <v>6.3809056016733976</v>
      </c>
      <c r="AC391" s="10">
        <f t="shared" si="186"/>
        <v>6.2799056016733976</v>
      </c>
      <c r="AD391" s="3">
        <f t="shared" si="187"/>
        <v>910.79124027170371</v>
      </c>
      <c r="AI391" s="100">
        <f t="shared" si="188"/>
        <v>1.564372320967554</v>
      </c>
    </row>
    <row r="392" spans="2:35">
      <c r="B392" s="39">
        <f t="shared" si="189"/>
        <v>364</v>
      </c>
      <c r="C392" s="45">
        <f t="shared" si="190"/>
        <v>10.693045563548598</v>
      </c>
      <c r="D392" s="10">
        <f t="shared" si="191"/>
        <v>13.806954436451633</v>
      </c>
      <c r="E392" s="40">
        <f t="shared" si="192"/>
        <v>41.386091127096734</v>
      </c>
      <c r="F392" s="40">
        <f t="shared" si="193"/>
        <v>69</v>
      </c>
      <c r="G392" s="3">
        <f t="shared" si="194"/>
        <v>374.45563549161307</v>
      </c>
      <c r="H392" s="3">
        <f t="shared" si="195"/>
        <v>221.47275588995251</v>
      </c>
      <c r="I392">
        <f t="shared" si="180"/>
        <v>2.214727558899525E-4</v>
      </c>
      <c r="J392" s="4">
        <f t="shared" si="196"/>
        <v>2023.8206937849536</v>
      </c>
      <c r="K392" s="40">
        <f t="shared" si="197"/>
        <v>9.1380119674429334</v>
      </c>
      <c r="L392" s="40">
        <f t="shared" si="181"/>
        <v>0</v>
      </c>
      <c r="M392" s="10">
        <f t="shared" si="198"/>
        <v>6.3809056016733976</v>
      </c>
      <c r="N392" s="10">
        <f t="shared" si="177"/>
        <v>17.20418640980624</v>
      </c>
      <c r="O392" s="10">
        <f t="shared" si="178"/>
        <v>-0.14810000000000001</v>
      </c>
      <c r="P392" s="10">
        <f t="shared" si="199"/>
        <v>13.074679987572193</v>
      </c>
      <c r="Q392" s="45">
        <f t="shared" si="200"/>
        <v>0.87380902892273382</v>
      </c>
      <c r="R392" s="4">
        <f t="shared" si="201"/>
        <v>896463.25817545014</v>
      </c>
      <c r="S392">
        <f t="shared" si="182"/>
        <v>8.9646325817545011E-4</v>
      </c>
      <c r="T392" s="44">
        <f t="shared" si="183"/>
        <v>1.1799331363065537E-3</v>
      </c>
      <c r="U392" s="45">
        <f t="shared" si="202"/>
        <v>1.6002317390060874</v>
      </c>
      <c r="V392" s="45">
        <f t="shared" si="203"/>
        <v>1.5831839566078905</v>
      </c>
      <c r="W392" s="45">
        <f t="shared" si="204"/>
        <v>1.5645475175676082</v>
      </c>
      <c r="X392" s="45">
        <f t="shared" si="205"/>
        <v>1.8636439040282227E-2</v>
      </c>
      <c r="Y392" s="45">
        <f t="shared" si="179"/>
        <v>2.3275518406825069E-2</v>
      </c>
      <c r="Z392" s="10">
        <f t="shared" si="206"/>
        <v>19.72613336352472</v>
      </c>
      <c r="AA392">
        <f t="shared" si="184"/>
        <v>6381598.579400464</v>
      </c>
      <c r="AB392" s="10">
        <f t="shared" si="185"/>
        <v>6.3815985794004639</v>
      </c>
      <c r="AC392" s="10">
        <f t="shared" si="186"/>
        <v>6.280598579400464</v>
      </c>
      <c r="AD392" s="3">
        <f t="shared" si="187"/>
        <v>910.89174465561484</v>
      </c>
      <c r="AI392" s="100">
        <f t="shared" si="188"/>
        <v>1.5645475175676082</v>
      </c>
    </row>
    <row r="393" spans="2:35">
      <c r="B393" s="39">
        <f t="shared" si="189"/>
        <v>365</v>
      </c>
      <c r="C393" s="45">
        <f t="shared" si="190"/>
        <v>10.722422062349555</v>
      </c>
      <c r="D393" s="10">
        <f t="shared" si="191"/>
        <v>13.777577937650676</v>
      </c>
      <c r="E393" s="40">
        <f t="shared" si="192"/>
        <v>41.444844124698648</v>
      </c>
      <c r="F393" s="40">
        <f t="shared" si="193"/>
        <v>69</v>
      </c>
      <c r="G393" s="3">
        <f t="shared" si="194"/>
        <v>374.22062350120541</v>
      </c>
      <c r="H393" s="3">
        <f t="shared" si="195"/>
        <v>221.47275588995251</v>
      </c>
      <c r="I393">
        <f t="shared" si="180"/>
        <v>2.214727558899525E-4</v>
      </c>
      <c r="J393" s="4">
        <f t="shared" si="196"/>
        <v>2027.6428855793702</v>
      </c>
      <c r="K393" s="40">
        <f t="shared" si="197"/>
        <v>9.155270035050652</v>
      </c>
      <c r="L393" s="40">
        <f t="shared" si="181"/>
        <v>0</v>
      </c>
      <c r="M393" s="10">
        <f t="shared" si="198"/>
        <v>6.3815985794004639</v>
      </c>
      <c r="N393" s="10">
        <f t="shared" si="177"/>
        <v>17.20418640980624</v>
      </c>
      <c r="O393" s="10">
        <f t="shared" si="178"/>
        <v>-0.14810000000000001</v>
      </c>
      <c r="P393" s="10">
        <f t="shared" si="199"/>
        <v>13.074469708520853</v>
      </c>
      <c r="Q393" s="45">
        <f t="shared" si="200"/>
        <v>0.87605588860086003</v>
      </c>
      <c r="R393" s="4">
        <f t="shared" si="201"/>
        <v>894470.28613923758</v>
      </c>
      <c r="S393">
        <f t="shared" si="182"/>
        <v>8.944702861392376E-4</v>
      </c>
      <c r="T393" s="44">
        <f t="shared" si="183"/>
        <v>1.1819261083427662E-3</v>
      </c>
      <c r="U393" s="45">
        <f t="shared" si="202"/>
        <v>1.596674184272846</v>
      </c>
      <c r="V393" s="45">
        <f t="shared" si="203"/>
        <v>1.583345309845174</v>
      </c>
      <c r="W393" s="45">
        <f t="shared" si="204"/>
        <v>1.5647201629306731</v>
      </c>
      <c r="X393" s="45">
        <f t="shared" si="205"/>
        <v>1.8625146914500901E-2</v>
      </c>
      <c r="Y393" s="45">
        <f t="shared" si="179"/>
        <v>2.3317366498426438E-2</v>
      </c>
      <c r="Z393" s="10">
        <f t="shared" si="206"/>
        <v>19.728277710288342</v>
      </c>
      <c r="AA393">
        <f t="shared" si="184"/>
        <v>6382281.3174205888</v>
      </c>
      <c r="AB393" s="10">
        <f t="shared" si="185"/>
        <v>6.3822813174205892</v>
      </c>
      <c r="AC393" s="10">
        <f t="shared" si="186"/>
        <v>6.2812813174205893</v>
      </c>
      <c r="AD393" s="3">
        <f t="shared" si="187"/>
        <v>910.99076394787369</v>
      </c>
      <c r="AI393" s="100">
        <f t="shared" si="188"/>
        <v>1.5647201629306731</v>
      </c>
    </row>
    <row r="394" spans="2:35">
      <c r="B394" s="39">
        <f t="shared" si="189"/>
        <v>366</v>
      </c>
      <c r="C394" s="45">
        <f t="shared" si="190"/>
        <v>10.751798561150512</v>
      </c>
      <c r="D394" s="10">
        <f t="shared" si="191"/>
        <v>13.748201438849719</v>
      </c>
      <c r="E394" s="40">
        <f t="shared" si="192"/>
        <v>41.503597122300562</v>
      </c>
      <c r="F394" s="40">
        <f t="shared" si="193"/>
        <v>69</v>
      </c>
      <c r="G394" s="3">
        <f t="shared" si="194"/>
        <v>373.98561151079775</v>
      </c>
      <c r="H394" s="3">
        <f t="shared" si="195"/>
        <v>221.47275588995251</v>
      </c>
      <c r="I394">
        <f t="shared" si="180"/>
        <v>2.214727558899525E-4</v>
      </c>
      <c r="J394" s="4">
        <f t="shared" si="196"/>
        <v>2031.4704996287601</v>
      </c>
      <c r="K394" s="40">
        <f t="shared" si="197"/>
        <v>9.1725525853761294</v>
      </c>
      <c r="L394" s="40">
        <f t="shared" si="181"/>
        <v>0</v>
      </c>
      <c r="M394" s="10">
        <f t="shared" si="198"/>
        <v>6.3822813174205892</v>
      </c>
      <c r="N394" s="10">
        <f t="shared" si="177"/>
        <v>17.20418640980624</v>
      </c>
      <c r="O394" s="10">
        <f t="shared" si="178"/>
        <v>-0.14810000000000001</v>
      </c>
      <c r="P394" s="10">
        <f t="shared" si="199"/>
        <v>13.074262562270285</v>
      </c>
      <c r="Q394" s="45">
        <f t="shared" si="200"/>
        <v>0.87830278387782446</v>
      </c>
      <c r="R394" s="4">
        <f t="shared" si="201"/>
        <v>892477.08277948573</v>
      </c>
      <c r="S394">
        <f t="shared" si="182"/>
        <v>8.9247708277948577E-4</v>
      </c>
      <c r="T394" s="44">
        <f t="shared" si="183"/>
        <v>1.183919311702518E-3</v>
      </c>
      <c r="U394" s="45">
        <f t="shared" si="202"/>
        <v>1.5931162166155211</v>
      </c>
      <c r="V394" s="45">
        <f t="shared" si="203"/>
        <v>1.5835039994083822</v>
      </c>
      <c r="W394" s="45">
        <f t="shared" si="204"/>
        <v>1.5648902572190726</v>
      </c>
      <c r="X394" s="45">
        <f t="shared" si="205"/>
        <v>1.8613742189309557E-2</v>
      </c>
      <c r="Y394" s="45">
        <f t="shared" si="179"/>
        <v>2.3359189627838232E-2</v>
      </c>
      <c r="Z394" s="10">
        <f t="shared" si="206"/>
        <v>19.730389898148452</v>
      </c>
      <c r="AA394">
        <f t="shared" si="184"/>
        <v>6382953.8163756132</v>
      </c>
      <c r="AB394" s="10">
        <f t="shared" si="185"/>
        <v>6.382953816375613</v>
      </c>
      <c r="AC394" s="10">
        <f t="shared" si="186"/>
        <v>6.281953816375613</v>
      </c>
      <c r="AD394" s="3">
        <f t="shared" si="187"/>
        <v>911.08829824156828</v>
      </c>
      <c r="AI394" s="100">
        <f t="shared" si="188"/>
        <v>1.5648902572190726</v>
      </c>
    </row>
    <row r="395" spans="2:35">
      <c r="B395" s="39">
        <f t="shared" si="189"/>
        <v>367</v>
      </c>
      <c r="C395" s="45">
        <f t="shared" si="190"/>
        <v>10.781175059951469</v>
      </c>
      <c r="D395" s="10">
        <f t="shared" si="191"/>
        <v>13.718824940048762</v>
      </c>
      <c r="E395" s="40">
        <f t="shared" si="192"/>
        <v>41.562350119902476</v>
      </c>
      <c r="F395" s="40">
        <f t="shared" si="193"/>
        <v>69</v>
      </c>
      <c r="G395" s="3">
        <f t="shared" si="194"/>
        <v>373.7505995203901</v>
      </c>
      <c r="H395" s="3">
        <f t="shared" si="195"/>
        <v>221.47275588995251</v>
      </c>
      <c r="I395">
        <f t="shared" si="180"/>
        <v>2.214727558899525E-4</v>
      </c>
      <c r="J395" s="4">
        <f t="shared" si="196"/>
        <v>2035.3035359331243</v>
      </c>
      <c r="K395" s="40">
        <f t="shared" si="197"/>
        <v>9.1898596184193657</v>
      </c>
      <c r="L395" s="40">
        <f t="shared" si="181"/>
        <v>0</v>
      </c>
      <c r="M395" s="10">
        <f t="shared" si="198"/>
        <v>6.382953816375613</v>
      </c>
      <c r="N395" s="10">
        <f t="shared" si="177"/>
        <v>17.20418640980624</v>
      </c>
      <c r="O395" s="10">
        <f t="shared" si="178"/>
        <v>-0.14810000000000001</v>
      </c>
      <c r="P395" s="10">
        <f t="shared" si="199"/>
        <v>13.074058547475182</v>
      </c>
      <c r="Q395" s="45">
        <f t="shared" si="200"/>
        <v>0.88054971421657768</v>
      </c>
      <c r="R395" s="4">
        <f t="shared" si="201"/>
        <v>890483.65191907901</v>
      </c>
      <c r="S395">
        <f t="shared" si="182"/>
        <v>8.9048365191907901E-4</v>
      </c>
      <c r="T395" s="44">
        <f t="shared" si="183"/>
        <v>1.1859127425629247E-3</v>
      </c>
      <c r="U395" s="45">
        <f t="shared" si="202"/>
        <v>1.589557842858152</v>
      </c>
      <c r="V395" s="45">
        <f t="shared" si="203"/>
        <v>1.5836600254120328</v>
      </c>
      <c r="W395" s="45">
        <f t="shared" si="204"/>
        <v>1.5650578005927134</v>
      </c>
      <c r="X395" s="45">
        <f t="shared" si="205"/>
        <v>1.8602224819319391E-2</v>
      </c>
      <c r="Y395" s="45">
        <f t="shared" si="179"/>
        <v>2.3400987531153068E-2</v>
      </c>
      <c r="Z395" s="10">
        <f t="shared" si="206"/>
        <v>19.732469929094641</v>
      </c>
      <c r="AA395">
        <f t="shared" si="184"/>
        <v>6383616.0768990004</v>
      </c>
      <c r="AB395" s="10">
        <f t="shared" si="185"/>
        <v>6.383616076899</v>
      </c>
      <c r="AC395" s="10">
        <f t="shared" si="186"/>
        <v>6.282616076899</v>
      </c>
      <c r="AD395" s="3">
        <f t="shared" si="187"/>
        <v>911.18434762857146</v>
      </c>
      <c r="AI395" s="100">
        <f t="shared" si="188"/>
        <v>1.5650578005927134</v>
      </c>
    </row>
    <row r="396" spans="2:35">
      <c r="B396" s="39">
        <f t="shared" si="189"/>
        <v>368</v>
      </c>
      <c r="C396" s="45">
        <f t="shared" si="190"/>
        <v>10.810551558752426</v>
      </c>
      <c r="D396" s="10">
        <f t="shared" si="191"/>
        <v>13.689448441247805</v>
      </c>
      <c r="E396" s="40">
        <f t="shared" si="192"/>
        <v>41.62110311750439</v>
      </c>
      <c r="F396" s="40">
        <f t="shared" si="193"/>
        <v>69</v>
      </c>
      <c r="G396" s="3">
        <f t="shared" si="194"/>
        <v>373.51558752998244</v>
      </c>
      <c r="H396" s="3">
        <f t="shared" si="195"/>
        <v>221.47275588995251</v>
      </c>
      <c r="I396">
        <f t="shared" si="180"/>
        <v>2.214727558899525E-4</v>
      </c>
      <c r="J396" s="4">
        <f t="shared" si="196"/>
        <v>2039.1419944924619</v>
      </c>
      <c r="K396" s="40">
        <f t="shared" si="197"/>
        <v>9.2071911341803609</v>
      </c>
      <c r="L396" s="40">
        <f t="shared" si="181"/>
        <v>0</v>
      </c>
      <c r="M396" s="10">
        <f t="shared" si="198"/>
        <v>6.383616076899</v>
      </c>
      <c r="N396" s="10">
        <f t="shared" si="177"/>
        <v>17.20418640980624</v>
      </c>
      <c r="O396" s="10">
        <f t="shared" si="178"/>
        <v>-0.14810000000000001</v>
      </c>
      <c r="P396" s="10">
        <f t="shared" si="199"/>
        <v>13.073857662810557</v>
      </c>
      <c r="Q396" s="45">
        <f t="shared" si="200"/>
        <v>0.88279667908024761</v>
      </c>
      <c r="R396" s="4">
        <f t="shared" si="201"/>
        <v>888489.99738090264</v>
      </c>
      <c r="S396">
        <f t="shared" si="182"/>
        <v>8.884899973809026E-4</v>
      </c>
      <c r="T396" s="44">
        <f t="shared" si="183"/>
        <v>1.1879063971011012E-3</v>
      </c>
      <c r="U396" s="45">
        <f t="shared" si="202"/>
        <v>1.5859990698247803</v>
      </c>
      <c r="V396" s="45">
        <f t="shared" si="203"/>
        <v>1.5838133879669232</v>
      </c>
      <c r="W396" s="45">
        <f t="shared" si="204"/>
        <v>1.5652227932094134</v>
      </c>
      <c r="X396" s="45">
        <f t="shared" si="205"/>
        <v>1.8590594757509793E-2</v>
      </c>
      <c r="Y396" s="45">
        <f t="shared" si="179"/>
        <v>2.3442759944367918E-2</v>
      </c>
      <c r="Z396" s="10">
        <f t="shared" si="206"/>
        <v>19.734517805086568</v>
      </c>
      <c r="AA396">
        <f t="shared" si="184"/>
        <v>6384268.0996146873</v>
      </c>
      <c r="AB396" s="10">
        <f t="shared" si="185"/>
        <v>6.3842680996146877</v>
      </c>
      <c r="AC396" s="10">
        <f t="shared" si="186"/>
        <v>6.2832680996146877</v>
      </c>
      <c r="AD396" s="3">
        <f t="shared" si="187"/>
        <v>911.27891219937453</v>
      </c>
      <c r="AI396" s="100">
        <f t="shared" si="188"/>
        <v>1.5652227932094134</v>
      </c>
    </row>
    <row r="397" spans="2:35">
      <c r="B397" s="39">
        <f t="shared" si="189"/>
        <v>369</v>
      </c>
      <c r="C397" s="45">
        <f t="shared" si="190"/>
        <v>10.839928057553383</v>
      </c>
      <c r="D397" s="10">
        <f t="shared" si="191"/>
        <v>13.660071942446848</v>
      </c>
      <c r="E397" s="40">
        <f t="shared" si="192"/>
        <v>41.679856115106304</v>
      </c>
      <c r="F397" s="40">
        <f t="shared" si="193"/>
        <v>69</v>
      </c>
      <c r="G397" s="3">
        <f t="shared" si="194"/>
        <v>373.28057553957478</v>
      </c>
      <c r="H397" s="3">
        <f t="shared" si="195"/>
        <v>221.47275588995251</v>
      </c>
      <c r="I397">
        <f t="shared" si="180"/>
        <v>2.214727558899525E-4</v>
      </c>
      <c r="J397" s="4">
        <f t="shared" si="196"/>
        <v>2042.9858753067738</v>
      </c>
      <c r="K397" s="40">
        <f t="shared" si="197"/>
        <v>9.2245471326591169</v>
      </c>
      <c r="L397" s="40">
        <f t="shared" si="181"/>
        <v>0</v>
      </c>
      <c r="M397" s="10">
        <f t="shared" si="198"/>
        <v>6.3842680996146877</v>
      </c>
      <c r="N397" s="10">
        <f t="shared" si="177"/>
        <v>17.20418640980624</v>
      </c>
      <c r="O397" s="10">
        <f t="shared" si="178"/>
        <v>-0.14810000000000001</v>
      </c>
      <c r="P397" s="10">
        <f t="shared" si="199"/>
        <v>13.073659906972072</v>
      </c>
      <c r="Q397" s="45">
        <f t="shared" si="200"/>
        <v>0.8850436779321369</v>
      </c>
      <c r="R397" s="4">
        <f t="shared" si="201"/>
        <v>886496.12298784091</v>
      </c>
      <c r="S397">
        <f t="shared" si="182"/>
        <v>8.864961229878409E-4</v>
      </c>
      <c r="T397" s="44">
        <f t="shared" si="183"/>
        <v>1.1899002714941629E-3</v>
      </c>
      <c r="U397" s="45">
        <f t="shared" si="202"/>
        <v>1.5824399043394455</v>
      </c>
      <c r="V397" s="45">
        <f t="shared" si="203"/>
        <v>1.5839640871833578</v>
      </c>
      <c r="W397" s="45">
        <f t="shared" si="204"/>
        <v>1.5653852352246171</v>
      </c>
      <c r="X397" s="45">
        <f t="shared" si="205"/>
        <v>1.857885195874065E-2</v>
      </c>
      <c r="Y397" s="45">
        <f t="shared" si="179"/>
        <v>2.3484506603388629E-2</v>
      </c>
      <c r="Z397" s="10">
        <f t="shared" si="206"/>
        <v>19.736533528056963</v>
      </c>
      <c r="AA397">
        <f t="shared" si="184"/>
        <v>6384909.8851380348</v>
      </c>
      <c r="AB397" s="10">
        <f t="shared" si="185"/>
        <v>6.3849098851380353</v>
      </c>
      <c r="AC397" s="10">
        <f t="shared" si="186"/>
        <v>6.2839098851380353</v>
      </c>
      <c r="AD397" s="3">
        <f t="shared" si="187"/>
        <v>911.37199204322474</v>
      </c>
      <c r="AI397" s="100">
        <f t="shared" si="188"/>
        <v>1.5653852352246171</v>
      </c>
    </row>
    <row r="398" spans="2:35">
      <c r="B398" s="39">
        <f t="shared" si="189"/>
        <v>370</v>
      </c>
      <c r="C398" s="45">
        <f t="shared" si="190"/>
        <v>10.86930455635434</v>
      </c>
      <c r="D398" s="10">
        <f t="shared" si="191"/>
        <v>13.630695443645891</v>
      </c>
      <c r="E398" s="40">
        <f t="shared" si="192"/>
        <v>41.738609112708218</v>
      </c>
      <c r="F398" s="40">
        <f t="shared" si="193"/>
        <v>69</v>
      </c>
      <c r="G398" s="3">
        <f t="shared" si="194"/>
        <v>373.04556354916713</v>
      </c>
      <c r="H398" s="3">
        <f t="shared" si="195"/>
        <v>221.47275588995251</v>
      </c>
      <c r="I398">
        <f t="shared" si="180"/>
        <v>2.214727558899525E-4</v>
      </c>
      <c r="J398" s="4">
        <f t="shared" si="196"/>
        <v>2046.8351783760595</v>
      </c>
      <c r="K398" s="40">
        <f t="shared" si="197"/>
        <v>9.2419276138556317</v>
      </c>
      <c r="L398" s="40">
        <f t="shared" si="181"/>
        <v>0</v>
      </c>
      <c r="M398" s="10">
        <f t="shared" si="198"/>
        <v>6.3849098851380353</v>
      </c>
      <c r="N398" s="10">
        <f t="shared" si="177"/>
        <v>17.20418640980624</v>
      </c>
      <c r="O398" s="10">
        <f t="shared" si="178"/>
        <v>-0.14810000000000001</v>
      </c>
      <c r="P398" s="10">
        <f t="shared" si="199"/>
        <v>13.073465278675716</v>
      </c>
      <c r="Q398" s="45">
        <f t="shared" si="200"/>
        <v>0.88729071023572015</v>
      </c>
      <c r="R398" s="4">
        <f t="shared" si="201"/>
        <v>884502.03256277891</v>
      </c>
      <c r="S398">
        <f t="shared" si="182"/>
        <v>8.8450203256277887E-4</v>
      </c>
      <c r="T398" s="44">
        <f t="shared" si="183"/>
        <v>1.1918943619192248E-3</v>
      </c>
      <c r="U398" s="45">
        <f t="shared" si="202"/>
        <v>1.5788803532261886</v>
      </c>
      <c r="V398" s="45">
        <f t="shared" si="203"/>
        <v>1.5841121231682453</v>
      </c>
      <c r="W398" s="45">
        <f t="shared" si="204"/>
        <v>1.5655451267916334</v>
      </c>
      <c r="X398" s="45">
        <f t="shared" si="205"/>
        <v>1.8566996376611966E-2</v>
      </c>
      <c r="Y398" s="45">
        <f t="shared" si="179"/>
        <v>2.3526227244027389E-2</v>
      </c>
      <c r="Z398" s="10">
        <f t="shared" si="206"/>
        <v>19.738517099908702</v>
      </c>
      <c r="AA398">
        <f t="shared" si="184"/>
        <v>6385541.4340748992</v>
      </c>
      <c r="AB398" s="10">
        <f t="shared" si="185"/>
        <v>6.3855414340748995</v>
      </c>
      <c r="AC398" s="10">
        <f t="shared" si="186"/>
        <v>6.2845414340748995</v>
      </c>
      <c r="AD398" s="3">
        <f t="shared" si="187"/>
        <v>911.4635872479912</v>
      </c>
      <c r="AI398" s="100">
        <f t="shared" si="188"/>
        <v>1.5655451267916334</v>
      </c>
    </row>
    <row r="399" spans="2:35">
      <c r="B399" s="39">
        <f t="shared" si="189"/>
        <v>371</v>
      </c>
      <c r="C399" s="45">
        <f t="shared" si="190"/>
        <v>10.898681055155297</v>
      </c>
      <c r="D399" s="10">
        <f t="shared" si="191"/>
        <v>13.601318944844934</v>
      </c>
      <c r="E399" s="40">
        <f t="shared" si="192"/>
        <v>41.797362110310132</v>
      </c>
      <c r="F399" s="40">
        <f t="shared" si="193"/>
        <v>69</v>
      </c>
      <c r="G399" s="3">
        <f t="shared" si="194"/>
        <v>372.81055155875947</v>
      </c>
      <c r="H399" s="3">
        <f t="shared" si="195"/>
        <v>221.47275588995251</v>
      </c>
      <c r="I399">
        <f t="shared" si="180"/>
        <v>2.214727558899525E-4</v>
      </c>
      <c r="J399" s="4">
        <f t="shared" si="196"/>
        <v>2050.6899037003195</v>
      </c>
      <c r="K399" s="40">
        <f t="shared" si="197"/>
        <v>9.2593325777699071</v>
      </c>
      <c r="L399" s="40">
        <f t="shared" si="181"/>
        <v>0</v>
      </c>
      <c r="M399" s="10">
        <f t="shared" si="198"/>
        <v>6.3855414340748995</v>
      </c>
      <c r="N399" s="10">
        <f t="shared" si="177"/>
        <v>17.20418640980624</v>
      </c>
      <c r="O399" s="10">
        <f t="shared" si="178"/>
        <v>-0.14810000000000001</v>
      </c>
      <c r="P399" s="10">
        <f t="shared" si="199"/>
        <v>13.073273776658068</v>
      </c>
      <c r="Q399" s="45">
        <f t="shared" si="200"/>
        <v>0.88953777545464097</v>
      </c>
      <c r="R399" s="4">
        <f t="shared" si="201"/>
        <v>882507.72992860118</v>
      </c>
      <c r="S399">
        <f t="shared" si="182"/>
        <v>8.8250772992860122E-4</v>
      </c>
      <c r="T399" s="44">
        <f t="shared" si="183"/>
        <v>1.1938886645534025E-3</v>
      </c>
      <c r="U399" s="45">
        <f t="shared" si="202"/>
        <v>1.5753204233090496</v>
      </c>
      <c r="V399" s="45">
        <f t="shared" si="203"/>
        <v>1.5842574960279252</v>
      </c>
      <c r="W399" s="45">
        <f t="shared" si="204"/>
        <v>1.5657024680614018</v>
      </c>
      <c r="X399" s="45">
        <f t="shared" si="205"/>
        <v>1.8555027966523419E-2</v>
      </c>
      <c r="Y399" s="45">
        <f t="shared" si="179"/>
        <v>2.3567921602007068E-2</v>
      </c>
      <c r="Z399" s="10">
        <f t="shared" si="206"/>
        <v>19.740468522517645</v>
      </c>
      <c r="AA399">
        <f t="shared" si="184"/>
        <v>6386162.7470225338</v>
      </c>
      <c r="AB399" s="10">
        <f t="shared" si="185"/>
        <v>6.3861627470225342</v>
      </c>
      <c r="AC399" s="10">
        <f t="shared" si="186"/>
        <v>6.2851627470225342</v>
      </c>
      <c r="AD399" s="3">
        <f t="shared" si="187"/>
        <v>911.55369790029499</v>
      </c>
      <c r="AI399" s="100">
        <f t="shared" si="188"/>
        <v>1.5657024680614018</v>
      </c>
    </row>
    <row r="400" spans="2:35">
      <c r="B400" s="39">
        <f t="shared" si="189"/>
        <v>372</v>
      </c>
      <c r="C400" s="45">
        <f t="shared" si="190"/>
        <v>10.928057553956254</v>
      </c>
      <c r="D400" s="10">
        <f t="shared" si="191"/>
        <v>13.571942446043977</v>
      </c>
      <c r="E400" s="40">
        <f t="shared" si="192"/>
        <v>41.856115107912046</v>
      </c>
      <c r="F400" s="40">
        <f t="shared" si="193"/>
        <v>69</v>
      </c>
      <c r="G400" s="3">
        <f t="shared" si="194"/>
        <v>372.57553956835181</v>
      </c>
      <c r="H400" s="3">
        <f t="shared" si="195"/>
        <v>221.47275588995251</v>
      </c>
      <c r="I400">
        <f t="shared" si="180"/>
        <v>2.214727558899525E-4</v>
      </c>
      <c r="J400" s="4">
        <f t="shared" si="196"/>
        <v>2054.5500512795534</v>
      </c>
      <c r="K400" s="40">
        <f t="shared" si="197"/>
        <v>9.2767620244019433</v>
      </c>
      <c r="L400" s="40">
        <f t="shared" si="181"/>
        <v>0</v>
      </c>
      <c r="M400" s="10">
        <f t="shared" si="198"/>
        <v>6.3861627470225342</v>
      </c>
      <c r="N400" s="10">
        <f t="shared" si="177"/>
        <v>17.20418640980624</v>
      </c>
      <c r="O400" s="10">
        <f t="shared" si="178"/>
        <v>-0.14810000000000001</v>
      </c>
      <c r="P400" s="10">
        <f t="shared" si="199"/>
        <v>13.073085399676</v>
      </c>
      <c r="Q400" s="45">
        <f t="shared" si="200"/>
        <v>0.89178487305270959</v>
      </c>
      <c r="R400" s="4">
        <f t="shared" si="201"/>
        <v>880513.21890819282</v>
      </c>
      <c r="S400">
        <f t="shared" si="182"/>
        <v>8.8051321890819287E-4</v>
      </c>
      <c r="T400" s="44">
        <f t="shared" si="183"/>
        <v>1.1958831755738109E-3</v>
      </c>
      <c r="U400" s="45">
        <f t="shared" si="202"/>
        <v>1.5717601214120696</v>
      </c>
      <c r="V400" s="45">
        <f t="shared" si="203"/>
        <v>1.5844002058656281</v>
      </c>
      <c r="W400" s="45">
        <f t="shared" si="204"/>
        <v>1.5658572591827198</v>
      </c>
      <c r="X400" s="45">
        <f t="shared" si="205"/>
        <v>1.8542946682908346E-2</v>
      </c>
      <c r="Y400" s="45">
        <f t="shared" si="179"/>
        <v>2.3609589412959344E-2</v>
      </c>
      <c r="Z400" s="10">
        <f t="shared" si="206"/>
        <v>19.742387797730281</v>
      </c>
      <c r="AA400">
        <f t="shared" si="184"/>
        <v>6386773.8245688435</v>
      </c>
      <c r="AB400" s="10">
        <f t="shared" si="185"/>
        <v>6.3867738245688432</v>
      </c>
      <c r="AC400" s="10">
        <f t="shared" si="186"/>
        <v>6.2857738245688433</v>
      </c>
      <c r="AD400" s="3">
        <f t="shared" si="187"/>
        <v>911.64232408540147</v>
      </c>
      <c r="AI400" s="100">
        <f t="shared" si="188"/>
        <v>1.5658572591827198</v>
      </c>
    </row>
    <row r="401" spans="2:35">
      <c r="B401" s="39">
        <f t="shared" si="189"/>
        <v>373</v>
      </c>
      <c r="C401" s="45">
        <f t="shared" si="190"/>
        <v>10.957434052757211</v>
      </c>
      <c r="D401" s="10">
        <f t="shared" si="191"/>
        <v>13.54256594724302</v>
      </c>
      <c r="E401" s="40">
        <f t="shared" si="192"/>
        <v>41.91486810551396</v>
      </c>
      <c r="F401" s="40">
        <f t="shared" si="193"/>
        <v>69</v>
      </c>
      <c r="G401" s="3">
        <f t="shared" si="194"/>
        <v>372.34052757794416</v>
      </c>
      <c r="H401" s="3">
        <f t="shared" si="195"/>
        <v>221.47275588995251</v>
      </c>
      <c r="I401">
        <f t="shared" si="180"/>
        <v>2.214727558899525E-4</v>
      </c>
      <c r="J401" s="4">
        <f t="shared" si="196"/>
        <v>2058.4156211137606</v>
      </c>
      <c r="K401" s="40">
        <f t="shared" si="197"/>
        <v>9.2942159537517366</v>
      </c>
      <c r="L401" s="40">
        <f t="shared" si="181"/>
        <v>0</v>
      </c>
      <c r="M401" s="10">
        <f t="shared" si="198"/>
        <v>6.3867738245688432</v>
      </c>
      <c r="N401" s="10">
        <f t="shared" si="177"/>
        <v>17.20418640980624</v>
      </c>
      <c r="O401" s="10">
        <f t="shared" si="178"/>
        <v>-0.14810000000000001</v>
      </c>
      <c r="P401" s="10">
        <f t="shared" si="199"/>
        <v>13.072900146506882</v>
      </c>
      <c r="Q401" s="45">
        <f t="shared" si="200"/>
        <v>0.89403200249390002</v>
      </c>
      <c r="R401" s="4">
        <f t="shared" si="201"/>
        <v>878518.5033244387</v>
      </c>
      <c r="S401">
        <f t="shared" si="182"/>
        <v>8.7851850332443867E-4</v>
      </c>
      <c r="T401" s="44">
        <f t="shared" si="183"/>
        <v>1.1978778911575652E-3</v>
      </c>
      <c r="U401" s="45">
        <f t="shared" si="202"/>
        <v>1.5681994543592892</v>
      </c>
      <c r="V401" s="45">
        <f t="shared" si="203"/>
        <v>1.5845402527831534</v>
      </c>
      <c r="W401" s="45">
        <f t="shared" si="204"/>
        <v>1.5660095003020553</v>
      </c>
      <c r="X401" s="45">
        <f t="shared" si="205"/>
        <v>1.8530752481098034E-2</v>
      </c>
      <c r="Y401" s="45">
        <f t="shared" si="179"/>
        <v>2.3651230412427032E-2</v>
      </c>
      <c r="Z401" s="10">
        <f t="shared" si="206"/>
        <v>19.744274927364881</v>
      </c>
      <c r="AA401">
        <f t="shared" si="184"/>
        <v>6387374.6672927467</v>
      </c>
      <c r="AB401" s="10">
        <f t="shared" si="185"/>
        <v>6.3873746672927467</v>
      </c>
      <c r="AC401" s="10">
        <f t="shared" si="186"/>
        <v>6.2863746672927467</v>
      </c>
      <c r="AD401" s="3">
        <f t="shared" si="187"/>
        <v>911.72946588727291</v>
      </c>
      <c r="AI401" s="100">
        <f t="shared" si="188"/>
        <v>1.5660095003020553</v>
      </c>
    </row>
    <row r="402" spans="2:35">
      <c r="B402" s="39">
        <f t="shared" si="189"/>
        <v>374</v>
      </c>
      <c r="C402" s="45">
        <f t="shared" si="190"/>
        <v>10.986810551558168</v>
      </c>
      <c r="D402" s="10">
        <f t="shared" si="191"/>
        <v>13.513189448442063</v>
      </c>
      <c r="E402" s="40">
        <f t="shared" si="192"/>
        <v>41.973621103115875</v>
      </c>
      <c r="F402" s="40">
        <f t="shared" si="193"/>
        <v>69</v>
      </c>
      <c r="G402" s="3">
        <f t="shared" si="194"/>
        <v>372.1055155875365</v>
      </c>
      <c r="H402" s="3">
        <f t="shared" si="195"/>
        <v>221.47275588995251</v>
      </c>
      <c r="I402">
        <f t="shared" si="180"/>
        <v>2.214727558899525E-4</v>
      </c>
      <c r="J402" s="4">
        <f t="shared" si="196"/>
        <v>2062.2866132029421</v>
      </c>
      <c r="K402" s="40">
        <f t="shared" si="197"/>
        <v>9.3116943658192923</v>
      </c>
      <c r="L402" s="40">
        <f t="shared" si="181"/>
        <v>0</v>
      </c>
      <c r="M402" s="10">
        <f t="shared" si="198"/>
        <v>6.3873746672927467</v>
      </c>
      <c r="N402" s="10">
        <f t="shared" si="177"/>
        <v>17.20418640980624</v>
      </c>
      <c r="O402" s="10">
        <f t="shared" si="178"/>
        <v>-0.14810000000000001</v>
      </c>
      <c r="P402" s="10">
        <f t="shared" si="199"/>
        <v>13.072718015948437</v>
      </c>
      <c r="Q402" s="45">
        <f t="shared" si="200"/>
        <v>0.89627916324234724</v>
      </c>
      <c r="R402" s="4">
        <f t="shared" si="201"/>
        <v>876523.58700022334</v>
      </c>
      <c r="S402">
        <f t="shared" si="182"/>
        <v>8.7652358700022331E-4</v>
      </c>
      <c r="T402" s="44">
        <f t="shared" si="183"/>
        <v>1.1998728074817805E-3</v>
      </c>
      <c r="U402" s="45">
        <f t="shared" si="202"/>
        <v>1.5646384289747486</v>
      </c>
      <c r="V402" s="45">
        <f t="shared" si="203"/>
        <v>1.5846776368807949</v>
      </c>
      <c r="W402" s="45">
        <f t="shared" si="204"/>
        <v>1.5661591915636373</v>
      </c>
      <c r="X402" s="45">
        <f t="shared" si="205"/>
        <v>1.8518445317157628E-2</v>
      </c>
      <c r="Y402" s="45">
        <f t="shared" si="179"/>
        <v>2.3692844335866017E-2</v>
      </c>
      <c r="Z402" s="10">
        <f t="shared" si="206"/>
        <v>19.746129913212307</v>
      </c>
      <c r="AA402">
        <f t="shared" si="184"/>
        <v>6387965.2757644355</v>
      </c>
      <c r="AB402" s="10">
        <f t="shared" si="185"/>
        <v>6.3879652757644356</v>
      </c>
      <c r="AC402" s="10">
        <f t="shared" si="186"/>
        <v>6.2869652757644356</v>
      </c>
      <c r="AD402" s="3">
        <f t="shared" si="187"/>
        <v>911.81512338860557</v>
      </c>
      <c r="AI402" s="100">
        <f t="shared" si="188"/>
        <v>1.5661591915636373</v>
      </c>
    </row>
    <row r="403" spans="2:35">
      <c r="B403" s="39">
        <f t="shared" si="189"/>
        <v>375</v>
      </c>
      <c r="C403" s="45">
        <f t="shared" si="190"/>
        <v>11.016187050359125</v>
      </c>
      <c r="D403" s="10">
        <f t="shared" si="191"/>
        <v>13.483812949641106</v>
      </c>
      <c r="E403" s="40">
        <f t="shared" si="192"/>
        <v>42.032374100717789</v>
      </c>
      <c r="F403" s="40">
        <f t="shared" si="193"/>
        <v>69</v>
      </c>
      <c r="G403" s="3">
        <f t="shared" si="194"/>
        <v>371.87050359712885</v>
      </c>
      <c r="H403" s="3">
        <f t="shared" si="195"/>
        <v>221.47275588995251</v>
      </c>
      <c r="I403">
        <f t="shared" si="180"/>
        <v>2.214727558899525E-4</v>
      </c>
      <c r="J403" s="4">
        <f t="shared" si="196"/>
        <v>2066.163027547098</v>
      </c>
      <c r="K403" s="40">
        <f t="shared" si="197"/>
        <v>9.329197260604607</v>
      </c>
      <c r="L403" s="40">
        <f t="shared" si="181"/>
        <v>0</v>
      </c>
      <c r="M403" s="10">
        <f t="shared" si="198"/>
        <v>6.3879652757644356</v>
      </c>
      <c r="N403" s="10">
        <f t="shared" si="177"/>
        <v>17.20418640980624</v>
      </c>
      <c r="O403" s="10">
        <f t="shared" si="178"/>
        <v>-0.14810000000000001</v>
      </c>
      <c r="P403" s="10">
        <f t="shared" si="199"/>
        <v>13.072539006818655</v>
      </c>
      <c r="Q403" s="45">
        <f t="shared" si="200"/>
        <v>0.89852635476234466</v>
      </c>
      <c r="R403" s="4">
        <f t="shared" si="201"/>
        <v>874528.4737584315</v>
      </c>
      <c r="S403">
        <f t="shared" si="182"/>
        <v>8.7452847375843153E-4</v>
      </c>
      <c r="T403" s="44">
        <f t="shared" si="183"/>
        <v>1.2018679207235722E-3</v>
      </c>
      <c r="U403" s="45">
        <f t="shared" si="202"/>
        <v>1.5610770520824881</v>
      </c>
      <c r="V403" s="45">
        <f t="shared" si="203"/>
        <v>1.5848123582561993</v>
      </c>
      <c r="W403" s="45">
        <f t="shared" si="204"/>
        <v>1.5663063331095213</v>
      </c>
      <c r="X403" s="45">
        <f t="shared" si="205"/>
        <v>1.8506025146677985E-2</v>
      </c>
      <c r="Y403" s="45">
        <f t="shared" si="179"/>
        <v>2.3734430918644491E-2</v>
      </c>
      <c r="Z403" s="10">
        <f t="shared" si="206"/>
        <v>19.747952757034586</v>
      </c>
      <c r="AA403">
        <f t="shared" si="184"/>
        <v>6388545.65054492</v>
      </c>
      <c r="AB403" s="10">
        <f t="shared" si="185"/>
        <v>6.3885456505449199</v>
      </c>
      <c r="AC403" s="10">
        <f t="shared" si="186"/>
        <v>6.2875456505449199</v>
      </c>
      <c r="AD403" s="3">
        <f t="shared" si="187"/>
        <v>911.89929667076433</v>
      </c>
      <c r="AI403" s="100">
        <f t="shared" si="188"/>
        <v>1.5663063331095213</v>
      </c>
    </row>
    <row r="404" spans="2:35">
      <c r="B404" s="39">
        <f t="shared" si="189"/>
        <v>376</v>
      </c>
      <c r="C404" s="45">
        <f t="shared" si="190"/>
        <v>11.045563549160082</v>
      </c>
      <c r="D404" s="10">
        <f t="shared" si="191"/>
        <v>13.454436450840149</v>
      </c>
      <c r="E404" s="40">
        <f t="shared" si="192"/>
        <v>42.091127098319703</v>
      </c>
      <c r="F404" s="40">
        <f t="shared" si="193"/>
        <v>69</v>
      </c>
      <c r="G404" s="3">
        <f t="shared" si="194"/>
        <v>371.63549160672119</v>
      </c>
      <c r="H404" s="3">
        <f t="shared" si="195"/>
        <v>221.47275588995251</v>
      </c>
      <c r="I404">
        <f t="shared" si="180"/>
        <v>2.214727558899525E-4</v>
      </c>
      <c r="J404" s="4">
        <f t="shared" si="196"/>
        <v>2070.0448641462272</v>
      </c>
      <c r="K404" s="40">
        <f t="shared" si="197"/>
        <v>9.3467246381076805</v>
      </c>
      <c r="L404" s="40">
        <f t="shared" si="181"/>
        <v>0</v>
      </c>
      <c r="M404" s="10">
        <f t="shared" si="198"/>
        <v>6.3885456505449199</v>
      </c>
      <c r="N404" s="10">
        <f t="shared" si="177"/>
        <v>17.20418640980624</v>
      </c>
      <c r="O404" s="10">
        <f t="shared" si="178"/>
        <v>-0.14810000000000001</v>
      </c>
      <c r="P404" s="10">
        <f t="shared" si="199"/>
        <v>13.072363117955906</v>
      </c>
      <c r="Q404" s="45">
        <f t="shared" si="200"/>
        <v>0.90077357651834122</v>
      </c>
      <c r="R404" s="4">
        <f t="shared" si="201"/>
        <v>872533.1674219484</v>
      </c>
      <c r="S404">
        <f t="shared" si="182"/>
        <v>8.7253316742194836E-4</v>
      </c>
      <c r="T404" s="44">
        <f t="shared" si="183"/>
        <v>1.2038632270600555E-3</v>
      </c>
      <c r="U404" s="45">
        <f t="shared" si="202"/>
        <v>1.557515330506549</v>
      </c>
      <c r="V404" s="45">
        <f t="shared" si="203"/>
        <v>1.5849444170050979</v>
      </c>
      <c r="W404" s="45">
        <f t="shared" si="204"/>
        <v>1.5664509250794745</v>
      </c>
      <c r="X404" s="45">
        <f t="shared" si="205"/>
        <v>1.849349192562344E-2</v>
      </c>
      <c r="Y404" s="45">
        <f t="shared" si="179"/>
        <v>2.3775989896044097E-2</v>
      </c>
      <c r="Z404" s="10">
        <f t="shared" si="206"/>
        <v>19.749743460565071</v>
      </c>
      <c r="AA404">
        <f t="shared" si="184"/>
        <v>6389115.7921860833</v>
      </c>
      <c r="AB404" s="10">
        <f t="shared" si="185"/>
        <v>6.3891157921860833</v>
      </c>
      <c r="AC404" s="10">
        <f t="shared" si="186"/>
        <v>6.2881157921860833</v>
      </c>
      <c r="AD404" s="3">
        <f t="shared" si="187"/>
        <v>911.98198581379017</v>
      </c>
      <c r="AI404" s="100">
        <f t="shared" si="188"/>
        <v>1.5664509250794745</v>
      </c>
    </row>
    <row r="405" spans="2:35">
      <c r="B405" s="39">
        <f t="shared" si="189"/>
        <v>377</v>
      </c>
      <c r="C405" s="45">
        <f t="shared" si="190"/>
        <v>11.074940047961039</v>
      </c>
      <c r="D405" s="10">
        <f t="shared" si="191"/>
        <v>13.425059952039192</v>
      </c>
      <c r="E405" s="40">
        <f t="shared" si="192"/>
        <v>42.149880095921617</v>
      </c>
      <c r="F405" s="40">
        <f t="shared" si="193"/>
        <v>69</v>
      </c>
      <c r="G405" s="3">
        <f t="shared" si="194"/>
        <v>371.40047961631353</v>
      </c>
      <c r="H405" s="3">
        <f t="shared" si="195"/>
        <v>221.47275588995251</v>
      </c>
      <c r="I405">
        <f t="shared" si="180"/>
        <v>2.214727558899525E-4</v>
      </c>
      <c r="J405" s="4">
        <f t="shared" si="196"/>
        <v>2073.9321230003297</v>
      </c>
      <c r="K405" s="40">
        <f t="shared" si="197"/>
        <v>9.3642764983285112</v>
      </c>
      <c r="L405" s="40">
        <f t="shared" si="181"/>
        <v>0</v>
      </c>
      <c r="M405" s="10">
        <f t="shared" si="198"/>
        <v>6.3891157921860833</v>
      </c>
      <c r="N405" s="10">
        <f t="shared" si="177"/>
        <v>17.20418640980624</v>
      </c>
      <c r="O405" s="10">
        <f t="shared" si="178"/>
        <v>-0.14810000000000001</v>
      </c>
      <c r="P405" s="10">
        <f t="shared" si="199"/>
        <v>13.072190348218889</v>
      </c>
      <c r="Q405" s="45">
        <f t="shared" si="200"/>
        <v>0.90302082797493899</v>
      </c>
      <c r="R405" s="4">
        <f t="shared" si="201"/>
        <v>870537.67181365867</v>
      </c>
      <c r="S405">
        <f t="shared" si="182"/>
        <v>8.7053767181365864E-4</v>
      </c>
      <c r="T405" s="44">
        <f t="shared" si="183"/>
        <v>1.2058587226683451E-3</v>
      </c>
      <c r="U405" s="45">
        <f t="shared" si="202"/>
        <v>1.5539532710709714</v>
      </c>
      <c r="V405" s="45">
        <f t="shared" si="203"/>
        <v>1.5850738132217874</v>
      </c>
      <c r="W405" s="45">
        <f t="shared" si="204"/>
        <v>1.5665929676109906</v>
      </c>
      <c r="X405" s="45">
        <f t="shared" si="205"/>
        <v>1.848084561079677E-2</v>
      </c>
      <c r="Y405" s="45">
        <f t="shared" si="179"/>
        <v>2.3817521003262117E-2</v>
      </c>
      <c r="Z405" s="10">
        <f t="shared" si="206"/>
        <v>19.751502025509502</v>
      </c>
      <c r="AA405">
        <f t="shared" si="184"/>
        <v>6389675.7012310158</v>
      </c>
      <c r="AB405" s="10">
        <f t="shared" si="185"/>
        <v>6.3896757012310159</v>
      </c>
      <c r="AC405" s="10">
        <f t="shared" si="186"/>
        <v>6.2886757012310159</v>
      </c>
      <c r="AD405" s="3">
        <f t="shared" si="187"/>
        <v>912.06319089644899</v>
      </c>
      <c r="AI405" s="100">
        <f t="shared" si="188"/>
        <v>1.5665929676109906</v>
      </c>
    </row>
    <row r="406" spans="2:35">
      <c r="B406" s="39">
        <f t="shared" si="189"/>
        <v>378</v>
      </c>
      <c r="C406" s="45">
        <f t="shared" si="190"/>
        <v>11.104316546761996</v>
      </c>
      <c r="D406" s="10">
        <f t="shared" si="191"/>
        <v>13.395683453238235</v>
      </c>
      <c r="E406" s="40">
        <f t="shared" si="192"/>
        <v>42.208633093523531</v>
      </c>
      <c r="F406" s="40">
        <f t="shared" si="193"/>
        <v>69</v>
      </c>
      <c r="G406" s="3">
        <f t="shared" si="194"/>
        <v>371.16546762590588</v>
      </c>
      <c r="H406" s="3">
        <f t="shared" si="195"/>
        <v>221.47275588995251</v>
      </c>
      <c r="I406">
        <f t="shared" si="180"/>
        <v>2.214727558899525E-4</v>
      </c>
      <c r="J406" s="4">
        <f t="shared" si="196"/>
        <v>2077.8248041094071</v>
      </c>
      <c r="K406" s="40">
        <f t="shared" si="197"/>
        <v>9.3818528412671061</v>
      </c>
      <c r="L406" s="40">
        <f t="shared" si="181"/>
        <v>0</v>
      </c>
      <c r="M406" s="10">
        <f t="shared" si="198"/>
        <v>6.3896757012310159</v>
      </c>
      <c r="N406" s="10">
        <f t="shared" si="177"/>
        <v>17.20418640980624</v>
      </c>
      <c r="O406" s="10">
        <f t="shared" si="178"/>
        <v>-0.14810000000000001</v>
      </c>
      <c r="P406" s="10">
        <f t="shared" si="199"/>
        <v>13.072020696486522</v>
      </c>
      <c r="Q406" s="45">
        <f t="shared" si="200"/>
        <v>0.90526810859689011</v>
      </c>
      <c r="R406" s="4">
        <f t="shared" si="201"/>
        <v>868541.99075644684</v>
      </c>
      <c r="S406">
        <f t="shared" si="182"/>
        <v>8.6854199075644685E-4</v>
      </c>
      <c r="T406" s="44">
        <f t="shared" si="183"/>
        <v>1.2078544037255569E-3</v>
      </c>
      <c r="U406" s="45">
        <f t="shared" si="202"/>
        <v>1.5503908805997955</v>
      </c>
      <c r="V406" s="45">
        <f t="shared" si="203"/>
        <v>1.5852005469984367</v>
      </c>
      <c r="W406" s="45">
        <f t="shared" si="204"/>
        <v>1.5667324608393727</v>
      </c>
      <c r="X406" s="45">
        <f t="shared" si="205"/>
        <v>1.8468086159064034E-2</v>
      </c>
      <c r="Y406" s="45">
        <f t="shared" si="179"/>
        <v>2.3859023975411904E-2</v>
      </c>
      <c r="Z406" s="10">
        <f t="shared" si="206"/>
        <v>19.7532284535455</v>
      </c>
      <c r="AA406">
        <f t="shared" si="184"/>
        <v>6390225.3782138536</v>
      </c>
      <c r="AB406" s="10">
        <f t="shared" si="185"/>
        <v>6.3902253782138532</v>
      </c>
      <c r="AC406" s="10">
        <f t="shared" si="186"/>
        <v>6.2892253782138532</v>
      </c>
      <c r="AD406" s="3">
        <f t="shared" si="187"/>
        <v>912.14291199620789</v>
      </c>
      <c r="AI406" s="100">
        <f t="shared" si="188"/>
        <v>1.5667324608393727</v>
      </c>
    </row>
    <row r="407" spans="2:35">
      <c r="B407" s="39">
        <f t="shared" si="189"/>
        <v>379</v>
      </c>
      <c r="C407" s="45">
        <f t="shared" si="190"/>
        <v>11.133693045562953</v>
      </c>
      <c r="D407" s="10">
        <f t="shared" si="191"/>
        <v>13.366306954437277</v>
      </c>
      <c r="E407" s="40">
        <f t="shared" si="192"/>
        <v>42.267386091125445</v>
      </c>
      <c r="F407" s="40">
        <f t="shared" si="193"/>
        <v>69</v>
      </c>
      <c r="G407" s="3">
        <f t="shared" si="194"/>
        <v>370.93045563549822</v>
      </c>
      <c r="H407" s="3">
        <f t="shared" si="195"/>
        <v>221.47275588995251</v>
      </c>
      <c r="I407">
        <f t="shared" si="180"/>
        <v>2.214727558899525E-4</v>
      </c>
      <c r="J407" s="4">
        <f t="shared" si="196"/>
        <v>2081.7229074734582</v>
      </c>
      <c r="K407" s="40">
        <f t="shared" si="197"/>
        <v>9.3994536669234598</v>
      </c>
      <c r="L407" s="40">
        <f t="shared" si="181"/>
        <v>0</v>
      </c>
      <c r="M407" s="10">
        <f t="shared" si="198"/>
        <v>6.3902253782138532</v>
      </c>
      <c r="N407" s="10">
        <f t="shared" si="177"/>
        <v>17.20418640980624</v>
      </c>
      <c r="O407" s="10">
        <f t="shared" si="178"/>
        <v>-0.14810000000000001</v>
      </c>
      <c r="P407" s="10">
        <f t="shared" si="199"/>
        <v>13.071854161657971</v>
      </c>
      <c r="Q407" s="45">
        <f t="shared" si="200"/>
        <v>0.90751541784909429</v>
      </c>
      <c r="R407" s="4">
        <f t="shared" si="201"/>
        <v>866546.12807319791</v>
      </c>
      <c r="S407">
        <f t="shared" si="182"/>
        <v>8.6654612807319793E-4</v>
      </c>
      <c r="T407" s="44">
        <f t="shared" si="183"/>
        <v>1.2098502664088058E-3</v>
      </c>
      <c r="U407" s="45">
        <f t="shared" si="202"/>
        <v>1.546828165917062</v>
      </c>
      <c r="V407" s="45">
        <f t="shared" si="203"/>
        <v>1.5853246184249752</v>
      </c>
      <c r="W407" s="45">
        <f t="shared" si="204"/>
        <v>1.5668694048976932</v>
      </c>
      <c r="X407" s="45">
        <f t="shared" si="205"/>
        <v>1.8455213527281966E-2</v>
      </c>
      <c r="Y407" s="45">
        <f t="shared" si="179"/>
        <v>2.3900498547523168E-2</v>
      </c>
      <c r="Z407" s="10">
        <f t="shared" si="206"/>
        <v>19.754922746322098</v>
      </c>
      <c r="AA407">
        <f t="shared" si="184"/>
        <v>6390764.8236596333</v>
      </c>
      <c r="AB407" s="10">
        <f t="shared" si="185"/>
        <v>6.3907648236596337</v>
      </c>
      <c r="AC407" s="10">
        <f t="shared" si="186"/>
        <v>6.2897648236596337</v>
      </c>
      <c r="AD407" s="3">
        <f t="shared" si="187"/>
        <v>912.22114918921443</v>
      </c>
      <c r="AI407" s="100">
        <f t="shared" si="188"/>
        <v>1.5668694048976932</v>
      </c>
    </row>
    <row r="408" spans="2:35">
      <c r="B408" s="39">
        <f t="shared" si="189"/>
        <v>380</v>
      </c>
      <c r="C408" s="45">
        <f t="shared" si="190"/>
        <v>11.163069544363911</v>
      </c>
      <c r="D408" s="10">
        <f t="shared" si="191"/>
        <v>13.33693045563632</v>
      </c>
      <c r="E408" s="40">
        <f t="shared" si="192"/>
        <v>42.326139088727359</v>
      </c>
      <c r="F408" s="40">
        <f t="shared" si="193"/>
        <v>69</v>
      </c>
      <c r="G408" s="3">
        <f t="shared" si="194"/>
        <v>370.69544364509056</v>
      </c>
      <c r="H408" s="3">
        <f t="shared" si="195"/>
        <v>221.47275588995251</v>
      </c>
      <c r="I408">
        <f t="shared" si="180"/>
        <v>2.214727558899525E-4</v>
      </c>
      <c r="J408" s="4">
        <f t="shared" si="196"/>
        <v>2085.6264330924828</v>
      </c>
      <c r="K408" s="40">
        <f t="shared" si="197"/>
        <v>9.417078975297569</v>
      </c>
      <c r="L408" s="40">
        <f t="shared" si="181"/>
        <v>0</v>
      </c>
      <c r="M408" s="10">
        <f t="shared" si="198"/>
        <v>6.3907648236596337</v>
      </c>
      <c r="N408" s="10">
        <f t="shared" si="177"/>
        <v>17.20418640980624</v>
      </c>
      <c r="O408" s="10">
        <f t="shared" si="178"/>
        <v>-0.14810000000000001</v>
      </c>
      <c r="P408" s="10">
        <f t="shared" si="199"/>
        <v>13.071690742652663</v>
      </c>
      <c r="Q408" s="45">
        <f t="shared" si="200"/>
        <v>0.90976275519659611</v>
      </c>
      <c r="R408" s="4">
        <f t="shared" si="201"/>
        <v>864550.08758679673</v>
      </c>
      <c r="S408">
        <f t="shared" si="182"/>
        <v>8.6455008758679671E-4</v>
      </c>
      <c r="T408" s="44">
        <f t="shared" si="183"/>
        <v>1.2118463068952071E-3</v>
      </c>
      <c r="U408" s="45">
        <f t="shared" si="202"/>
        <v>1.5432651338468115</v>
      </c>
      <c r="V408" s="45">
        <f t="shared" si="203"/>
        <v>1.5854460275895677</v>
      </c>
      <c r="W408" s="45">
        <f t="shared" si="204"/>
        <v>1.5670037999167574</v>
      </c>
      <c r="X408" s="45">
        <f t="shared" si="205"/>
        <v>1.844222767281023E-2</v>
      </c>
      <c r="Y408" s="45">
        <f t="shared" si="179"/>
        <v>2.3941944454543406E-2</v>
      </c>
      <c r="Z408" s="10">
        <f t="shared" si="206"/>
        <v>19.756584905460091</v>
      </c>
      <c r="AA408">
        <f t="shared" si="184"/>
        <v>6391294.038084398</v>
      </c>
      <c r="AB408" s="10">
        <f t="shared" si="185"/>
        <v>6.3912940380843981</v>
      </c>
      <c r="AC408" s="10">
        <f t="shared" si="186"/>
        <v>6.2902940380843981</v>
      </c>
      <c r="AD408" s="3">
        <f t="shared" si="187"/>
        <v>912.29790255031151</v>
      </c>
      <c r="AI408" s="100">
        <f t="shared" si="188"/>
        <v>1.5670037999167574</v>
      </c>
    </row>
    <row r="409" spans="2:35">
      <c r="B409" s="39">
        <f t="shared" si="189"/>
        <v>381</v>
      </c>
      <c r="C409" s="45">
        <f t="shared" si="190"/>
        <v>11.192446043164868</v>
      </c>
      <c r="D409" s="10">
        <f t="shared" si="191"/>
        <v>13.307553956835363</v>
      </c>
      <c r="E409" s="40">
        <f t="shared" si="192"/>
        <v>42.384892086329273</v>
      </c>
      <c r="F409" s="40">
        <f t="shared" si="193"/>
        <v>69</v>
      </c>
      <c r="G409" s="3">
        <f t="shared" si="194"/>
        <v>370.46043165468291</v>
      </c>
      <c r="H409" s="3">
        <f t="shared" si="195"/>
        <v>221.47275588995251</v>
      </c>
      <c r="I409">
        <f t="shared" si="180"/>
        <v>2.214727558899525E-4</v>
      </c>
      <c r="J409" s="4">
        <f t="shared" si="196"/>
        <v>2089.5353809664821</v>
      </c>
      <c r="K409" s="40">
        <f t="shared" si="197"/>
        <v>9.4347287663894441</v>
      </c>
      <c r="L409" s="40">
        <f t="shared" si="181"/>
        <v>0</v>
      </c>
      <c r="M409" s="10">
        <f t="shared" si="198"/>
        <v>6.3912940380843981</v>
      </c>
      <c r="N409" s="10">
        <f t="shared" si="177"/>
        <v>17.20418640980624</v>
      </c>
      <c r="O409" s="10">
        <f t="shared" si="178"/>
        <v>-0.14810000000000001</v>
      </c>
      <c r="P409" s="10">
        <f t="shared" si="199"/>
        <v>13.071530438410242</v>
      </c>
      <c r="Q409" s="45">
        <f t="shared" si="200"/>
        <v>0.91201012010458238</v>
      </c>
      <c r="R409" s="4">
        <f t="shared" si="201"/>
        <v>862553.87312012783</v>
      </c>
      <c r="S409">
        <f t="shared" si="182"/>
        <v>8.625538731201278E-4</v>
      </c>
      <c r="T409" s="44">
        <f t="shared" si="183"/>
        <v>1.2138425213618761E-3</v>
      </c>
      <c r="U409" s="45">
        <f t="shared" si="202"/>
        <v>1.5397017912130841</v>
      </c>
      <c r="V409" s="45">
        <f t="shared" si="203"/>
        <v>1.585564774578718</v>
      </c>
      <c r="W409" s="45">
        <f t="shared" si="204"/>
        <v>1.5671356460251298</v>
      </c>
      <c r="X409" s="45">
        <f t="shared" si="205"/>
        <v>1.8429128553588248E-2</v>
      </c>
      <c r="Y409" s="45">
        <f t="shared" si="179"/>
        <v>2.3983361431339507E-2</v>
      </c>
      <c r="Z409" s="10">
        <f t="shared" si="206"/>
        <v>19.75821493255259</v>
      </c>
      <c r="AA409">
        <f t="shared" si="184"/>
        <v>6391813.0219953796</v>
      </c>
      <c r="AB409" s="10">
        <f t="shared" si="185"/>
        <v>6.3918130219953797</v>
      </c>
      <c r="AC409" s="10">
        <f t="shared" si="186"/>
        <v>6.2908130219953797</v>
      </c>
      <c r="AD409" s="3">
        <f t="shared" si="187"/>
        <v>912.3731721530645</v>
      </c>
      <c r="AI409" s="100">
        <f t="shared" si="188"/>
        <v>1.5671356460251298</v>
      </c>
    </row>
    <row r="410" spans="2:35">
      <c r="B410" s="39">
        <f t="shared" si="189"/>
        <v>382</v>
      </c>
      <c r="C410" s="45">
        <f t="shared" si="190"/>
        <v>11.221822541965825</v>
      </c>
      <c r="D410" s="10">
        <f t="shared" si="191"/>
        <v>13.278177458034406</v>
      </c>
      <c r="E410" s="40">
        <f t="shared" si="192"/>
        <v>42.443645083931187</v>
      </c>
      <c r="F410" s="40">
        <f t="shared" si="193"/>
        <v>69</v>
      </c>
      <c r="G410" s="3">
        <f t="shared" si="194"/>
        <v>370.22541966427525</v>
      </c>
      <c r="H410" s="3">
        <f t="shared" si="195"/>
        <v>221.47275588995251</v>
      </c>
      <c r="I410">
        <f t="shared" si="180"/>
        <v>2.214727558899525E-4</v>
      </c>
      <c r="J410" s="4">
        <f t="shared" si="196"/>
        <v>2093.4497510954548</v>
      </c>
      <c r="K410" s="40">
        <f t="shared" si="197"/>
        <v>9.4524030401990746</v>
      </c>
      <c r="L410" s="40">
        <f t="shared" si="181"/>
        <v>0</v>
      </c>
      <c r="M410" s="10">
        <f t="shared" si="198"/>
        <v>6.3918130219953797</v>
      </c>
      <c r="N410" s="10">
        <f t="shared" si="177"/>
        <v>17.20418640980624</v>
      </c>
      <c r="O410" s="10">
        <f t="shared" si="178"/>
        <v>-0.14810000000000001</v>
      </c>
      <c r="P410" s="10">
        <f t="shared" si="199"/>
        <v>13.071373247890486</v>
      </c>
      <c r="Q410" s="45">
        <f t="shared" si="200"/>
        <v>0.91425751203837924</v>
      </c>
      <c r="R410" s="4">
        <f t="shared" si="201"/>
        <v>860557.48849607643</v>
      </c>
      <c r="S410">
        <f t="shared" si="182"/>
        <v>8.6055748849607646E-4</v>
      </c>
      <c r="T410" s="44">
        <f t="shared" si="183"/>
        <v>1.2158389059859272E-3</v>
      </c>
      <c r="U410" s="45">
        <f t="shared" si="202"/>
        <v>1.5361381448399212</v>
      </c>
      <c r="V410" s="45">
        <f t="shared" si="203"/>
        <v>1.5856808594762406</v>
      </c>
      <c r="W410" s="45">
        <f t="shared" si="204"/>
        <v>1.5672649433491799</v>
      </c>
      <c r="X410" s="45">
        <f t="shared" si="205"/>
        <v>1.8415916127060727E-2</v>
      </c>
      <c r="Y410" s="45">
        <f t="shared" si="179"/>
        <v>2.4024749212696945E-2</v>
      </c>
      <c r="Z410" s="10">
        <f t="shared" si="206"/>
        <v>19.759812829163586</v>
      </c>
      <c r="AA410">
        <f t="shared" si="184"/>
        <v>6392321.7758905347</v>
      </c>
      <c r="AB410" s="10">
        <f t="shared" si="185"/>
        <v>6.3923217758905349</v>
      </c>
      <c r="AC410" s="10">
        <f t="shared" si="186"/>
        <v>6.2913217758905349</v>
      </c>
      <c r="AD410" s="3">
        <f t="shared" si="187"/>
        <v>912.44695806969321</v>
      </c>
      <c r="AI410" s="100">
        <f t="shared" si="188"/>
        <v>1.5672649433491799</v>
      </c>
    </row>
    <row r="411" spans="2:35">
      <c r="B411" s="39">
        <f t="shared" si="189"/>
        <v>383</v>
      </c>
      <c r="C411" s="45">
        <f t="shared" si="190"/>
        <v>11.251199040766782</v>
      </c>
      <c r="D411" s="10">
        <f t="shared" si="191"/>
        <v>13.248800959233449</v>
      </c>
      <c r="E411" s="40">
        <f t="shared" si="192"/>
        <v>42.502398081533102</v>
      </c>
      <c r="F411" s="40">
        <f t="shared" si="193"/>
        <v>69</v>
      </c>
      <c r="G411" s="3">
        <f t="shared" si="194"/>
        <v>369.99040767386759</v>
      </c>
      <c r="H411" s="3">
        <f t="shared" si="195"/>
        <v>221.47275588995251</v>
      </c>
      <c r="I411">
        <f t="shared" si="180"/>
        <v>2.214727558899525E-4</v>
      </c>
      <c r="J411" s="4">
        <f t="shared" si="196"/>
        <v>2097.3695434794013</v>
      </c>
      <c r="K411" s="40">
        <f t="shared" si="197"/>
        <v>9.4701017967264658</v>
      </c>
      <c r="L411" s="40">
        <f t="shared" si="181"/>
        <v>0</v>
      </c>
      <c r="M411" s="10">
        <f t="shared" si="198"/>
        <v>6.3923217758905349</v>
      </c>
      <c r="N411" s="10">
        <f t="shared" si="177"/>
        <v>17.20418640980624</v>
      </c>
      <c r="O411" s="10">
        <f t="shared" si="178"/>
        <v>-0.14810000000000001</v>
      </c>
      <c r="P411" s="10">
        <f t="shared" si="199"/>
        <v>13.071219170073444</v>
      </c>
      <c r="Q411" s="45">
        <f t="shared" si="200"/>
        <v>0.91650493046344972</v>
      </c>
      <c r="R411" s="4">
        <f t="shared" si="201"/>
        <v>858560.93753752718</v>
      </c>
      <c r="S411">
        <f t="shared" si="182"/>
        <v>8.5856093753752718E-4</v>
      </c>
      <c r="T411" s="44">
        <f t="shared" si="183"/>
        <v>1.2178354569444766E-3</v>
      </c>
      <c r="U411" s="45">
        <f t="shared" si="202"/>
        <v>1.5325742015513628</v>
      </c>
      <c r="V411" s="45">
        <f t="shared" si="203"/>
        <v>1.5857942823649278</v>
      </c>
      <c r="W411" s="45">
        <f t="shared" si="204"/>
        <v>1.5673916920129665</v>
      </c>
      <c r="X411" s="45">
        <f t="shared" si="205"/>
        <v>1.8402590351961345E-2</v>
      </c>
      <c r="Y411" s="45">
        <f t="shared" si="179"/>
        <v>2.4066107533322965E-2</v>
      </c>
      <c r="Z411" s="10">
        <f t="shared" si="206"/>
        <v>19.761378596829754</v>
      </c>
      <c r="AA411">
        <f t="shared" si="184"/>
        <v>6392820.3002591264</v>
      </c>
      <c r="AB411" s="10">
        <f t="shared" si="185"/>
        <v>6.3928203002591264</v>
      </c>
      <c r="AC411" s="10">
        <f t="shared" si="186"/>
        <v>6.2918203002591264</v>
      </c>
      <c r="AD411" s="3">
        <f t="shared" si="187"/>
        <v>912.51926037115686</v>
      </c>
      <c r="AI411" s="100">
        <f t="shared" si="188"/>
        <v>1.5673916920129665</v>
      </c>
    </row>
    <row r="412" spans="2:35">
      <c r="B412" s="39">
        <f t="shared" si="189"/>
        <v>384</v>
      </c>
      <c r="C412" s="45">
        <f t="shared" si="190"/>
        <v>11.280575539567739</v>
      </c>
      <c r="D412" s="10">
        <f t="shared" si="191"/>
        <v>13.219424460432492</v>
      </c>
      <c r="E412" s="40">
        <f t="shared" si="192"/>
        <v>42.561151079135016</v>
      </c>
      <c r="F412" s="40">
        <f t="shared" si="193"/>
        <v>69</v>
      </c>
      <c r="G412" s="3">
        <f t="shared" si="194"/>
        <v>369.75539568345994</v>
      </c>
      <c r="H412" s="3">
        <f t="shared" si="195"/>
        <v>221.47275588995251</v>
      </c>
      <c r="I412">
        <f t="shared" si="180"/>
        <v>2.214727558899525E-4</v>
      </c>
      <c r="J412" s="4">
        <f t="shared" si="196"/>
        <v>2101.2947581183221</v>
      </c>
      <c r="K412" s="40">
        <f t="shared" si="197"/>
        <v>9.4878250359716176</v>
      </c>
      <c r="L412" s="40">
        <f t="shared" si="181"/>
        <v>0</v>
      </c>
      <c r="M412" s="10">
        <f t="shared" si="198"/>
        <v>6.3928203002591264</v>
      </c>
      <c r="N412" s="10">
        <f t="shared" ref="N412:N475" si="207">IF(fueltype=1,VLOOKUP($M412,kndxbn_,4),IF(fueltype=2,VLOOKUP($M412,knsobn_,4),IF(fueltype=3,VLOOKUP($M412,knsbcobn_,4),IF(fueltype=4,VLOOKUP($M412,knsubn_,4),IF(fueltype=5,am_1,IF(fueltype=6,am_0,IF(fueltype=7,am_3,am_4)))))))</f>
        <v>17.20418640980624</v>
      </c>
      <c r="O412" s="10">
        <f t="shared" ref="O412:O475" si="208">IF(fueltype=1,VLOOKUP($M412,kndxbn_,5),IF(fueltype=2,VLOOKUP($M412,knsobn_,5),IF(fueltype=3,VLOOKUP($M412,knsbcobn_,5),IF(fueltype=4,VLOOKUP($M412,knsubn_,5),IF(fueltype=5,nm_1,IF(fueltype=6,an_0,IF(fueltype=7,nm_3,nm_4)))))))</f>
        <v>-0.14810000000000001</v>
      </c>
      <c r="P412" s="10">
        <f t="shared" si="199"/>
        <v>13.071068203959214</v>
      </c>
      <c r="Q412" s="45">
        <f t="shared" si="200"/>
        <v>0.91875237484539085</v>
      </c>
      <c r="R412" s="4">
        <f t="shared" si="201"/>
        <v>856564.22406736459</v>
      </c>
      <c r="S412">
        <f t="shared" si="182"/>
        <v>8.5656422406736458E-4</v>
      </c>
      <c r="T412" s="44">
        <f t="shared" si="183"/>
        <v>1.2198321704146391E-3</v>
      </c>
      <c r="U412" s="45">
        <f t="shared" si="202"/>
        <v>1.5290099681714491</v>
      </c>
      <c r="V412" s="45">
        <f t="shared" si="203"/>
        <v>1.5859050433253823</v>
      </c>
      <c r="W412" s="45">
        <f t="shared" si="204"/>
        <v>1.567515892138382</v>
      </c>
      <c r="X412" s="45">
        <f t="shared" si="205"/>
        <v>1.8389151187000241E-2</v>
      </c>
      <c r="Y412" s="45">
        <f t="shared" si="179"/>
        <v>2.4107436127846854E-2</v>
      </c>
      <c r="Z412" s="10">
        <f t="shared" si="206"/>
        <v>19.762912237059936</v>
      </c>
      <c r="AA412">
        <f t="shared" si="184"/>
        <v>6393308.5955815539</v>
      </c>
      <c r="AB412" s="10">
        <f t="shared" si="185"/>
        <v>6.3933085955815541</v>
      </c>
      <c r="AC412" s="10">
        <f t="shared" si="186"/>
        <v>6.2923085955815541</v>
      </c>
      <c r="AD412" s="3">
        <f t="shared" si="187"/>
        <v>912.59007912712889</v>
      </c>
      <c r="AI412" s="100">
        <f t="shared" si="188"/>
        <v>1.567515892138382</v>
      </c>
    </row>
    <row r="413" spans="2:35">
      <c r="B413" s="39">
        <f t="shared" si="189"/>
        <v>385</v>
      </c>
      <c r="C413" s="45">
        <f t="shared" si="190"/>
        <v>11.309952038368696</v>
      </c>
      <c r="D413" s="10">
        <f t="shared" si="191"/>
        <v>13.190047961631535</v>
      </c>
      <c r="E413" s="40">
        <f t="shared" si="192"/>
        <v>42.61990407673693</v>
      </c>
      <c r="F413" s="40">
        <f t="shared" si="193"/>
        <v>69</v>
      </c>
      <c r="G413" s="3">
        <f t="shared" si="194"/>
        <v>369.52038369305228</v>
      </c>
      <c r="H413" s="3">
        <f t="shared" si="195"/>
        <v>221.47275588995251</v>
      </c>
      <c r="I413">
        <f t="shared" si="180"/>
        <v>2.214727558899525E-4</v>
      </c>
      <c r="J413" s="4">
        <f t="shared" si="196"/>
        <v>2105.2253950122163</v>
      </c>
      <c r="K413" s="40">
        <f t="shared" si="197"/>
        <v>9.5055727579345284</v>
      </c>
      <c r="L413" s="40">
        <f t="shared" si="181"/>
        <v>0</v>
      </c>
      <c r="M413" s="10">
        <f t="shared" si="198"/>
        <v>6.3933085955815541</v>
      </c>
      <c r="N413" s="10">
        <f t="shared" si="207"/>
        <v>17.20418640980624</v>
      </c>
      <c r="O413" s="10">
        <f t="shared" si="208"/>
        <v>-0.14810000000000001</v>
      </c>
      <c r="P413" s="10">
        <f t="shared" si="199"/>
        <v>13.070920348568011</v>
      </c>
      <c r="Q413" s="45">
        <f t="shared" si="200"/>
        <v>0.92099984464993112</v>
      </c>
      <c r="R413" s="4">
        <f t="shared" si="201"/>
        <v>854567.351908474</v>
      </c>
      <c r="S413">
        <f t="shared" si="182"/>
        <v>8.5456735190847402E-4</v>
      </c>
      <c r="T413" s="44">
        <f t="shared" si="183"/>
        <v>1.2218290425735298E-3</v>
      </c>
      <c r="U413" s="45">
        <f t="shared" si="202"/>
        <v>1.5254454515242215</v>
      </c>
      <c r="V413" s="45">
        <f t="shared" si="203"/>
        <v>1.5860131424353909</v>
      </c>
      <c r="W413" s="45">
        <f t="shared" si="204"/>
        <v>1.5676375438451118</v>
      </c>
      <c r="X413" s="45">
        <f t="shared" si="205"/>
        <v>1.8375598590279152E-2</v>
      </c>
      <c r="Y413" s="45">
        <f t="shared" si="179"/>
        <v>2.4148734730818858E-2</v>
      </c>
      <c r="Z413" s="10">
        <f t="shared" si="206"/>
        <v>19.764413751333453</v>
      </c>
      <c r="AA413">
        <f t="shared" si="184"/>
        <v>6393786.6623288188</v>
      </c>
      <c r="AB413" s="10">
        <f t="shared" si="185"/>
        <v>6.3937866623288189</v>
      </c>
      <c r="AC413" s="10">
        <f t="shared" si="186"/>
        <v>6.2927866623288189</v>
      </c>
      <c r="AD413" s="3">
        <f t="shared" si="187"/>
        <v>912.65941440592007</v>
      </c>
      <c r="AI413" s="100">
        <f t="shared" si="188"/>
        <v>1.5676375438451118</v>
      </c>
    </row>
    <row r="414" spans="2:35">
      <c r="B414" s="39">
        <f t="shared" si="189"/>
        <v>386</v>
      </c>
      <c r="C414" s="45">
        <f t="shared" si="190"/>
        <v>11.339328537169653</v>
      </c>
      <c r="D414" s="10">
        <f t="shared" si="191"/>
        <v>13.160671462830578</v>
      </c>
      <c r="E414" s="40">
        <f t="shared" si="192"/>
        <v>42.678657074338844</v>
      </c>
      <c r="F414" s="40">
        <f t="shared" si="193"/>
        <v>69</v>
      </c>
      <c r="G414" s="3">
        <f t="shared" si="194"/>
        <v>369.28537170264462</v>
      </c>
      <c r="H414" s="3">
        <f t="shared" si="195"/>
        <v>221.47275588995251</v>
      </c>
      <c r="I414">
        <f t="shared" si="180"/>
        <v>2.214727558899525E-4</v>
      </c>
      <c r="J414" s="4">
        <f t="shared" si="196"/>
        <v>2109.1614541610852</v>
      </c>
      <c r="K414" s="40">
        <f t="shared" si="197"/>
        <v>9.5233449626151998</v>
      </c>
      <c r="L414" s="40">
        <f t="shared" si="181"/>
        <v>0</v>
      </c>
      <c r="M414" s="10">
        <f t="shared" si="198"/>
        <v>6.3937866623288189</v>
      </c>
      <c r="N414" s="10">
        <f t="shared" si="207"/>
        <v>17.20418640980624</v>
      </c>
      <c r="O414" s="10">
        <f t="shared" si="208"/>
        <v>-0.14810000000000001</v>
      </c>
      <c r="P414" s="10">
        <f t="shared" si="199"/>
        <v>13.070775602940275</v>
      </c>
      <c r="Q414" s="45">
        <f t="shared" si="200"/>
        <v>0.92324733934292769</v>
      </c>
      <c r="R414" s="4">
        <f t="shared" si="201"/>
        <v>852570.32488373958</v>
      </c>
      <c r="S414">
        <f t="shared" si="182"/>
        <v>8.5257032488373957E-4</v>
      </c>
      <c r="T414" s="44">
        <f t="shared" si="183"/>
        <v>1.2238260695982641E-3</v>
      </c>
      <c r="U414" s="45">
        <f t="shared" si="202"/>
        <v>1.5218806584337192</v>
      </c>
      <c r="V414" s="45">
        <f t="shared" si="203"/>
        <v>1.5861185797726509</v>
      </c>
      <c r="W414" s="45">
        <f t="shared" si="204"/>
        <v>1.5677566472504982</v>
      </c>
      <c r="X414" s="45">
        <f t="shared" si="205"/>
        <v>1.836193252215268E-2</v>
      </c>
      <c r="Y414" s="45">
        <f t="shared" ref="Y414:Y477" si="209">IF((X414*(Q414-Q413)+Y413)&lt;0,0,X414*(Q414-Q413)+Y413)</f>
        <v>2.4190003076715559E-2</v>
      </c>
      <c r="Z414" s="10">
        <f t="shared" si="206"/>
        <v>19.765883141103721</v>
      </c>
      <c r="AA414">
        <f t="shared" si="184"/>
        <v>6394254.5009636721</v>
      </c>
      <c r="AB414" s="10">
        <f t="shared" si="185"/>
        <v>6.3942545009636724</v>
      </c>
      <c r="AC414" s="10">
        <f t="shared" si="186"/>
        <v>6.2932545009636724</v>
      </c>
      <c r="AD414" s="3">
        <f t="shared" si="187"/>
        <v>912.72726627464419</v>
      </c>
      <c r="AI414" s="100">
        <f t="shared" si="188"/>
        <v>1.5677566472504982</v>
      </c>
    </row>
    <row r="415" spans="2:35">
      <c r="B415" s="39">
        <f t="shared" si="189"/>
        <v>387</v>
      </c>
      <c r="C415" s="45">
        <f t="shared" si="190"/>
        <v>11.36870503597061</v>
      </c>
      <c r="D415" s="10">
        <f t="shared" si="191"/>
        <v>13.131294964029621</v>
      </c>
      <c r="E415" s="40">
        <f t="shared" si="192"/>
        <v>42.737410071940758</v>
      </c>
      <c r="F415" s="40">
        <f t="shared" si="193"/>
        <v>69</v>
      </c>
      <c r="G415" s="3">
        <f t="shared" si="194"/>
        <v>369.05035971223697</v>
      </c>
      <c r="H415" s="3">
        <f t="shared" si="195"/>
        <v>221.47275588995251</v>
      </c>
      <c r="I415">
        <f t="shared" si="180"/>
        <v>2.214727558899525E-4</v>
      </c>
      <c r="J415" s="4">
        <f t="shared" si="196"/>
        <v>2113.1029355649271</v>
      </c>
      <c r="K415" s="40">
        <f t="shared" si="197"/>
        <v>9.5411416500136284</v>
      </c>
      <c r="L415" s="40">
        <f t="shared" si="181"/>
        <v>0</v>
      </c>
      <c r="M415" s="10">
        <f t="shared" si="198"/>
        <v>6.3942545009636724</v>
      </c>
      <c r="N415" s="10">
        <f t="shared" si="207"/>
        <v>17.20418640980624</v>
      </c>
      <c r="O415" s="10">
        <f t="shared" si="208"/>
        <v>-0.14810000000000001</v>
      </c>
      <c r="P415" s="10">
        <f t="shared" si="199"/>
        <v>13.070633966136333</v>
      </c>
      <c r="Q415" s="45">
        <f t="shared" si="200"/>
        <v>0.92549485839036383</v>
      </c>
      <c r="R415" s="4">
        <f t="shared" si="201"/>
        <v>850573.14681604679</v>
      </c>
      <c r="S415">
        <f t="shared" si="182"/>
        <v>8.5057314681604682E-4</v>
      </c>
      <c r="T415" s="44">
        <f t="shared" si="183"/>
        <v>1.225823247665957E-3</v>
      </c>
      <c r="U415" s="45">
        <f t="shared" si="202"/>
        <v>1.5183155957239842</v>
      </c>
      <c r="V415" s="45">
        <f t="shared" si="203"/>
        <v>1.586221355410468</v>
      </c>
      <c r="W415" s="45">
        <f t="shared" si="204"/>
        <v>1.5678732024698292</v>
      </c>
      <c r="X415" s="45">
        <f t="shared" si="205"/>
        <v>1.8348152940638851E-2</v>
      </c>
      <c r="Y415" s="45">
        <f t="shared" si="209"/>
        <v>2.4231240899934916E-2</v>
      </c>
      <c r="Z415" s="10">
        <f t="shared" si="206"/>
        <v>19.767320407793449</v>
      </c>
      <c r="AA415">
        <f t="shared" si="184"/>
        <v>6394712.1119390903</v>
      </c>
      <c r="AB415" s="10">
        <f t="shared" si="185"/>
        <v>6.3947121119390902</v>
      </c>
      <c r="AC415" s="10">
        <f t="shared" si="186"/>
        <v>6.2937121119390902</v>
      </c>
      <c r="AD415" s="3">
        <f t="shared" si="187"/>
        <v>912.79363479899791</v>
      </c>
      <c r="AI415" s="100">
        <f t="shared" si="188"/>
        <v>1.5678732024698292</v>
      </c>
    </row>
    <row r="416" spans="2:35">
      <c r="B416" s="39">
        <f t="shared" si="189"/>
        <v>388</v>
      </c>
      <c r="C416" s="45">
        <f t="shared" si="190"/>
        <v>11.398081534771567</v>
      </c>
      <c r="D416" s="10">
        <f t="shared" si="191"/>
        <v>13.101918465228664</v>
      </c>
      <c r="E416" s="40">
        <f t="shared" si="192"/>
        <v>42.796163069542672</v>
      </c>
      <c r="F416" s="40">
        <f t="shared" si="193"/>
        <v>69</v>
      </c>
      <c r="G416" s="3">
        <f t="shared" si="194"/>
        <v>368.81534772182931</v>
      </c>
      <c r="H416" s="3">
        <f t="shared" si="195"/>
        <v>221.47275588995251</v>
      </c>
      <c r="I416">
        <f t="shared" si="180"/>
        <v>2.214727558899525E-4</v>
      </c>
      <c r="J416" s="4">
        <f t="shared" si="196"/>
        <v>2117.0498392237432</v>
      </c>
      <c r="K416" s="40">
        <f t="shared" si="197"/>
        <v>9.5589628201298176</v>
      </c>
      <c r="L416" s="40">
        <f t="shared" si="181"/>
        <v>0</v>
      </c>
      <c r="M416" s="10">
        <f t="shared" si="198"/>
        <v>6.3947121119390902</v>
      </c>
      <c r="N416" s="10">
        <f t="shared" si="207"/>
        <v>17.20418640980624</v>
      </c>
      <c r="O416" s="10">
        <f t="shared" si="208"/>
        <v>-0.14810000000000001</v>
      </c>
      <c r="P416" s="10">
        <f t="shared" si="199"/>
        <v>13.070495437236819</v>
      </c>
      <c r="Q416" s="45">
        <f t="shared" si="200"/>
        <v>0.92774240125834617</v>
      </c>
      <c r="R416" s="4">
        <f t="shared" si="201"/>
        <v>848575.82152827992</v>
      </c>
      <c r="S416">
        <f t="shared" si="182"/>
        <v>8.4857582152827993E-4</v>
      </c>
      <c r="T416" s="44">
        <f t="shared" si="183"/>
        <v>1.2278205729537239E-3</v>
      </c>
      <c r="U416" s="45">
        <f t="shared" si="202"/>
        <v>1.5147502702190561</v>
      </c>
      <c r="V416" s="45">
        <f t="shared" si="203"/>
        <v>1.5863214694226562</v>
      </c>
      <c r="W416" s="45">
        <f t="shared" si="204"/>
        <v>1.5679872096159579</v>
      </c>
      <c r="X416" s="45">
        <f t="shared" si="205"/>
        <v>1.8334259806698228E-2</v>
      </c>
      <c r="Y416" s="45">
        <f t="shared" si="209"/>
        <v>2.4272447934803196E-2</v>
      </c>
      <c r="Z416" s="10">
        <f t="shared" si="206"/>
        <v>19.768725552799495</v>
      </c>
      <c r="AA416">
        <f t="shared" si="184"/>
        <v>6395159.4956998201</v>
      </c>
      <c r="AB416" s="10">
        <f t="shared" si="185"/>
        <v>6.3951594956998203</v>
      </c>
      <c r="AC416" s="10">
        <f t="shared" si="186"/>
        <v>6.2941594956998204</v>
      </c>
      <c r="AD416" s="3">
        <f t="shared" si="187"/>
        <v>912.85852004348374</v>
      </c>
      <c r="AI416" s="100">
        <f t="shared" si="188"/>
        <v>1.5679872096159579</v>
      </c>
    </row>
    <row r="417" spans="2:35">
      <c r="B417" s="39">
        <f t="shared" si="189"/>
        <v>389</v>
      </c>
      <c r="C417" s="45">
        <f t="shared" si="190"/>
        <v>11.427458033572524</v>
      </c>
      <c r="D417" s="10">
        <f t="shared" si="191"/>
        <v>13.072541966427707</v>
      </c>
      <c r="E417" s="40">
        <f t="shared" si="192"/>
        <v>42.854916067144586</v>
      </c>
      <c r="F417" s="40">
        <f t="shared" si="193"/>
        <v>69</v>
      </c>
      <c r="G417" s="3">
        <f t="shared" si="194"/>
        <v>368.58033573142166</v>
      </c>
      <c r="H417" s="3">
        <f t="shared" si="195"/>
        <v>221.47275588995251</v>
      </c>
      <c r="I417">
        <f t="shared" si="180"/>
        <v>2.214727558899525E-4</v>
      </c>
      <c r="J417" s="4">
        <f t="shared" si="196"/>
        <v>2121.0021651375337</v>
      </c>
      <c r="K417" s="40">
        <f t="shared" si="197"/>
        <v>9.5768084729637692</v>
      </c>
      <c r="L417" s="40">
        <f t="shared" si="181"/>
        <v>0</v>
      </c>
      <c r="M417" s="10">
        <f t="shared" si="198"/>
        <v>6.3951594956998203</v>
      </c>
      <c r="N417" s="10">
        <f t="shared" si="207"/>
        <v>17.20418640980624</v>
      </c>
      <c r="O417" s="10">
        <f t="shared" si="208"/>
        <v>-0.14810000000000001</v>
      </c>
      <c r="P417" s="10">
        <f t="shared" si="199"/>
        <v>13.070360015342217</v>
      </c>
      <c r="Q417" s="45">
        <f t="shared" si="200"/>
        <v>0.92998996741310203</v>
      </c>
      <c r="R417" s="4">
        <f t="shared" si="201"/>
        <v>846578.35284332384</v>
      </c>
      <c r="S417">
        <f t="shared" si="182"/>
        <v>8.4657835284332385E-4</v>
      </c>
      <c r="T417" s="44">
        <f t="shared" si="183"/>
        <v>1.2298180416386801E-3</v>
      </c>
      <c r="U417" s="45">
        <f t="shared" si="202"/>
        <v>1.5111846887429752</v>
      </c>
      <c r="V417" s="45">
        <f t="shared" si="203"/>
        <v>1.5864189218796099</v>
      </c>
      <c r="W417" s="45">
        <f t="shared" si="204"/>
        <v>1.5680986687996854</v>
      </c>
      <c r="X417" s="45">
        <f t="shared" si="205"/>
        <v>1.8320253079924465E-2</v>
      </c>
      <c r="Y417" s="45">
        <f t="shared" si="209"/>
        <v>2.4313623915572194E-2</v>
      </c>
      <c r="Z417" s="10">
        <f t="shared" si="206"/>
        <v>19.770098577489826</v>
      </c>
      <c r="AA417">
        <f t="shared" si="184"/>
        <v>6395596.6526814066</v>
      </c>
      <c r="AB417" s="10">
        <f t="shared" si="185"/>
        <v>6.395596652681407</v>
      </c>
      <c r="AC417" s="10">
        <f t="shared" si="186"/>
        <v>6.294596652681407</v>
      </c>
      <c r="AD417" s="3">
        <f t="shared" si="187"/>
        <v>912.92192207127005</v>
      </c>
      <c r="AI417" s="100">
        <f t="shared" si="188"/>
        <v>1.5680986687996854</v>
      </c>
    </row>
    <row r="418" spans="2:35">
      <c r="B418" s="39">
        <f t="shared" si="189"/>
        <v>390</v>
      </c>
      <c r="C418" s="45">
        <f t="shared" si="190"/>
        <v>11.456834532373481</v>
      </c>
      <c r="D418" s="10">
        <f t="shared" si="191"/>
        <v>13.04316546762675</v>
      </c>
      <c r="E418" s="40">
        <f t="shared" si="192"/>
        <v>42.9136690647465</v>
      </c>
      <c r="F418" s="40">
        <f t="shared" si="193"/>
        <v>69</v>
      </c>
      <c r="G418" s="3">
        <f t="shared" si="194"/>
        <v>368.345323741014</v>
      </c>
      <c r="H418" s="3">
        <f t="shared" si="195"/>
        <v>221.47275588995251</v>
      </c>
      <c r="I418">
        <f t="shared" si="180"/>
        <v>2.214727558899525E-4</v>
      </c>
      <c r="J418" s="4">
        <f t="shared" si="196"/>
        <v>2124.9599133062975</v>
      </c>
      <c r="K418" s="40">
        <f t="shared" si="197"/>
        <v>9.594678608515478</v>
      </c>
      <c r="L418" s="40">
        <f t="shared" si="181"/>
        <v>0</v>
      </c>
      <c r="M418" s="10">
        <f t="shared" si="198"/>
        <v>6.395596652681407</v>
      </c>
      <c r="N418" s="10">
        <f t="shared" si="207"/>
        <v>17.20418640980624</v>
      </c>
      <c r="O418" s="10">
        <f t="shared" si="208"/>
        <v>-0.14810000000000001</v>
      </c>
      <c r="P418" s="10">
        <f t="shared" si="199"/>
        <v>13.070227699573111</v>
      </c>
      <c r="Q418" s="45">
        <f t="shared" si="200"/>
        <v>0.93223755632097682</v>
      </c>
      <c r="R418" s="4">
        <f t="shared" si="201"/>
        <v>844580.74458406377</v>
      </c>
      <c r="S418">
        <f t="shared" si="182"/>
        <v>8.4458074458406372E-4</v>
      </c>
      <c r="T418" s="44">
        <f t="shared" si="183"/>
        <v>1.23181564989794E-3</v>
      </c>
      <c r="U418" s="45">
        <f t="shared" si="202"/>
        <v>1.5076188581197829</v>
      </c>
      <c r="V418" s="45">
        <f t="shared" si="203"/>
        <v>1.5865137128497087</v>
      </c>
      <c r="W418" s="45">
        <f t="shared" si="204"/>
        <v>1.5682075801295225</v>
      </c>
      <c r="X418" s="45">
        <f t="shared" si="205"/>
        <v>1.8306132720186108E-2</v>
      </c>
      <c r="Y418" s="45">
        <f t="shared" si="209"/>
        <v>2.4354768576420167E-2</v>
      </c>
      <c r="Z418" s="10">
        <f t="shared" si="206"/>
        <v>19.771439483203547</v>
      </c>
      <c r="AA418">
        <f t="shared" si="184"/>
        <v>6396023.5833102083</v>
      </c>
      <c r="AB418" s="10">
        <f t="shared" si="185"/>
        <v>6.3960235833102086</v>
      </c>
      <c r="AC418" s="10">
        <f t="shared" si="186"/>
        <v>6.2950235833102086</v>
      </c>
      <c r="AD418" s="3">
        <f t="shared" si="187"/>
        <v>912.98384094419259</v>
      </c>
      <c r="AI418" s="100">
        <f t="shared" si="188"/>
        <v>1.5682075801295225</v>
      </c>
    </row>
    <row r="419" spans="2:35">
      <c r="B419" s="39">
        <f t="shared" si="189"/>
        <v>391</v>
      </c>
      <c r="C419" s="45">
        <f t="shared" si="190"/>
        <v>11.486211031174438</v>
      </c>
      <c r="D419" s="10">
        <f t="shared" si="191"/>
        <v>13.013788968825793</v>
      </c>
      <c r="E419" s="40">
        <f t="shared" si="192"/>
        <v>42.972422062348414</v>
      </c>
      <c r="F419" s="40">
        <f t="shared" si="193"/>
        <v>69</v>
      </c>
      <c r="G419" s="3">
        <f t="shared" si="194"/>
        <v>368.11031175060634</v>
      </c>
      <c r="H419" s="3">
        <f t="shared" si="195"/>
        <v>221.47275588995251</v>
      </c>
      <c r="I419">
        <f t="shared" si="180"/>
        <v>2.214727558899525E-4</v>
      </c>
      <c r="J419" s="4">
        <f t="shared" si="196"/>
        <v>2128.9230837300356</v>
      </c>
      <c r="K419" s="40">
        <f t="shared" si="197"/>
        <v>9.6125732267849475</v>
      </c>
      <c r="L419" s="40">
        <f t="shared" si="181"/>
        <v>0</v>
      </c>
      <c r="M419" s="10">
        <f t="shared" si="198"/>
        <v>6.3960235833102086</v>
      </c>
      <c r="N419" s="10">
        <f t="shared" si="207"/>
        <v>17.20418640980624</v>
      </c>
      <c r="O419" s="10">
        <f t="shared" si="208"/>
        <v>-0.14810000000000001</v>
      </c>
      <c r="P419" s="10">
        <f t="shared" si="199"/>
        <v>13.070098489070187</v>
      </c>
      <c r="Q419" s="45">
        <f t="shared" si="200"/>
        <v>0.93448516744843113</v>
      </c>
      <c r="R419" s="4">
        <f t="shared" si="201"/>
        <v>842583.00057338399</v>
      </c>
      <c r="S419">
        <f t="shared" si="182"/>
        <v>8.4258300057338394E-4</v>
      </c>
      <c r="T419" s="44">
        <f t="shared" si="183"/>
        <v>1.23381339390862E-3</v>
      </c>
      <c r="U419" s="45">
        <f t="shared" si="202"/>
        <v>1.504052785173519</v>
      </c>
      <c r="V419" s="45">
        <f t="shared" si="203"/>
        <v>1.5866058424007212</v>
      </c>
      <c r="W419" s="45">
        <f t="shared" si="204"/>
        <v>1.5683139437116893</v>
      </c>
      <c r="X419" s="45">
        <f t="shared" si="205"/>
        <v>1.8291898689031916E-2</v>
      </c>
      <c r="Y419" s="45">
        <f t="shared" si="209"/>
        <v>2.4395881651455901E-2</v>
      </c>
      <c r="Z419" s="10">
        <f t="shared" si="206"/>
        <v>19.772748271253356</v>
      </c>
      <c r="AA419">
        <f t="shared" si="184"/>
        <v>6396440.288004173</v>
      </c>
      <c r="AB419" s="10">
        <f t="shared" si="185"/>
        <v>6.3964402880041726</v>
      </c>
      <c r="AC419" s="10">
        <f t="shared" si="186"/>
        <v>6.2954402880041727</v>
      </c>
      <c r="AD419" s="3">
        <f t="shared" si="187"/>
        <v>913.04427672286772</v>
      </c>
      <c r="AI419" s="100">
        <f t="shared" si="188"/>
        <v>1.5683139437116893</v>
      </c>
    </row>
    <row r="420" spans="2:35">
      <c r="B420" s="39">
        <f t="shared" si="189"/>
        <v>392</v>
      </c>
      <c r="C420" s="45">
        <f t="shared" si="190"/>
        <v>11.515587529975395</v>
      </c>
      <c r="D420" s="10">
        <f t="shared" si="191"/>
        <v>12.984412470024836</v>
      </c>
      <c r="E420" s="40">
        <f t="shared" si="192"/>
        <v>43.031175059950328</v>
      </c>
      <c r="F420" s="40">
        <f t="shared" si="193"/>
        <v>69</v>
      </c>
      <c r="G420" s="3">
        <f t="shared" si="194"/>
        <v>367.87529976019869</v>
      </c>
      <c r="H420" s="3">
        <f t="shared" si="195"/>
        <v>221.47275588995251</v>
      </c>
      <c r="I420">
        <f t="shared" si="180"/>
        <v>2.214727558899525E-4</v>
      </c>
      <c r="J420" s="4">
        <f t="shared" si="196"/>
        <v>2132.8916764087476</v>
      </c>
      <c r="K420" s="40">
        <f t="shared" si="197"/>
        <v>9.6304923277721759</v>
      </c>
      <c r="L420" s="40">
        <f t="shared" si="181"/>
        <v>0</v>
      </c>
      <c r="M420" s="10">
        <f t="shared" si="198"/>
        <v>6.3964402880041726</v>
      </c>
      <c r="N420" s="10">
        <f t="shared" si="207"/>
        <v>17.20418640980624</v>
      </c>
      <c r="O420" s="10">
        <f t="shared" si="208"/>
        <v>-0.14810000000000001</v>
      </c>
      <c r="P420" s="10">
        <f t="shared" si="199"/>
        <v>13.069972382993962</v>
      </c>
      <c r="Q420" s="45">
        <f t="shared" si="200"/>
        <v>0.93673280026203842</v>
      </c>
      <c r="R420" s="4">
        <f t="shared" si="201"/>
        <v>840585.12463416951</v>
      </c>
      <c r="S420">
        <f t="shared" si="182"/>
        <v>8.4058512463416955E-4</v>
      </c>
      <c r="T420" s="44">
        <f t="shared" si="183"/>
        <v>1.2358112698478343E-3</v>
      </c>
      <c r="U420" s="45">
        <f t="shared" si="202"/>
        <v>1.5004864767282242</v>
      </c>
      <c r="V420" s="45">
        <f t="shared" si="203"/>
        <v>1.5866953105970836</v>
      </c>
      <c r="W420" s="45">
        <f t="shared" si="204"/>
        <v>1.5684177596503126</v>
      </c>
      <c r="X420" s="45">
        <f t="shared" si="205"/>
        <v>1.8277550946770971E-2</v>
      </c>
      <c r="Y420" s="45">
        <f t="shared" si="209"/>
        <v>2.4436962874716243E-2</v>
      </c>
      <c r="Z420" s="10">
        <f t="shared" si="206"/>
        <v>19.774024942922857</v>
      </c>
      <c r="AA420">
        <f t="shared" si="184"/>
        <v>6396846.7671719892</v>
      </c>
      <c r="AB420" s="10">
        <f t="shared" si="185"/>
        <v>6.3968467671719891</v>
      </c>
      <c r="AC420" s="10">
        <f t="shared" si="186"/>
        <v>6.2958467671719891</v>
      </c>
      <c r="AD420" s="3">
        <f t="shared" si="187"/>
        <v>913.10322946656845</v>
      </c>
      <c r="AI420" s="100">
        <f t="shared" si="188"/>
        <v>1.5684177596503126</v>
      </c>
    </row>
    <row r="421" spans="2:35">
      <c r="B421" s="39">
        <f t="shared" si="189"/>
        <v>393</v>
      </c>
      <c r="C421" s="45">
        <f t="shared" si="190"/>
        <v>11.544964028776352</v>
      </c>
      <c r="D421" s="10">
        <f t="shared" si="191"/>
        <v>12.955035971223879</v>
      </c>
      <c r="E421" s="40">
        <f t="shared" si="192"/>
        <v>43.089928057552243</v>
      </c>
      <c r="F421" s="40">
        <f t="shared" si="193"/>
        <v>69</v>
      </c>
      <c r="G421" s="3">
        <f t="shared" si="194"/>
        <v>367.64028776979103</v>
      </c>
      <c r="H421" s="3">
        <f t="shared" si="195"/>
        <v>221.47275588995251</v>
      </c>
      <c r="I421">
        <f t="shared" si="180"/>
        <v>2.214727558899525E-4</v>
      </c>
      <c r="J421" s="4">
        <f t="shared" si="196"/>
        <v>2136.8656913424329</v>
      </c>
      <c r="K421" s="40">
        <f t="shared" si="197"/>
        <v>9.6484359114771614</v>
      </c>
      <c r="L421" s="40">
        <f t="shared" si="181"/>
        <v>0</v>
      </c>
      <c r="M421" s="10">
        <f t="shared" si="198"/>
        <v>6.3968467671719891</v>
      </c>
      <c r="N421" s="10">
        <f t="shared" si="207"/>
        <v>17.20418640980624</v>
      </c>
      <c r="O421" s="10">
        <f t="shared" si="208"/>
        <v>-0.14810000000000001</v>
      </c>
      <c r="P421" s="10">
        <f t="shared" si="199"/>
        <v>13.06984938052504</v>
      </c>
      <c r="Q421" s="45">
        <f t="shared" si="200"/>
        <v>0.93898045422848209</v>
      </c>
      <c r="R421" s="4">
        <f t="shared" si="201"/>
        <v>838587.12058930541</v>
      </c>
      <c r="S421">
        <f t="shared" si="182"/>
        <v>8.3858712058930537E-4</v>
      </c>
      <c r="T421" s="44">
        <f t="shared" si="183"/>
        <v>1.2378092738926983E-3</v>
      </c>
      <c r="U421" s="45">
        <f t="shared" si="202"/>
        <v>1.4969199396079398</v>
      </c>
      <c r="V421" s="45">
        <f t="shared" si="203"/>
        <v>1.586782117501637</v>
      </c>
      <c r="W421" s="45">
        <f t="shared" si="204"/>
        <v>1.5685190280472103</v>
      </c>
      <c r="X421" s="45">
        <f t="shared" si="205"/>
        <v>1.8263089454426673E-2</v>
      </c>
      <c r="Y421" s="45">
        <f t="shared" si="209"/>
        <v>2.4478011980168E-2</v>
      </c>
      <c r="Z421" s="10">
        <f t="shared" si="206"/>
        <v>19.775269499467264</v>
      </c>
      <c r="AA421">
        <f t="shared" si="184"/>
        <v>6397243.0212133024</v>
      </c>
      <c r="AB421" s="10">
        <f t="shared" si="185"/>
        <v>6.3972430212133027</v>
      </c>
      <c r="AC421" s="10">
        <f t="shared" si="186"/>
        <v>6.2962430212133027</v>
      </c>
      <c r="AD421" s="3">
        <f t="shared" si="187"/>
        <v>913.16069923325631</v>
      </c>
      <c r="AI421" s="100">
        <f t="shared" si="188"/>
        <v>1.5685190280472103</v>
      </c>
    </row>
    <row r="422" spans="2:35">
      <c r="B422" s="39">
        <f t="shared" si="189"/>
        <v>394</v>
      </c>
      <c r="C422" s="45">
        <f t="shared" si="190"/>
        <v>11.574340527577309</v>
      </c>
      <c r="D422" s="10">
        <f t="shared" si="191"/>
        <v>12.925659472422922</v>
      </c>
      <c r="E422" s="40">
        <f t="shared" si="192"/>
        <v>43.148681055154157</v>
      </c>
      <c r="F422" s="40">
        <f t="shared" si="193"/>
        <v>69</v>
      </c>
      <c r="G422" s="3">
        <f t="shared" si="194"/>
        <v>367.40527577938337</v>
      </c>
      <c r="H422" s="3">
        <f t="shared" si="195"/>
        <v>221.47275588995251</v>
      </c>
      <c r="I422">
        <f t="shared" si="180"/>
        <v>2.214727558899525E-4</v>
      </c>
      <c r="J422" s="4">
        <f t="shared" si="196"/>
        <v>2140.845128531093</v>
      </c>
      <c r="K422" s="40">
        <f t="shared" si="197"/>
        <v>9.6664039778999111</v>
      </c>
      <c r="L422" s="40">
        <f t="shared" si="181"/>
        <v>0</v>
      </c>
      <c r="M422" s="10">
        <f t="shared" si="198"/>
        <v>6.3972430212133027</v>
      </c>
      <c r="N422" s="10">
        <f t="shared" si="207"/>
        <v>17.20418640980624</v>
      </c>
      <c r="O422" s="10">
        <f t="shared" si="208"/>
        <v>-0.14810000000000001</v>
      </c>
      <c r="P422" s="10">
        <f t="shared" si="199"/>
        <v>13.069729480864025</v>
      </c>
      <c r="Q422" s="45">
        <f t="shared" si="200"/>
        <v>0.94122812881455287</v>
      </c>
      <c r="R422" s="4">
        <f t="shared" si="201"/>
        <v>836588.99226167588</v>
      </c>
      <c r="S422">
        <f t="shared" si="182"/>
        <v>8.3658899226167591E-4</v>
      </c>
      <c r="T422" s="44">
        <f t="shared" si="183"/>
        <v>1.2398074022203279E-3</v>
      </c>
      <c r="U422" s="45">
        <f t="shared" si="202"/>
        <v>1.4933531806367046</v>
      </c>
      <c r="V422" s="45">
        <f t="shared" si="203"/>
        <v>1.5868662631766004</v>
      </c>
      <c r="W422" s="45">
        <f t="shared" si="204"/>
        <v>1.5686177490019482</v>
      </c>
      <c r="X422" s="45">
        <f t="shared" si="205"/>
        <v>1.8248514174652231E-2</v>
      </c>
      <c r="Y422" s="45">
        <f t="shared" si="209"/>
        <v>2.4519028701711919E-2</v>
      </c>
      <c r="Z422" s="10">
        <f t="shared" si="206"/>
        <v>19.776481942115883</v>
      </c>
      <c r="AA422">
        <f t="shared" si="184"/>
        <v>6397629.050519513</v>
      </c>
      <c r="AB422" s="10">
        <f t="shared" si="185"/>
        <v>6.3976290505195132</v>
      </c>
      <c r="AC422" s="10">
        <f t="shared" si="186"/>
        <v>6.2966290505195133</v>
      </c>
      <c r="AD422" s="3">
        <f t="shared" si="187"/>
        <v>913.2166860796973</v>
      </c>
      <c r="AI422" s="100">
        <f t="shared" si="188"/>
        <v>1.5686177490019482</v>
      </c>
    </row>
    <row r="423" spans="2:35">
      <c r="B423" s="39">
        <f t="shared" si="189"/>
        <v>395</v>
      </c>
      <c r="C423" s="45">
        <f t="shared" si="190"/>
        <v>11.603717026378266</v>
      </c>
      <c r="D423" s="10">
        <f t="shared" si="191"/>
        <v>12.896282973621965</v>
      </c>
      <c r="E423" s="40">
        <f t="shared" si="192"/>
        <v>43.207434052756071</v>
      </c>
      <c r="F423" s="40">
        <f t="shared" si="193"/>
        <v>69</v>
      </c>
      <c r="G423" s="3">
        <f t="shared" si="194"/>
        <v>367.17026378897572</v>
      </c>
      <c r="H423" s="3">
        <f t="shared" si="195"/>
        <v>221.47275588995251</v>
      </c>
      <c r="I423">
        <f t="shared" ref="I423:I486" si="210">H423/1000^2</f>
        <v>2.214727558899525E-4</v>
      </c>
      <c r="J423" s="4">
        <f t="shared" si="196"/>
        <v>2144.8299879747265</v>
      </c>
      <c r="K423" s="40">
        <f t="shared" si="197"/>
        <v>9.684396527040418</v>
      </c>
      <c r="L423" s="40">
        <f t="shared" ref="L423:L486" si="211">IF((gstar-K423)&lt;0,0,gstar-K423)</f>
        <v>0</v>
      </c>
      <c r="M423" s="10">
        <f t="shared" si="198"/>
        <v>6.3976290505195132</v>
      </c>
      <c r="N423" s="10">
        <f t="shared" si="207"/>
        <v>17.20418640980624</v>
      </c>
      <c r="O423" s="10">
        <f t="shared" si="208"/>
        <v>-0.14810000000000001</v>
      </c>
      <c r="P423" s="10">
        <f t="shared" si="199"/>
        <v>13.069612683231261</v>
      </c>
      <c r="Q423" s="45">
        <f t="shared" si="200"/>
        <v>0.9434758234871462</v>
      </c>
      <c r="R423" s="4">
        <f t="shared" si="201"/>
        <v>834590.74347416626</v>
      </c>
      <c r="S423">
        <f t="shared" ref="S423:S486" si="212">R423/1000^3</f>
        <v>8.3459074347416631E-4</v>
      </c>
      <c r="T423" s="44">
        <f t="shared" ref="T423:T486" si="213">(vc/1000^3-S423)</f>
        <v>1.2418056510078374E-3</v>
      </c>
      <c r="U423" s="45">
        <f t="shared" si="202"/>
        <v>1.4897862066385603</v>
      </c>
      <c r="V423" s="45">
        <f t="shared" si="203"/>
        <v>1.5869477476799945</v>
      </c>
      <c r="W423" s="45">
        <f t="shared" si="204"/>
        <v>1.5687139226120388</v>
      </c>
      <c r="X423" s="45">
        <f t="shared" si="205"/>
        <v>1.8233825067955678E-2</v>
      </c>
      <c r="Y423" s="45">
        <f t="shared" si="209"/>
        <v>2.4560012773178163E-2</v>
      </c>
      <c r="Z423" s="10">
        <f t="shared" si="206"/>
        <v>19.77766227206769</v>
      </c>
      <c r="AA423">
        <f t="shared" ref="AA423:AA486" si="214">Z423*rat*to+patm*1000000</f>
        <v>6398004.8554723598</v>
      </c>
      <c r="AB423" s="10">
        <f t="shared" ref="AB423:AB486" si="215">AA423/1000000</f>
        <v>6.3980048554723599</v>
      </c>
      <c r="AC423" s="10">
        <f t="shared" ref="AC423:AC486" si="216">AB423-patm</f>
        <v>6.2970048554723599</v>
      </c>
      <c r="AD423" s="3">
        <f t="shared" ref="AD423:AD486" si="217">AC423*1000000/6895</f>
        <v>913.27119006125599</v>
      </c>
      <c r="AI423" s="100">
        <f t="shared" ref="AI423:AI486" si="218">($M423-patm)*1000000*$I423/SQRT(rat*to)*SQRT(k)*(2/(k+1))^((k+1)/2/(k-1))</f>
        <v>1.5687139226120388</v>
      </c>
    </row>
    <row r="424" spans="2:35">
      <c r="B424" s="39">
        <f t="shared" ref="B424:B487" si="219">1+B423</f>
        <v>396</v>
      </c>
      <c r="C424" s="45">
        <f t="shared" ref="C424:C487" si="220">xincp+C423</f>
        <v>11.633093525179223</v>
      </c>
      <c r="D424" s="10">
        <f t="shared" ref="D424:D487" si="221">(F424-E424)/2</f>
        <v>12.866906474821008</v>
      </c>
      <c r="E424" s="40">
        <f t="shared" ref="E424:E487" si="222">E423+ci*2*xincp</f>
        <v>43.266187050357985</v>
      </c>
      <c r="F424" s="40">
        <f t="shared" ref="F424:F487" si="223">F423-osi*2*xincp</f>
        <v>69</v>
      </c>
      <c r="G424" s="3">
        <f t="shared" ref="G424:G487" si="224">G423-ei*n*2*xincp</f>
        <v>366.93525179856806</v>
      </c>
      <c r="H424" s="3">
        <f t="shared" ref="H424:H487" si="225">PI()/4*(dto+erate*(two-D424)/two)^2</f>
        <v>221.47275588995251</v>
      </c>
      <c r="I424">
        <f t="shared" si="210"/>
        <v>2.214727558899525E-4</v>
      </c>
      <c r="J424" s="4">
        <f t="shared" ref="J424:J487" si="226">PI()/4*dc^2-PI()/4*(F424^2-E424^2)</f>
        <v>2148.8202696733342</v>
      </c>
      <c r="K424" s="40">
        <f t="shared" ref="K424:K487" si="227">J424/H424</f>
        <v>9.7024135588986873</v>
      </c>
      <c r="L424" s="40">
        <f t="shared" si="211"/>
        <v>0</v>
      </c>
      <c r="M424" s="10">
        <f t="shared" ref="M424:M487" si="228">AB423</f>
        <v>6.3980048554723599</v>
      </c>
      <c r="N424" s="10">
        <f t="shared" si="207"/>
        <v>17.20418640980624</v>
      </c>
      <c r="O424" s="10">
        <f t="shared" si="208"/>
        <v>-0.14810000000000001</v>
      </c>
      <c r="P424" s="10">
        <f t="shared" ref="P424:P487" si="229">(1+kv*L424)*N424*M424^O424</f>
        <v>13.069498986867258</v>
      </c>
      <c r="Q424" s="45">
        <f t="shared" ref="Q424:Q487" si="230">xincp/P424+Q423</f>
        <v>0.94572353771325968</v>
      </c>
      <c r="R424" s="4">
        <f t="shared" ref="R424:R487" si="231">PI()/4*(F424^2-E424^2)*G424</f>
        <v>832592.37804966094</v>
      </c>
      <c r="S424">
        <f t="shared" si="212"/>
        <v>8.3259237804966097E-4</v>
      </c>
      <c r="T424" s="44">
        <f t="shared" si="213"/>
        <v>1.2438040164323427E-3</v>
      </c>
      <c r="U424" s="45">
        <f t="shared" ref="U424:U487" si="232">rhopgrain*R424/1000^2</f>
        <v>1.4862190244375473</v>
      </c>
      <c r="V424" s="45">
        <f t="shared" ref="V424:V487" si="233">(U423-U424)/(Q424-Q423)</f>
        <v>1.5870265710695186</v>
      </c>
      <c r="W424" s="45">
        <f t="shared" ref="W424:W487" si="234">IF(V424&lt;AI424,IF(AB423&gt;pbd,AI424,0),AI424)</f>
        <v>1.5688075489725857</v>
      </c>
      <c r="X424" s="45">
        <f t="shared" ref="X424:X487" si="235">V424-W424</f>
        <v>1.8219022096932935E-2</v>
      </c>
      <c r="Y424" s="45">
        <f t="shared" si="209"/>
        <v>2.4600963928331315E-2</v>
      </c>
      <c r="Z424" s="10">
        <f t="shared" ref="Z424:Z487" si="236">Y424/T424</f>
        <v>19.778810490494582</v>
      </c>
      <c r="AA424">
        <f t="shared" si="214"/>
        <v>6398370.4364449652</v>
      </c>
      <c r="AB424" s="10">
        <f t="shared" si="215"/>
        <v>6.3983704364449654</v>
      </c>
      <c r="AC424" s="10">
        <f t="shared" si="216"/>
        <v>6.2973704364449654</v>
      </c>
      <c r="AD424" s="3">
        <f t="shared" si="217"/>
        <v>913.32421123204722</v>
      </c>
      <c r="AI424" s="100">
        <f t="shared" si="218"/>
        <v>1.5688075489725857</v>
      </c>
    </row>
    <row r="425" spans="2:35">
      <c r="B425" s="39">
        <f t="shared" si="219"/>
        <v>397</v>
      </c>
      <c r="C425" s="45">
        <f t="shared" si="220"/>
        <v>11.66247002398018</v>
      </c>
      <c r="D425" s="10">
        <f t="shared" si="221"/>
        <v>12.837529976020051</v>
      </c>
      <c r="E425" s="40">
        <f t="shared" si="222"/>
        <v>43.324940047959899</v>
      </c>
      <c r="F425" s="40">
        <f t="shared" si="223"/>
        <v>69</v>
      </c>
      <c r="G425" s="3">
        <f t="shared" si="224"/>
        <v>366.7002398081604</v>
      </c>
      <c r="H425" s="3">
        <f t="shared" si="225"/>
        <v>221.47275588995251</v>
      </c>
      <c r="I425">
        <f t="shared" si="210"/>
        <v>2.214727558899525E-4</v>
      </c>
      <c r="J425" s="4">
        <f t="shared" si="226"/>
        <v>2152.8159736269154</v>
      </c>
      <c r="K425" s="40">
        <f t="shared" si="227"/>
        <v>9.7204550734747119</v>
      </c>
      <c r="L425" s="40">
        <f t="shared" si="211"/>
        <v>0</v>
      </c>
      <c r="M425" s="10">
        <f t="shared" si="228"/>
        <v>6.3983704364449654</v>
      </c>
      <c r="N425" s="10">
        <f t="shared" si="207"/>
        <v>17.20418640980624</v>
      </c>
      <c r="O425" s="10">
        <f t="shared" si="208"/>
        <v>-0.14810000000000001</v>
      </c>
      <c r="P425" s="10">
        <f t="shared" si="229"/>
        <v>13.069388391032351</v>
      </c>
      <c r="Q425" s="45">
        <f t="shared" si="230"/>
        <v>0.94797127095999023</v>
      </c>
      <c r="R425" s="4">
        <f t="shared" si="231"/>
        <v>830593.89981104527</v>
      </c>
      <c r="S425">
        <f t="shared" si="212"/>
        <v>8.3059389981104525E-4</v>
      </c>
      <c r="T425" s="44">
        <f t="shared" si="213"/>
        <v>1.2458024946709586E-3</v>
      </c>
      <c r="U425" s="45">
        <f t="shared" si="232"/>
        <v>1.4826516408577064</v>
      </c>
      <c r="V425" s="45">
        <f t="shared" si="233"/>
        <v>1.5871027334003369</v>
      </c>
      <c r="W425" s="45">
        <f t="shared" si="234"/>
        <v>1.5688986281765487</v>
      </c>
      <c r="X425" s="45">
        <f t="shared" si="235"/>
        <v>1.8204105223788236E-2</v>
      </c>
      <c r="Y425" s="45">
        <f t="shared" si="209"/>
        <v>2.4641881900869803E-2</v>
      </c>
      <c r="Z425" s="10">
        <f t="shared" si="236"/>
        <v>19.779926598540179</v>
      </c>
      <c r="AA425">
        <f t="shared" si="214"/>
        <v>6398725.7938014455</v>
      </c>
      <c r="AB425" s="10">
        <f t="shared" si="215"/>
        <v>6.3987257938014457</v>
      </c>
      <c r="AC425" s="10">
        <f t="shared" si="216"/>
        <v>6.2977257938014457</v>
      </c>
      <c r="AD425" s="3">
        <f t="shared" si="217"/>
        <v>913.37574964487965</v>
      </c>
      <c r="AI425" s="100">
        <f t="shared" si="218"/>
        <v>1.5688986281765487</v>
      </c>
    </row>
    <row r="426" spans="2:35">
      <c r="B426" s="39">
        <f t="shared" si="219"/>
        <v>398</v>
      </c>
      <c r="C426" s="45">
        <f t="shared" si="220"/>
        <v>11.691846522781137</v>
      </c>
      <c r="D426" s="10">
        <f t="shared" si="221"/>
        <v>12.808153477219093</v>
      </c>
      <c r="E426" s="40">
        <f t="shared" si="222"/>
        <v>43.383693045561813</v>
      </c>
      <c r="F426" s="40">
        <f t="shared" si="223"/>
        <v>69</v>
      </c>
      <c r="G426" s="3">
        <f t="shared" si="224"/>
        <v>366.46522781775275</v>
      </c>
      <c r="H426" s="3">
        <f t="shared" si="225"/>
        <v>221.47275588995251</v>
      </c>
      <c r="I426">
        <f t="shared" si="210"/>
        <v>2.214727558899525E-4</v>
      </c>
      <c r="J426" s="4">
        <f t="shared" si="226"/>
        <v>2156.8170998354708</v>
      </c>
      <c r="K426" s="40">
        <f t="shared" si="227"/>
        <v>9.738521070768499</v>
      </c>
      <c r="L426" s="40">
        <f t="shared" si="211"/>
        <v>0</v>
      </c>
      <c r="M426" s="10">
        <f t="shared" si="228"/>
        <v>6.3987257938014457</v>
      </c>
      <c r="N426" s="10">
        <f t="shared" si="207"/>
        <v>17.20418640980624</v>
      </c>
      <c r="O426" s="10">
        <f t="shared" si="208"/>
        <v>-0.14810000000000001</v>
      </c>
      <c r="P426" s="10">
        <f t="shared" si="229"/>
        <v>13.069280895006807</v>
      </c>
      <c r="Q426" s="45">
        <f t="shared" si="230"/>
        <v>0.9502190226945314</v>
      </c>
      <c r="R426" s="4">
        <f t="shared" si="231"/>
        <v>828595.31258120353</v>
      </c>
      <c r="S426">
        <f t="shared" si="212"/>
        <v>8.2859531258120355E-4</v>
      </c>
      <c r="T426" s="44">
        <f t="shared" si="213"/>
        <v>1.2478010819008001E-3</v>
      </c>
      <c r="U426" s="45">
        <f t="shared" si="232"/>
        <v>1.4790840627230775</v>
      </c>
      <c r="V426" s="45">
        <f t="shared" si="233"/>
        <v>1.5871762347264649</v>
      </c>
      <c r="W426" s="45">
        <f t="shared" si="234"/>
        <v>1.5689871603146399</v>
      </c>
      <c r="X426" s="45">
        <f t="shared" si="235"/>
        <v>1.8189074411824935E-2</v>
      </c>
      <c r="Y426" s="45">
        <f t="shared" si="209"/>
        <v>2.4682766424428682E-2</v>
      </c>
      <c r="Z426" s="10">
        <f t="shared" si="236"/>
        <v>19.781010597321277</v>
      </c>
      <c r="AA426">
        <f t="shared" si="214"/>
        <v>6399070.927897376</v>
      </c>
      <c r="AB426" s="10">
        <f t="shared" si="215"/>
        <v>6.3990709278973759</v>
      </c>
      <c r="AC426" s="10">
        <f t="shared" si="216"/>
        <v>6.2980709278973759</v>
      </c>
      <c r="AD426" s="3">
        <f t="shared" si="217"/>
        <v>913.42580535132356</v>
      </c>
      <c r="AI426" s="100">
        <f t="shared" si="218"/>
        <v>1.5689871603146399</v>
      </c>
    </row>
    <row r="427" spans="2:35">
      <c r="B427" s="39">
        <f t="shared" si="219"/>
        <v>399</v>
      </c>
      <c r="C427" s="45">
        <f t="shared" si="220"/>
        <v>11.721223021582095</v>
      </c>
      <c r="D427" s="10">
        <f t="shared" si="221"/>
        <v>12.778776978418136</v>
      </c>
      <c r="E427" s="40">
        <f t="shared" si="222"/>
        <v>43.442446043163727</v>
      </c>
      <c r="F427" s="40">
        <f t="shared" si="223"/>
        <v>69</v>
      </c>
      <c r="G427" s="3">
        <f t="shared" si="224"/>
        <v>366.23021582734509</v>
      </c>
      <c r="H427" s="3">
        <f t="shared" si="225"/>
        <v>221.47275588995251</v>
      </c>
      <c r="I427">
        <f t="shared" si="210"/>
        <v>2.214727558899525E-4</v>
      </c>
      <c r="J427" s="4">
        <f t="shared" si="226"/>
        <v>2160.8236482990001</v>
      </c>
      <c r="K427" s="40">
        <f t="shared" si="227"/>
        <v>9.7566115507800451</v>
      </c>
      <c r="L427" s="40">
        <f t="shared" si="211"/>
        <v>0</v>
      </c>
      <c r="M427" s="10">
        <f t="shared" si="228"/>
        <v>6.3990709278973759</v>
      </c>
      <c r="N427" s="10">
        <f t="shared" si="207"/>
        <v>17.20418640980624</v>
      </c>
      <c r="O427" s="10">
        <f t="shared" si="208"/>
        <v>-0.14810000000000001</v>
      </c>
      <c r="P427" s="10">
        <f t="shared" si="229"/>
        <v>13.069176498090672</v>
      </c>
      <c r="Q427" s="45">
        <f t="shared" si="230"/>
        <v>0.95246679238417098</v>
      </c>
      <c r="R427" s="4">
        <f t="shared" si="231"/>
        <v>826596.62018302071</v>
      </c>
      <c r="S427">
        <f t="shared" si="212"/>
        <v>8.2659662018302069E-4</v>
      </c>
      <c r="T427" s="44">
        <f t="shared" si="213"/>
        <v>1.2497997742989832E-3</v>
      </c>
      <c r="U427" s="45">
        <f t="shared" si="232"/>
        <v>1.4755162968577011</v>
      </c>
      <c r="V427" s="45">
        <f t="shared" si="233"/>
        <v>1.587247075098875</v>
      </c>
      <c r="W427" s="45">
        <f t="shared" si="234"/>
        <v>1.5690731454754476</v>
      </c>
      <c r="X427" s="45">
        <f t="shared" si="235"/>
        <v>1.8173929623427343E-2</v>
      </c>
      <c r="Y427" s="45">
        <f t="shared" si="209"/>
        <v>2.4723617232577863E-2</v>
      </c>
      <c r="Z427" s="10">
        <f t="shared" si="236"/>
        <v>19.782062487925653</v>
      </c>
      <c r="AA427">
        <f t="shared" si="214"/>
        <v>6399405.8390790951</v>
      </c>
      <c r="AB427" s="10">
        <f t="shared" si="215"/>
        <v>6.3994058390790949</v>
      </c>
      <c r="AC427" s="10">
        <f t="shared" si="216"/>
        <v>6.2984058390790949</v>
      </c>
      <c r="AD427" s="3">
        <f t="shared" si="217"/>
        <v>913.4743784016091</v>
      </c>
      <c r="AI427" s="100">
        <f t="shared" si="218"/>
        <v>1.5690731454754476</v>
      </c>
    </row>
    <row r="428" spans="2:35">
      <c r="B428" s="39">
        <f t="shared" si="219"/>
        <v>400</v>
      </c>
      <c r="C428" s="45">
        <f t="shared" si="220"/>
        <v>11.750599520383052</v>
      </c>
      <c r="D428" s="10">
        <f t="shared" si="221"/>
        <v>12.749400479617179</v>
      </c>
      <c r="E428" s="40">
        <f t="shared" si="222"/>
        <v>43.501199040765641</v>
      </c>
      <c r="F428" s="40">
        <f t="shared" si="223"/>
        <v>69</v>
      </c>
      <c r="G428" s="3">
        <f t="shared" si="224"/>
        <v>365.99520383693743</v>
      </c>
      <c r="H428" s="3">
        <f t="shared" si="225"/>
        <v>221.47275588995251</v>
      </c>
      <c r="I428">
        <f t="shared" si="210"/>
        <v>2.214727558899525E-4</v>
      </c>
      <c r="J428" s="4">
        <f t="shared" si="226"/>
        <v>2164.8356190175032</v>
      </c>
      <c r="K428" s="40">
        <f t="shared" si="227"/>
        <v>9.7747265135093517</v>
      </c>
      <c r="L428" s="40">
        <f t="shared" si="211"/>
        <v>0</v>
      </c>
      <c r="M428" s="10">
        <f t="shared" si="228"/>
        <v>6.3994058390790949</v>
      </c>
      <c r="N428" s="10">
        <f t="shared" si="207"/>
        <v>17.20418640980624</v>
      </c>
      <c r="O428" s="10">
        <f t="shared" si="208"/>
        <v>-0.14810000000000001</v>
      </c>
      <c r="P428" s="10">
        <f t="shared" si="229"/>
        <v>13.069075199603965</v>
      </c>
      <c r="Q428" s="45">
        <f t="shared" si="230"/>
        <v>0.95471457949628802</v>
      </c>
      <c r="R428" s="4">
        <f t="shared" si="231"/>
        <v>824597.82643938169</v>
      </c>
      <c r="S428">
        <f t="shared" si="212"/>
        <v>8.2459782643938171E-4</v>
      </c>
      <c r="T428" s="44">
        <f t="shared" si="213"/>
        <v>1.2517985680426222E-3</v>
      </c>
      <c r="U428" s="45">
        <f t="shared" si="232"/>
        <v>1.4719483500856183</v>
      </c>
      <c r="V428" s="45">
        <f t="shared" si="233"/>
        <v>1.5873152545671563</v>
      </c>
      <c r="W428" s="45">
        <f t="shared" si="234"/>
        <v>1.5691565837452564</v>
      </c>
      <c r="X428" s="45">
        <f t="shared" si="235"/>
        <v>1.8158670821899925E-2</v>
      </c>
      <c r="Y428" s="45">
        <f t="shared" si="209"/>
        <v>2.4764434058824506E-2</v>
      </c>
      <c r="Z428" s="10">
        <f t="shared" si="236"/>
        <v>19.78308227141326</v>
      </c>
      <c r="AA428">
        <f t="shared" si="214"/>
        <v>6399730.5276840813</v>
      </c>
      <c r="AB428" s="10">
        <f t="shared" si="215"/>
        <v>6.3997305276840812</v>
      </c>
      <c r="AC428" s="10">
        <f t="shared" si="216"/>
        <v>6.2987305276840813</v>
      </c>
      <c r="AD428" s="3">
        <f t="shared" si="217"/>
        <v>913.52146884468186</v>
      </c>
      <c r="AI428" s="100">
        <f t="shared" si="218"/>
        <v>1.5691565837452564</v>
      </c>
    </row>
    <row r="429" spans="2:35">
      <c r="B429" s="39">
        <f t="shared" si="219"/>
        <v>401</v>
      </c>
      <c r="C429" s="45">
        <f t="shared" si="220"/>
        <v>11.779976019184009</v>
      </c>
      <c r="D429" s="10">
        <f t="shared" si="221"/>
        <v>12.720023980816222</v>
      </c>
      <c r="E429" s="40">
        <f t="shared" si="222"/>
        <v>43.559952038367555</v>
      </c>
      <c r="F429" s="40">
        <f t="shared" si="223"/>
        <v>69</v>
      </c>
      <c r="G429" s="3">
        <f t="shared" si="224"/>
        <v>365.76019184652978</v>
      </c>
      <c r="H429" s="3">
        <f t="shared" si="225"/>
        <v>221.47275588995251</v>
      </c>
      <c r="I429">
        <f t="shared" si="210"/>
        <v>2.214727558899525E-4</v>
      </c>
      <c r="J429" s="4">
        <f t="shared" si="226"/>
        <v>2168.8530119909801</v>
      </c>
      <c r="K429" s="40">
        <f t="shared" si="227"/>
        <v>9.7928659589564173</v>
      </c>
      <c r="L429" s="40">
        <f t="shared" si="211"/>
        <v>0</v>
      </c>
      <c r="M429" s="10">
        <f t="shared" si="228"/>
        <v>6.3997305276840812</v>
      </c>
      <c r="N429" s="10">
        <f t="shared" si="207"/>
        <v>17.20418640980624</v>
      </c>
      <c r="O429" s="10">
        <f t="shared" si="208"/>
        <v>-0.14810000000000001</v>
      </c>
      <c r="P429" s="10">
        <f t="shared" si="229"/>
        <v>13.068976998886555</v>
      </c>
      <c r="Q429" s="45">
        <f t="shared" si="230"/>
        <v>0.95696238349835039</v>
      </c>
      <c r="R429" s="4">
        <f t="shared" si="231"/>
        <v>822598.93517317122</v>
      </c>
      <c r="S429">
        <f t="shared" si="212"/>
        <v>8.2259893517317123E-4</v>
      </c>
      <c r="T429" s="44">
        <f t="shared" si="213"/>
        <v>1.2537974593088326E-3</v>
      </c>
      <c r="U429" s="45">
        <f t="shared" si="232"/>
        <v>1.4683802292308694</v>
      </c>
      <c r="V429" s="45">
        <f t="shared" si="233"/>
        <v>1.5873807731791223</v>
      </c>
      <c r="W429" s="45">
        <f t="shared" si="234"/>
        <v>1.5692374752081435</v>
      </c>
      <c r="X429" s="45">
        <f t="shared" si="235"/>
        <v>1.81432979709788E-2</v>
      </c>
      <c r="Y429" s="45">
        <f t="shared" si="209"/>
        <v>2.4805216636614284E-2</v>
      </c>
      <c r="Z429" s="10">
        <f t="shared" si="236"/>
        <v>19.784069948816445</v>
      </c>
      <c r="AA429">
        <f t="shared" si="214"/>
        <v>6400044.994041021</v>
      </c>
      <c r="AB429" s="10">
        <f t="shared" si="215"/>
        <v>6.4000449940410213</v>
      </c>
      <c r="AC429" s="10">
        <f t="shared" si="216"/>
        <v>6.2990449940410214</v>
      </c>
      <c r="AD429" s="3">
        <f t="shared" si="217"/>
        <v>913.56707672821187</v>
      </c>
      <c r="AI429" s="100">
        <f t="shared" si="218"/>
        <v>1.5692374752081435</v>
      </c>
    </row>
    <row r="430" spans="2:35">
      <c r="B430" s="39">
        <f t="shared" si="219"/>
        <v>402</v>
      </c>
      <c r="C430" s="45">
        <f t="shared" si="220"/>
        <v>11.809352517984966</v>
      </c>
      <c r="D430" s="10">
        <f t="shared" si="221"/>
        <v>12.690647482015265</v>
      </c>
      <c r="E430" s="40">
        <f t="shared" si="222"/>
        <v>43.618705035969469</v>
      </c>
      <c r="F430" s="40">
        <f t="shared" si="223"/>
        <v>69</v>
      </c>
      <c r="G430" s="3">
        <f t="shared" si="224"/>
        <v>365.52517985612212</v>
      </c>
      <c r="H430" s="3">
        <f t="shared" si="225"/>
        <v>221.47275588995251</v>
      </c>
      <c r="I430">
        <f t="shared" si="210"/>
        <v>2.214727558899525E-4</v>
      </c>
      <c r="J430" s="4">
        <f t="shared" si="226"/>
        <v>2172.8758272194314</v>
      </c>
      <c r="K430" s="40">
        <f t="shared" si="227"/>
        <v>9.8110298871212436</v>
      </c>
      <c r="L430" s="40">
        <f t="shared" si="211"/>
        <v>0</v>
      </c>
      <c r="M430" s="10">
        <f t="shared" si="228"/>
        <v>6.4000449940410213</v>
      </c>
      <c r="N430" s="10">
        <f t="shared" si="207"/>
        <v>17.20418640980624</v>
      </c>
      <c r="O430" s="10">
        <f t="shared" si="208"/>
        <v>-0.14810000000000001</v>
      </c>
      <c r="P430" s="10">
        <f t="shared" si="229"/>
        <v>13.06888189529813</v>
      </c>
      <c r="Q430" s="45">
        <f t="shared" si="230"/>
        <v>0.959210203857912</v>
      </c>
      <c r="R430" s="4">
        <f t="shared" si="231"/>
        <v>820599.95020727383</v>
      </c>
      <c r="S430">
        <f t="shared" si="212"/>
        <v>8.2059995020727385E-4</v>
      </c>
      <c r="T430" s="44">
        <f t="shared" si="213"/>
        <v>1.2557964442747298E-3</v>
      </c>
      <c r="U430" s="45">
        <f t="shared" si="232"/>
        <v>1.4648119411174942</v>
      </c>
      <c r="V430" s="45">
        <f t="shared" si="233"/>
        <v>1.5874436309808519</v>
      </c>
      <c r="W430" s="45">
        <f t="shared" si="234"/>
        <v>1.5693158199459973</v>
      </c>
      <c r="X430" s="45">
        <f t="shared" si="235"/>
        <v>1.8127811034854613E-2</v>
      </c>
      <c r="Y430" s="45">
        <f t="shared" si="209"/>
        <v>2.4845964699332715E-2</v>
      </c>
      <c r="Z430" s="10">
        <f t="shared" si="236"/>
        <v>19.785025521140255</v>
      </c>
      <c r="AA430">
        <f t="shared" si="214"/>
        <v>6400349.2384699136</v>
      </c>
      <c r="AB430" s="10">
        <f t="shared" si="215"/>
        <v>6.4003492384699134</v>
      </c>
      <c r="AC430" s="10">
        <f t="shared" si="216"/>
        <v>6.2993492384699135</v>
      </c>
      <c r="AD430" s="3">
        <f t="shared" si="217"/>
        <v>913.61120209860962</v>
      </c>
      <c r="AI430" s="100">
        <f t="shared" si="218"/>
        <v>1.5693158199459973</v>
      </c>
    </row>
    <row r="431" spans="2:35">
      <c r="B431" s="39">
        <f t="shared" si="219"/>
        <v>403</v>
      </c>
      <c r="C431" s="45">
        <f t="shared" si="220"/>
        <v>11.838729016785923</v>
      </c>
      <c r="D431" s="10">
        <f t="shared" si="221"/>
        <v>12.661270983214308</v>
      </c>
      <c r="E431" s="40">
        <f t="shared" si="222"/>
        <v>43.677458033571384</v>
      </c>
      <c r="F431" s="40">
        <f t="shared" si="223"/>
        <v>69</v>
      </c>
      <c r="G431" s="3">
        <f t="shared" si="224"/>
        <v>365.29016786571447</v>
      </c>
      <c r="H431" s="3">
        <f t="shared" si="225"/>
        <v>221.47275588995251</v>
      </c>
      <c r="I431">
        <f t="shared" si="210"/>
        <v>2.214727558899525E-4</v>
      </c>
      <c r="J431" s="4">
        <f t="shared" si="226"/>
        <v>2176.904064702856</v>
      </c>
      <c r="K431" s="40">
        <f t="shared" si="227"/>
        <v>9.829218298003827</v>
      </c>
      <c r="L431" s="40">
        <f t="shared" si="211"/>
        <v>0</v>
      </c>
      <c r="M431" s="10">
        <f t="shared" si="228"/>
        <v>6.4003492384699134</v>
      </c>
      <c r="N431" s="10">
        <f t="shared" si="207"/>
        <v>17.20418640980624</v>
      </c>
      <c r="O431" s="10">
        <f t="shared" si="208"/>
        <v>-0.14810000000000001</v>
      </c>
      <c r="P431" s="10">
        <f t="shared" si="229"/>
        <v>13.06878988821815</v>
      </c>
      <c r="Q431" s="45">
        <f t="shared" si="230"/>
        <v>0.96145804004261048</v>
      </c>
      <c r="R431" s="4">
        <f t="shared" si="231"/>
        <v>818600.87536457495</v>
      </c>
      <c r="S431">
        <f t="shared" si="212"/>
        <v>8.1860087536457494E-4</v>
      </c>
      <c r="T431" s="44">
        <f t="shared" si="213"/>
        <v>1.2577955191174289E-3</v>
      </c>
      <c r="U431" s="45">
        <f t="shared" si="232"/>
        <v>1.4612434925695346</v>
      </c>
      <c r="V431" s="45">
        <f t="shared" si="233"/>
        <v>1.5875038280150922</v>
      </c>
      <c r="W431" s="45">
        <f t="shared" si="234"/>
        <v>1.5693916180385405</v>
      </c>
      <c r="X431" s="45">
        <f t="shared" si="235"/>
        <v>1.8112209976551608E-2</v>
      </c>
      <c r="Y431" s="45">
        <f t="shared" si="209"/>
        <v>2.4886677980302866E-2</v>
      </c>
      <c r="Z431" s="10">
        <f t="shared" si="236"/>
        <v>19.78594898935987</v>
      </c>
      <c r="AA431">
        <f t="shared" si="214"/>
        <v>6400643.2612812445</v>
      </c>
      <c r="AB431" s="10">
        <f t="shared" si="215"/>
        <v>6.4006432612812443</v>
      </c>
      <c r="AC431" s="10">
        <f t="shared" si="216"/>
        <v>6.2996432612812443</v>
      </c>
      <c r="AD431" s="3">
        <f t="shared" si="217"/>
        <v>913.65384500090568</v>
      </c>
      <c r="AI431" s="100">
        <f t="shared" si="218"/>
        <v>1.5693916180385405</v>
      </c>
    </row>
    <row r="432" spans="2:35">
      <c r="B432" s="39">
        <f t="shared" si="219"/>
        <v>404</v>
      </c>
      <c r="C432" s="45">
        <f t="shared" si="220"/>
        <v>11.86810551558688</v>
      </c>
      <c r="D432" s="10">
        <f t="shared" si="221"/>
        <v>12.631894484413351</v>
      </c>
      <c r="E432" s="40">
        <f t="shared" si="222"/>
        <v>43.736211031173298</v>
      </c>
      <c r="F432" s="40">
        <f t="shared" si="223"/>
        <v>69</v>
      </c>
      <c r="G432" s="3">
        <f t="shared" si="224"/>
        <v>365.05515587530681</v>
      </c>
      <c r="H432" s="3">
        <f t="shared" si="225"/>
        <v>221.47275588995251</v>
      </c>
      <c r="I432">
        <f t="shared" si="210"/>
        <v>2.214727558899525E-4</v>
      </c>
      <c r="J432" s="4">
        <f t="shared" si="226"/>
        <v>2180.9377244412549</v>
      </c>
      <c r="K432" s="40">
        <f t="shared" si="227"/>
        <v>9.847431191604171</v>
      </c>
      <c r="L432" s="40">
        <f t="shared" si="211"/>
        <v>0</v>
      </c>
      <c r="M432" s="10">
        <f t="shared" si="228"/>
        <v>6.4006432612812443</v>
      </c>
      <c r="N432" s="10">
        <f t="shared" si="207"/>
        <v>17.20418640980624</v>
      </c>
      <c r="O432" s="10">
        <f t="shared" si="208"/>
        <v>-0.14810000000000001</v>
      </c>
      <c r="P432" s="10">
        <f t="shared" si="229"/>
        <v>13.068700977046086</v>
      </c>
      <c r="Q432" s="45">
        <f t="shared" si="230"/>
        <v>0.96370589152016395</v>
      </c>
      <c r="R432" s="4">
        <f t="shared" si="231"/>
        <v>816601.71446795866</v>
      </c>
      <c r="S432">
        <f t="shared" si="212"/>
        <v>8.1660171446795867E-4</v>
      </c>
      <c r="T432" s="44">
        <f t="shared" si="213"/>
        <v>1.2597946800140451E-3</v>
      </c>
      <c r="U432" s="45">
        <f t="shared" si="232"/>
        <v>1.4576748904110295</v>
      </c>
      <c r="V432" s="45">
        <f t="shared" si="233"/>
        <v>1.5875613643251467</v>
      </c>
      <c r="W432" s="45">
        <f t="shared" si="234"/>
        <v>1.5694648695631259</v>
      </c>
      <c r="X432" s="45">
        <f t="shared" si="235"/>
        <v>1.8096494762020798E-2</v>
      </c>
      <c r="Y432" s="45">
        <f t="shared" si="209"/>
        <v>2.4927356212792212E-2</v>
      </c>
      <c r="Z432" s="10">
        <f t="shared" si="236"/>
        <v>19.786840354425298</v>
      </c>
      <c r="AA432">
        <f t="shared" si="214"/>
        <v>6400927.0627774876</v>
      </c>
      <c r="AB432" s="10">
        <f t="shared" si="215"/>
        <v>6.4009270627774875</v>
      </c>
      <c r="AC432" s="10">
        <f t="shared" si="216"/>
        <v>6.2999270627774875</v>
      </c>
      <c r="AD432" s="3">
        <f t="shared" si="217"/>
        <v>913.69500547896848</v>
      </c>
      <c r="AI432" s="100">
        <f t="shared" si="218"/>
        <v>1.5694648695631259</v>
      </c>
    </row>
    <row r="433" spans="2:35">
      <c r="B433" s="39">
        <f t="shared" si="219"/>
        <v>405</v>
      </c>
      <c r="C433" s="45">
        <f t="shared" si="220"/>
        <v>11.897482014387837</v>
      </c>
      <c r="D433" s="10">
        <f t="shared" si="221"/>
        <v>12.602517985612394</v>
      </c>
      <c r="E433" s="40">
        <f t="shared" si="222"/>
        <v>43.794964028775212</v>
      </c>
      <c r="F433" s="40">
        <f t="shared" si="223"/>
        <v>69</v>
      </c>
      <c r="G433" s="3">
        <f t="shared" si="224"/>
        <v>364.82014388489915</v>
      </c>
      <c r="H433" s="3">
        <f t="shared" si="225"/>
        <v>221.47275588995251</v>
      </c>
      <c r="I433">
        <f t="shared" si="210"/>
        <v>2.214727558899525E-4</v>
      </c>
      <c r="J433" s="4">
        <f t="shared" si="226"/>
        <v>2184.9768064346281</v>
      </c>
      <c r="K433" s="40">
        <f t="shared" si="227"/>
        <v>9.8656685679222775</v>
      </c>
      <c r="L433" s="40">
        <f t="shared" si="211"/>
        <v>0</v>
      </c>
      <c r="M433" s="10">
        <f t="shared" si="228"/>
        <v>6.4009270627774875</v>
      </c>
      <c r="N433" s="10">
        <f t="shared" si="207"/>
        <v>17.20418640980624</v>
      </c>
      <c r="O433" s="10">
        <f t="shared" si="208"/>
        <v>-0.14810000000000001</v>
      </c>
      <c r="P433" s="10">
        <f t="shared" si="229"/>
        <v>13.068615161200947</v>
      </c>
      <c r="Q433" s="45">
        <f t="shared" si="230"/>
        <v>0.965953757758369</v>
      </c>
      <c r="R433" s="4">
        <f t="shared" si="231"/>
        <v>814602.47134031018</v>
      </c>
      <c r="S433">
        <f t="shared" si="212"/>
        <v>8.146024713403102E-4</v>
      </c>
      <c r="T433" s="44">
        <f t="shared" si="213"/>
        <v>1.2617939231416935E-3</v>
      </c>
      <c r="U433" s="45">
        <f t="shared" si="232"/>
        <v>1.4541061414660206</v>
      </c>
      <c r="V433" s="45">
        <f t="shared" si="233"/>
        <v>1.5876162399496689</v>
      </c>
      <c r="W433" s="45">
        <f t="shared" si="234"/>
        <v>1.5695355745951109</v>
      </c>
      <c r="X433" s="45">
        <f t="shared" si="235"/>
        <v>1.808066535455799E-2</v>
      </c>
      <c r="Y433" s="45">
        <f t="shared" si="209"/>
        <v>2.4967999130007006E-2</v>
      </c>
      <c r="Z433" s="10">
        <f t="shared" si="236"/>
        <v>19.787699617256134</v>
      </c>
      <c r="AA433">
        <f t="shared" si="214"/>
        <v>6401200.6432514321</v>
      </c>
      <c r="AB433" s="10">
        <f t="shared" si="215"/>
        <v>6.4012006432514319</v>
      </c>
      <c r="AC433" s="10">
        <f t="shared" si="216"/>
        <v>6.3002006432514319</v>
      </c>
      <c r="AD433" s="3">
        <f t="shared" si="217"/>
        <v>913.73468357526212</v>
      </c>
      <c r="AI433" s="100">
        <f t="shared" si="218"/>
        <v>1.5695355745951109</v>
      </c>
    </row>
    <row r="434" spans="2:35">
      <c r="B434" s="39">
        <f t="shared" si="219"/>
        <v>406</v>
      </c>
      <c r="C434" s="45">
        <f t="shared" si="220"/>
        <v>11.926858513188794</v>
      </c>
      <c r="D434" s="10">
        <f t="shared" si="221"/>
        <v>12.573141486811437</v>
      </c>
      <c r="E434" s="40">
        <f t="shared" si="222"/>
        <v>43.853717026377126</v>
      </c>
      <c r="F434" s="40">
        <f t="shared" si="223"/>
        <v>69</v>
      </c>
      <c r="G434" s="3">
        <f t="shared" si="224"/>
        <v>364.5851318944915</v>
      </c>
      <c r="H434" s="3">
        <f t="shared" si="225"/>
        <v>221.47275588995251</v>
      </c>
      <c r="I434">
        <f t="shared" si="210"/>
        <v>2.214727558899525E-4</v>
      </c>
      <c r="J434" s="4">
        <f t="shared" si="226"/>
        <v>2189.0213106829742</v>
      </c>
      <c r="K434" s="40">
        <f t="shared" si="227"/>
        <v>9.8839304269581394</v>
      </c>
      <c r="L434" s="40">
        <f t="shared" si="211"/>
        <v>0</v>
      </c>
      <c r="M434" s="10">
        <f t="shared" si="228"/>
        <v>6.4012006432514319</v>
      </c>
      <c r="N434" s="10">
        <f t="shared" si="207"/>
        <v>17.20418640980624</v>
      </c>
      <c r="O434" s="10">
        <f t="shared" si="208"/>
        <v>-0.14810000000000001</v>
      </c>
      <c r="P434" s="10">
        <f t="shared" si="229"/>
        <v>13.0685324401218</v>
      </c>
      <c r="Q434" s="45">
        <f t="shared" si="230"/>
        <v>0.96820163822509753</v>
      </c>
      <c r="R434" s="4">
        <f t="shared" si="231"/>
        <v>812603.14980451448</v>
      </c>
      <c r="S434">
        <f t="shared" si="212"/>
        <v>8.1260314980451445E-4</v>
      </c>
      <c r="T434" s="44">
        <f t="shared" si="213"/>
        <v>1.2637932446774892E-3</v>
      </c>
      <c r="U434" s="45">
        <f t="shared" si="232"/>
        <v>1.4505372525585487</v>
      </c>
      <c r="V434" s="45">
        <f t="shared" si="233"/>
        <v>1.5876684549271813</v>
      </c>
      <c r="W434" s="45">
        <f t="shared" si="234"/>
        <v>1.5696037332074395</v>
      </c>
      <c r="X434" s="45">
        <f t="shared" si="235"/>
        <v>1.8064721719741827E-2</v>
      </c>
      <c r="Y434" s="45">
        <f t="shared" si="209"/>
        <v>2.5008606465097699E-2</v>
      </c>
      <c r="Z434" s="10">
        <f t="shared" si="236"/>
        <v>19.788526778745137</v>
      </c>
      <c r="AA434">
        <f t="shared" si="214"/>
        <v>6401464.0029873224</v>
      </c>
      <c r="AB434" s="10">
        <f t="shared" si="215"/>
        <v>6.4014640029873222</v>
      </c>
      <c r="AC434" s="10">
        <f t="shared" si="216"/>
        <v>6.3004640029873222</v>
      </c>
      <c r="AD434" s="3">
        <f t="shared" si="217"/>
        <v>913.77287933101127</v>
      </c>
      <c r="AI434" s="100">
        <f t="shared" si="218"/>
        <v>1.5696037332074395</v>
      </c>
    </row>
    <row r="435" spans="2:35">
      <c r="B435" s="39">
        <f t="shared" si="219"/>
        <v>407</v>
      </c>
      <c r="C435" s="45">
        <f t="shared" si="220"/>
        <v>11.956235011989751</v>
      </c>
      <c r="D435" s="10">
        <f t="shared" si="221"/>
        <v>12.54376498801048</v>
      </c>
      <c r="E435" s="40">
        <f t="shared" si="222"/>
        <v>43.91247002397904</v>
      </c>
      <c r="F435" s="40">
        <f t="shared" si="223"/>
        <v>69</v>
      </c>
      <c r="G435" s="3">
        <f t="shared" si="224"/>
        <v>364.35011990408384</v>
      </c>
      <c r="H435" s="3">
        <f t="shared" si="225"/>
        <v>221.47275588995251</v>
      </c>
      <c r="I435">
        <f t="shared" si="210"/>
        <v>2.214727558899525E-4</v>
      </c>
      <c r="J435" s="4">
        <f t="shared" si="226"/>
        <v>2193.0712371862946</v>
      </c>
      <c r="K435" s="40">
        <f t="shared" si="227"/>
        <v>9.9022167687117637</v>
      </c>
      <c r="L435" s="40">
        <f t="shared" si="211"/>
        <v>0</v>
      </c>
      <c r="M435" s="10">
        <f t="shared" si="228"/>
        <v>6.4014640029873222</v>
      </c>
      <c r="N435" s="10">
        <f t="shared" si="207"/>
        <v>17.20418640980624</v>
      </c>
      <c r="O435" s="10">
        <f t="shared" si="208"/>
        <v>-0.14810000000000001</v>
      </c>
      <c r="P435" s="10">
        <f t="shared" si="229"/>
        <v>13.068452813267374</v>
      </c>
      <c r="Q435" s="45">
        <f t="shared" si="230"/>
        <v>0.97044953238829446</v>
      </c>
      <c r="R435" s="4">
        <f t="shared" si="231"/>
        <v>810603.75368345599</v>
      </c>
      <c r="S435">
        <f t="shared" si="212"/>
        <v>8.1060375368345594E-4</v>
      </c>
      <c r="T435" s="44">
        <f t="shared" si="213"/>
        <v>1.2657926407985479E-3</v>
      </c>
      <c r="U435" s="45">
        <f t="shared" si="232"/>
        <v>1.4469682305126532</v>
      </c>
      <c r="V435" s="45">
        <f t="shared" si="233"/>
        <v>1.5877180092943814</v>
      </c>
      <c r="W435" s="45">
        <f t="shared" si="234"/>
        <v>1.569669345470927</v>
      </c>
      <c r="X435" s="45">
        <f t="shared" si="235"/>
        <v>1.8048663823454492E-2</v>
      </c>
      <c r="Y435" s="45">
        <f t="shared" si="209"/>
        <v>2.5049177951159945E-2</v>
      </c>
      <c r="Z435" s="10">
        <f t="shared" si="236"/>
        <v>19.789321839758227</v>
      </c>
      <c r="AA435">
        <f t="shared" si="214"/>
        <v>6401717.1422608607</v>
      </c>
      <c r="AB435" s="10">
        <f t="shared" si="215"/>
        <v>6.4017171422608605</v>
      </c>
      <c r="AC435" s="10">
        <f t="shared" si="216"/>
        <v>6.3007171422608605</v>
      </c>
      <c r="AD435" s="3">
        <f t="shared" si="217"/>
        <v>913.80959278620173</v>
      </c>
      <c r="AI435" s="100">
        <f t="shared" si="218"/>
        <v>1.569669345470927</v>
      </c>
    </row>
    <row r="436" spans="2:35">
      <c r="B436" s="39">
        <f t="shared" si="219"/>
        <v>408</v>
      </c>
      <c r="C436" s="45">
        <f t="shared" si="220"/>
        <v>11.985611510790708</v>
      </c>
      <c r="D436" s="10">
        <f t="shared" si="221"/>
        <v>12.514388489209523</v>
      </c>
      <c r="E436" s="40">
        <f t="shared" si="222"/>
        <v>43.971223021580954</v>
      </c>
      <c r="F436" s="40">
        <f t="shared" si="223"/>
        <v>69</v>
      </c>
      <c r="G436" s="3">
        <f t="shared" si="224"/>
        <v>364.11510791367618</v>
      </c>
      <c r="H436" s="3">
        <f t="shared" si="225"/>
        <v>221.47275588995251</v>
      </c>
      <c r="I436">
        <f t="shared" si="210"/>
        <v>2.214727558899525E-4</v>
      </c>
      <c r="J436" s="4">
        <f t="shared" si="226"/>
        <v>2197.1265859445894</v>
      </c>
      <c r="K436" s="40">
        <f t="shared" si="227"/>
        <v>9.9205275931831469</v>
      </c>
      <c r="L436" s="40">
        <f t="shared" si="211"/>
        <v>0</v>
      </c>
      <c r="M436" s="10">
        <f t="shared" si="228"/>
        <v>6.4017171422608605</v>
      </c>
      <c r="N436" s="10">
        <f t="shared" si="207"/>
        <v>17.20418640980624</v>
      </c>
      <c r="O436" s="10">
        <f t="shared" si="208"/>
        <v>-0.14810000000000001</v>
      </c>
      <c r="P436" s="10">
        <f t="shared" si="229"/>
        <v>13.068376280116093</v>
      </c>
      <c r="Q436" s="45">
        <f t="shared" si="230"/>
        <v>0.97269743971597489</v>
      </c>
      <c r="R436" s="4">
        <f t="shared" si="231"/>
        <v>808604.28680001944</v>
      </c>
      <c r="S436">
        <f t="shared" si="212"/>
        <v>8.0860428680001948E-4</v>
      </c>
      <c r="T436" s="44">
        <f t="shared" si="213"/>
        <v>1.2677921076819842E-3</v>
      </c>
      <c r="U436" s="45">
        <f t="shared" si="232"/>
        <v>1.4433990821523748</v>
      </c>
      <c r="V436" s="45">
        <f t="shared" si="233"/>
        <v>1.5877649030849368</v>
      </c>
      <c r="W436" s="45">
        <f t="shared" si="234"/>
        <v>1.5697324114542608</v>
      </c>
      <c r="X436" s="45">
        <f t="shared" si="235"/>
        <v>1.8032491630675995E-2</v>
      </c>
      <c r="Y436" s="45">
        <f t="shared" si="209"/>
        <v>2.5089713321232877E-2</v>
      </c>
      <c r="Z436" s="10">
        <f t="shared" si="236"/>
        <v>19.790084801132423</v>
      </c>
      <c r="AA436">
        <f t="shared" si="214"/>
        <v>6401960.061338543</v>
      </c>
      <c r="AB436" s="10">
        <f t="shared" si="215"/>
        <v>6.401960061338543</v>
      </c>
      <c r="AC436" s="10">
        <f t="shared" si="216"/>
        <v>6.300960061338543</v>
      </c>
      <c r="AD436" s="3">
        <f t="shared" si="217"/>
        <v>913.84482397948409</v>
      </c>
      <c r="AI436" s="100">
        <f t="shared" si="218"/>
        <v>1.5697324114542608</v>
      </c>
    </row>
    <row r="437" spans="2:35">
      <c r="B437" s="39">
        <f t="shared" si="219"/>
        <v>409</v>
      </c>
      <c r="C437" s="45">
        <f t="shared" si="220"/>
        <v>12.014988009591665</v>
      </c>
      <c r="D437" s="10">
        <f t="shared" si="221"/>
        <v>12.485011990408566</v>
      </c>
      <c r="E437" s="40">
        <f t="shared" si="222"/>
        <v>44.029976019182868</v>
      </c>
      <c r="F437" s="40">
        <f t="shared" si="223"/>
        <v>69</v>
      </c>
      <c r="G437" s="3">
        <f t="shared" si="224"/>
        <v>363.88009592326853</v>
      </c>
      <c r="H437" s="3">
        <f t="shared" si="225"/>
        <v>221.47275588995251</v>
      </c>
      <c r="I437">
        <f t="shared" si="210"/>
        <v>2.214727558899525E-4</v>
      </c>
      <c r="J437" s="4">
        <f t="shared" si="226"/>
        <v>2201.1873569578574</v>
      </c>
      <c r="K437" s="40">
        <f t="shared" si="227"/>
        <v>9.938862900372289</v>
      </c>
      <c r="L437" s="40">
        <f t="shared" si="211"/>
        <v>0</v>
      </c>
      <c r="M437" s="10">
        <f t="shared" si="228"/>
        <v>6.401960061338543</v>
      </c>
      <c r="N437" s="10">
        <f t="shared" si="207"/>
        <v>17.20418640980624</v>
      </c>
      <c r="O437" s="10">
        <f t="shared" si="208"/>
        <v>-0.14810000000000001</v>
      </c>
      <c r="P437" s="10">
        <f t="shared" si="229"/>
        <v>13.068302840166242</v>
      </c>
      <c r="Q437" s="45">
        <f t="shared" si="230"/>
        <v>0.97494535967622153</v>
      </c>
      <c r="R437" s="4">
        <f t="shared" si="231"/>
        <v>806604.75297709007</v>
      </c>
      <c r="S437">
        <f t="shared" si="212"/>
        <v>8.0660475297709012E-4</v>
      </c>
      <c r="T437" s="44">
        <f t="shared" si="213"/>
        <v>1.2697916415049136E-3</v>
      </c>
      <c r="U437" s="45">
        <f t="shared" si="232"/>
        <v>1.4398298143017545</v>
      </c>
      <c r="V437" s="45">
        <f t="shared" si="233"/>
        <v>1.5878091363309284</v>
      </c>
      <c r="W437" s="45">
        <f t="shared" si="234"/>
        <v>1.569792931223835</v>
      </c>
      <c r="X437" s="45">
        <f t="shared" si="235"/>
        <v>1.8016205107093342E-2</v>
      </c>
      <c r="Y437" s="45">
        <f t="shared" si="209"/>
        <v>2.5130212308301009E-2</v>
      </c>
      <c r="Z437" s="10">
        <f t="shared" si="236"/>
        <v>19.790815663676554</v>
      </c>
      <c r="AA437">
        <f t="shared" si="214"/>
        <v>6402192.7604778931</v>
      </c>
      <c r="AB437" s="10">
        <f t="shared" si="215"/>
        <v>6.4021927604778934</v>
      </c>
      <c r="AC437" s="10">
        <f t="shared" si="216"/>
        <v>6.3011927604778935</v>
      </c>
      <c r="AD437" s="3">
        <f t="shared" si="217"/>
        <v>913.87857294820788</v>
      </c>
      <c r="AI437" s="100">
        <f t="shared" si="218"/>
        <v>1.569792931223835</v>
      </c>
    </row>
    <row r="438" spans="2:35">
      <c r="B438" s="39">
        <f t="shared" si="219"/>
        <v>410</v>
      </c>
      <c r="C438" s="45">
        <f t="shared" si="220"/>
        <v>12.044364508392622</v>
      </c>
      <c r="D438" s="10">
        <f t="shared" si="221"/>
        <v>12.455635491607609</v>
      </c>
      <c r="E438" s="40">
        <f t="shared" si="222"/>
        <v>44.088729016784782</v>
      </c>
      <c r="F438" s="40">
        <f t="shared" si="223"/>
        <v>69</v>
      </c>
      <c r="G438" s="3">
        <f t="shared" si="224"/>
        <v>363.64508393286087</v>
      </c>
      <c r="H438" s="3">
        <f t="shared" si="225"/>
        <v>221.47275588995251</v>
      </c>
      <c r="I438">
        <f t="shared" si="210"/>
        <v>2.214727558899525E-4</v>
      </c>
      <c r="J438" s="4">
        <f t="shared" si="226"/>
        <v>2205.2535502260998</v>
      </c>
      <c r="K438" s="40">
        <f t="shared" si="227"/>
        <v>9.9572226902791918</v>
      </c>
      <c r="L438" s="40">
        <f t="shared" si="211"/>
        <v>0</v>
      </c>
      <c r="M438" s="10">
        <f t="shared" si="228"/>
        <v>6.4021927604778934</v>
      </c>
      <c r="N438" s="10">
        <f t="shared" si="207"/>
        <v>17.20418640980624</v>
      </c>
      <c r="O438" s="10">
        <f t="shared" si="208"/>
        <v>-0.14810000000000001</v>
      </c>
      <c r="P438" s="10">
        <f t="shared" si="229"/>
        <v>13.068232492935881</v>
      </c>
      <c r="Q438" s="45">
        <f t="shared" si="230"/>
        <v>0.97719329173718217</v>
      </c>
      <c r="R438" s="4">
        <f t="shared" si="231"/>
        <v>804605.15603755228</v>
      </c>
      <c r="S438">
        <f t="shared" si="212"/>
        <v>8.0460515603755225E-4</v>
      </c>
      <c r="T438" s="44">
        <f t="shared" si="213"/>
        <v>1.2717912384444517E-3</v>
      </c>
      <c r="U438" s="45">
        <f t="shared" si="232"/>
        <v>1.4362604337848328</v>
      </c>
      <c r="V438" s="45">
        <f t="shared" si="233"/>
        <v>1.5878507090629512</v>
      </c>
      <c r="W438" s="45">
        <f t="shared" si="234"/>
        <v>1.5698509048438063</v>
      </c>
      <c r="X438" s="45">
        <f t="shared" si="235"/>
        <v>1.7999804219144933E-2</v>
      </c>
      <c r="Y438" s="45">
        <f t="shared" si="209"/>
        <v>2.5170674645296241E-2</v>
      </c>
      <c r="Z438" s="10">
        <f t="shared" si="236"/>
        <v>19.79151442817211</v>
      </c>
      <c r="AA438">
        <f t="shared" si="214"/>
        <v>6402415.2399277305</v>
      </c>
      <c r="AB438" s="10">
        <f t="shared" si="215"/>
        <v>6.4024152399277305</v>
      </c>
      <c r="AC438" s="10">
        <f t="shared" si="216"/>
        <v>6.3014152399277306</v>
      </c>
      <c r="AD438" s="3">
        <f t="shared" si="217"/>
        <v>913.91083972845979</v>
      </c>
      <c r="AI438" s="100">
        <f t="shared" si="218"/>
        <v>1.5698509048438063</v>
      </c>
    </row>
    <row r="439" spans="2:35">
      <c r="B439" s="39">
        <f t="shared" si="219"/>
        <v>411</v>
      </c>
      <c r="C439" s="45">
        <f t="shared" si="220"/>
        <v>12.073741007193579</v>
      </c>
      <c r="D439" s="10">
        <f t="shared" si="221"/>
        <v>12.426258992806652</v>
      </c>
      <c r="E439" s="40">
        <f t="shared" si="222"/>
        <v>44.147482014386696</v>
      </c>
      <c r="F439" s="40">
        <f t="shared" si="223"/>
        <v>69</v>
      </c>
      <c r="G439" s="3">
        <f t="shared" si="224"/>
        <v>363.41007194245321</v>
      </c>
      <c r="H439" s="3">
        <f t="shared" si="225"/>
        <v>221.47275588995251</v>
      </c>
      <c r="I439">
        <f t="shared" si="210"/>
        <v>2.214727558899525E-4</v>
      </c>
      <c r="J439" s="4">
        <f t="shared" si="226"/>
        <v>2209.3251657493161</v>
      </c>
      <c r="K439" s="40">
        <f t="shared" si="227"/>
        <v>9.9756069629038553</v>
      </c>
      <c r="L439" s="40">
        <f t="shared" si="211"/>
        <v>0</v>
      </c>
      <c r="M439" s="10">
        <f t="shared" si="228"/>
        <v>6.4024152399277305</v>
      </c>
      <c r="N439" s="10">
        <f t="shared" si="207"/>
        <v>17.20418640980624</v>
      </c>
      <c r="O439" s="10">
        <f t="shared" si="208"/>
        <v>-0.14810000000000001</v>
      </c>
      <c r="P439" s="10">
        <f t="shared" si="229"/>
        <v>13.068165237962779</v>
      </c>
      <c r="Q439" s="45">
        <f t="shared" si="230"/>
        <v>0.97944123536706673</v>
      </c>
      <c r="R439" s="4">
        <f t="shared" si="231"/>
        <v>802605.49980429118</v>
      </c>
      <c r="S439">
        <f t="shared" si="212"/>
        <v>8.0260549980429113E-4</v>
      </c>
      <c r="T439" s="44">
        <f t="shared" si="213"/>
        <v>1.2737908946777127E-3</v>
      </c>
      <c r="U439" s="45">
        <f t="shared" si="232"/>
        <v>1.43269094742565</v>
      </c>
      <c r="V439" s="45">
        <f t="shared" si="233"/>
        <v>1.5878896213096594</v>
      </c>
      <c r="W439" s="45">
        <f t="shared" si="234"/>
        <v>1.5699063323761664</v>
      </c>
      <c r="X439" s="45">
        <f t="shared" si="235"/>
        <v>1.7983288933492991E-2</v>
      </c>
      <c r="Y439" s="45">
        <f t="shared" si="209"/>
        <v>2.5211100065098659E-2</v>
      </c>
      <c r="Z439" s="10">
        <f t="shared" si="236"/>
        <v>19.792181095373138</v>
      </c>
      <c r="AA439">
        <f t="shared" si="214"/>
        <v>6402627.4999281345</v>
      </c>
      <c r="AB439" s="10">
        <f t="shared" si="215"/>
        <v>6.4026274999281343</v>
      </c>
      <c r="AC439" s="10">
        <f t="shared" si="216"/>
        <v>6.3016274999281343</v>
      </c>
      <c r="AD439" s="3">
        <f t="shared" si="217"/>
        <v>913.94162435505939</v>
      </c>
      <c r="AI439" s="100">
        <f t="shared" si="218"/>
        <v>1.5699063323761664</v>
      </c>
    </row>
    <row r="440" spans="2:35">
      <c r="B440" s="39">
        <f t="shared" si="219"/>
        <v>412</v>
      </c>
      <c r="C440" s="45">
        <f t="shared" si="220"/>
        <v>12.103117505994536</v>
      </c>
      <c r="D440" s="10">
        <f t="shared" si="221"/>
        <v>12.396882494005695</v>
      </c>
      <c r="E440" s="40">
        <f t="shared" si="222"/>
        <v>44.20623501198861</v>
      </c>
      <c r="F440" s="40">
        <f t="shared" si="223"/>
        <v>69</v>
      </c>
      <c r="G440" s="3">
        <f t="shared" si="224"/>
        <v>363.17505995204556</v>
      </c>
      <c r="H440" s="3">
        <f t="shared" si="225"/>
        <v>221.47275588995251</v>
      </c>
      <c r="I440">
        <f t="shared" si="210"/>
        <v>2.214727558899525E-4</v>
      </c>
      <c r="J440" s="4">
        <f t="shared" si="226"/>
        <v>2213.4022035275066</v>
      </c>
      <c r="K440" s="40">
        <f t="shared" si="227"/>
        <v>9.9940157182462794</v>
      </c>
      <c r="L440" s="40">
        <f t="shared" si="211"/>
        <v>0</v>
      </c>
      <c r="M440" s="10">
        <f t="shared" si="228"/>
        <v>6.4026274999281343</v>
      </c>
      <c r="N440" s="10">
        <f t="shared" si="207"/>
        <v>17.20418640980624</v>
      </c>
      <c r="O440" s="10">
        <f t="shared" si="208"/>
        <v>-0.14810000000000001</v>
      </c>
      <c r="P440" s="10">
        <f t="shared" si="229"/>
        <v>13.0681010748044</v>
      </c>
      <c r="Q440" s="45">
        <f t="shared" si="230"/>
        <v>0.98168919003414501</v>
      </c>
      <c r="R440" s="4">
        <f t="shared" si="231"/>
        <v>800605.78810019116</v>
      </c>
      <c r="S440">
        <f t="shared" si="212"/>
        <v>8.0060578810019114E-4</v>
      </c>
      <c r="T440" s="44">
        <f t="shared" si="213"/>
        <v>1.2757906063818126E-3</v>
      </c>
      <c r="U440" s="45">
        <f t="shared" si="232"/>
        <v>1.4291213620482461</v>
      </c>
      <c r="V440" s="45">
        <f t="shared" si="233"/>
        <v>1.5879258730974743</v>
      </c>
      <c r="W440" s="45">
        <f t="shared" si="234"/>
        <v>1.5699592138807261</v>
      </c>
      <c r="X440" s="45">
        <f t="shared" si="235"/>
        <v>1.7966659216748226E-2</v>
      </c>
      <c r="Y440" s="45">
        <f t="shared" si="209"/>
        <v>2.5251488300536754E-2</v>
      </c>
      <c r="Z440" s="10">
        <f t="shared" si="236"/>
        <v>19.792815666005623</v>
      </c>
      <c r="AA440">
        <f t="shared" si="214"/>
        <v>6402829.5407102518</v>
      </c>
      <c r="AB440" s="10">
        <f t="shared" si="215"/>
        <v>6.4028295407102513</v>
      </c>
      <c r="AC440" s="10">
        <f t="shared" si="216"/>
        <v>6.3018295407102514</v>
      </c>
      <c r="AD440" s="3">
        <f t="shared" si="217"/>
        <v>913.9709268615303</v>
      </c>
      <c r="AI440" s="100">
        <f t="shared" si="218"/>
        <v>1.5699592138807261</v>
      </c>
    </row>
    <row r="441" spans="2:35">
      <c r="B441" s="39">
        <f t="shared" si="219"/>
        <v>413</v>
      </c>
      <c r="C441" s="45">
        <f t="shared" si="220"/>
        <v>12.132494004795493</v>
      </c>
      <c r="D441" s="10">
        <f t="shared" si="221"/>
        <v>12.367505995204738</v>
      </c>
      <c r="E441" s="40">
        <f t="shared" si="222"/>
        <v>44.264988009590525</v>
      </c>
      <c r="F441" s="40">
        <f t="shared" si="223"/>
        <v>69</v>
      </c>
      <c r="G441" s="3">
        <f t="shared" si="224"/>
        <v>362.9400479616379</v>
      </c>
      <c r="H441" s="3">
        <f t="shared" si="225"/>
        <v>221.47275588995251</v>
      </c>
      <c r="I441">
        <f t="shared" si="210"/>
        <v>2.214727558899525E-4</v>
      </c>
      <c r="J441" s="4">
        <f t="shared" si="226"/>
        <v>2217.4846635606705</v>
      </c>
      <c r="K441" s="40">
        <f t="shared" si="227"/>
        <v>10.012448956306461</v>
      </c>
      <c r="L441" s="40">
        <f t="shared" si="211"/>
        <v>0</v>
      </c>
      <c r="M441" s="10">
        <f t="shared" si="228"/>
        <v>6.4028295407102513</v>
      </c>
      <c r="N441" s="10">
        <f t="shared" si="207"/>
        <v>17.20418640980624</v>
      </c>
      <c r="O441" s="10">
        <f t="shared" si="208"/>
        <v>-0.14810000000000001</v>
      </c>
      <c r="P441" s="10">
        <f t="shared" si="229"/>
        <v>13.068040003037948</v>
      </c>
      <c r="Q441" s="45">
        <f t="shared" si="230"/>
        <v>0.98393715520674385</v>
      </c>
      <c r="R441" s="4">
        <f t="shared" si="231"/>
        <v>798606.02474813757</v>
      </c>
      <c r="S441">
        <f t="shared" si="212"/>
        <v>7.9860602474813756E-4</v>
      </c>
      <c r="T441" s="44">
        <f t="shared" si="213"/>
        <v>1.2777903697338664E-3</v>
      </c>
      <c r="U441" s="45">
        <f t="shared" si="232"/>
        <v>1.4255516844766629</v>
      </c>
      <c r="V441" s="45">
        <f t="shared" si="233"/>
        <v>1.5879594644504043</v>
      </c>
      <c r="W441" s="45">
        <f t="shared" si="234"/>
        <v>1.5700095494150732</v>
      </c>
      <c r="X441" s="45">
        <f t="shared" si="235"/>
        <v>1.7949915035331054E-2</v>
      </c>
      <c r="Y441" s="45">
        <f t="shared" si="209"/>
        <v>2.5291839084387285E-2</v>
      </c>
      <c r="Z441" s="10">
        <f t="shared" si="236"/>
        <v>19.79341814076669</v>
      </c>
      <c r="AA441">
        <f t="shared" si="214"/>
        <v>6403021.3624960398</v>
      </c>
      <c r="AB441" s="10">
        <f t="shared" si="215"/>
        <v>6.4030213624960401</v>
      </c>
      <c r="AC441" s="10">
        <f t="shared" si="216"/>
        <v>6.3020213624960402</v>
      </c>
      <c r="AD441" s="3">
        <f t="shared" si="217"/>
        <v>913.99874728006375</v>
      </c>
      <c r="AI441" s="100">
        <f t="shared" si="218"/>
        <v>1.5700095494150732</v>
      </c>
    </row>
    <row r="442" spans="2:35">
      <c r="B442" s="39">
        <f t="shared" si="219"/>
        <v>414</v>
      </c>
      <c r="C442" s="45">
        <f t="shared" si="220"/>
        <v>12.16187050359645</v>
      </c>
      <c r="D442" s="10">
        <f t="shared" si="221"/>
        <v>12.338129496403781</v>
      </c>
      <c r="E442" s="40">
        <f t="shared" si="222"/>
        <v>44.323741007192439</v>
      </c>
      <c r="F442" s="40">
        <f t="shared" si="223"/>
        <v>69</v>
      </c>
      <c r="G442" s="3">
        <f t="shared" si="224"/>
        <v>362.70503597123025</v>
      </c>
      <c r="H442" s="3">
        <f t="shared" si="225"/>
        <v>221.47275588995251</v>
      </c>
      <c r="I442">
        <f t="shared" si="210"/>
        <v>2.214727558899525E-4</v>
      </c>
      <c r="J442" s="4">
        <f t="shared" si="226"/>
        <v>2221.5725458488087</v>
      </c>
      <c r="K442" s="40">
        <f t="shared" si="227"/>
        <v>10.030906677084403</v>
      </c>
      <c r="L442" s="40">
        <f t="shared" si="211"/>
        <v>0</v>
      </c>
      <c r="M442" s="10">
        <f t="shared" si="228"/>
        <v>6.4030213624960401</v>
      </c>
      <c r="N442" s="10">
        <f t="shared" si="207"/>
        <v>17.20418640980624</v>
      </c>
      <c r="O442" s="10">
        <f t="shared" si="208"/>
        <v>-0.14810000000000001</v>
      </c>
      <c r="P442" s="10">
        <f t="shared" si="229"/>
        <v>13.067982022260459</v>
      </c>
      <c r="Q442" s="45">
        <f t="shared" si="230"/>
        <v>0.9861851303532444</v>
      </c>
      <c r="R442" s="4">
        <f t="shared" si="231"/>
        <v>796606.2135710147</v>
      </c>
      <c r="S442">
        <f t="shared" si="212"/>
        <v>7.9660621357101466E-4</v>
      </c>
      <c r="T442" s="44">
        <f t="shared" si="213"/>
        <v>1.2797901809109891E-3</v>
      </c>
      <c r="U442" s="45">
        <f t="shared" si="232"/>
        <v>1.4219819215349399</v>
      </c>
      <c r="V442" s="45">
        <f t="shared" si="233"/>
        <v>1.5879903953921208</v>
      </c>
      <c r="W442" s="45">
        <f t="shared" si="234"/>
        <v>1.5700573390345047</v>
      </c>
      <c r="X442" s="45">
        <f t="shared" si="235"/>
        <v>1.7933056357616106E-2</v>
      </c>
      <c r="Y442" s="45">
        <f t="shared" si="209"/>
        <v>2.5332152149380002E-2</v>
      </c>
      <c r="Z442" s="10">
        <f t="shared" si="236"/>
        <v>19.79398852032752</v>
      </c>
      <c r="AA442">
        <f t="shared" si="214"/>
        <v>6403202.9654991953</v>
      </c>
      <c r="AB442" s="10">
        <f t="shared" si="215"/>
        <v>6.4032029654991955</v>
      </c>
      <c r="AC442" s="10">
        <f t="shared" si="216"/>
        <v>6.3022029654991956</v>
      </c>
      <c r="AD442" s="3">
        <f t="shared" si="217"/>
        <v>914.02508564165271</v>
      </c>
      <c r="AI442" s="100">
        <f t="shared" si="218"/>
        <v>1.5700573390345047</v>
      </c>
    </row>
    <row r="443" spans="2:35">
      <c r="B443" s="39">
        <f t="shared" si="219"/>
        <v>415</v>
      </c>
      <c r="C443" s="45">
        <f t="shared" si="220"/>
        <v>12.191247002397407</v>
      </c>
      <c r="D443" s="10">
        <f t="shared" si="221"/>
        <v>12.308752997602824</v>
      </c>
      <c r="E443" s="40">
        <f t="shared" si="222"/>
        <v>44.382494004794353</v>
      </c>
      <c r="F443" s="40">
        <f t="shared" si="223"/>
        <v>69</v>
      </c>
      <c r="G443" s="3">
        <f t="shared" si="224"/>
        <v>362.47002398082259</v>
      </c>
      <c r="H443" s="3">
        <f t="shared" si="225"/>
        <v>221.47275588995251</v>
      </c>
      <c r="I443">
        <f t="shared" si="210"/>
        <v>2.214727558899525E-4</v>
      </c>
      <c r="J443" s="4">
        <f t="shared" si="226"/>
        <v>2225.6658503919198</v>
      </c>
      <c r="K443" s="40">
        <f t="shared" si="227"/>
        <v>10.0493888805801</v>
      </c>
      <c r="L443" s="40">
        <f t="shared" si="211"/>
        <v>0</v>
      </c>
      <c r="M443" s="10">
        <f t="shared" si="228"/>
        <v>6.4032029654991955</v>
      </c>
      <c r="N443" s="10">
        <f t="shared" si="207"/>
        <v>17.20418640980624</v>
      </c>
      <c r="O443" s="10">
        <f t="shared" si="208"/>
        <v>-0.14810000000000001</v>
      </c>
      <c r="P443" s="10">
        <f t="shared" si="229"/>
        <v>13.067927132088485</v>
      </c>
      <c r="Q443" s="45">
        <f t="shared" si="230"/>
        <v>0.98843311494207975</v>
      </c>
      <c r="R443" s="4">
        <f t="shared" si="231"/>
        <v>794606.358391708</v>
      </c>
      <c r="S443">
        <f t="shared" si="212"/>
        <v>7.9460635839170802E-4</v>
      </c>
      <c r="T443" s="44">
        <f t="shared" si="213"/>
        <v>1.2817900360902958E-3</v>
      </c>
      <c r="U443" s="45">
        <f t="shared" si="232"/>
        <v>1.4184120800471185</v>
      </c>
      <c r="V443" s="45">
        <f t="shared" si="233"/>
        <v>1.5880186659423865</v>
      </c>
      <c r="W443" s="45">
        <f t="shared" si="234"/>
        <v>1.5701025827922603</v>
      </c>
      <c r="X443" s="45">
        <f t="shared" si="235"/>
        <v>1.7916083150126161E-2</v>
      </c>
      <c r="Y443" s="45">
        <f t="shared" si="209"/>
        <v>2.5372427228193779E-2</v>
      </c>
      <c r="Z443" s="10">
        <f t="shared" si="236"/>
        <v>19.794526805329618</v>
      </c>
      <c r="AA443">
        <f t="shared" si="214"/>
        <v>6403374.3499239674</v>
      </c>
      <c r="AB443" s="10">
        <f t="shared" si="215"/>
        <v>6.4033743499239675</v>
      </c>
      <c r="AC443" s="10">
        <f t="shared" si="216"/>
        <v>6.3023743499239675</v>
      </c>
      <c r="AD443" s="3">
        <f t="shared" si="217"/>
        <v>914.04994197591986</v>
      </c>
      <c r="AI443" s="100">
        <f t="shared" si="218"/>
        <v>1.5701025827922603</v>
      </c>
    </row>
    <row r="444" spans="2:35">
      <c r="B444" s="39">
        <f t="shared" si="219"/>
        <v>416</v>
      </c>
      <c r="C444" s="45">
        <f t="shared" si="220"/>
        <v>12.220623501198364</v>
      </c>
      <c r="D444" s="10">
        <f t="shared" si="221"/>
        <v>12.279376498801867</v>
      </c>
      <c r="E444" s="40">
        <f t="shared" si="222"/>
        <v>44.441247002396267</v>
      </c>
      <c r="F444" s="40">
        <f t="shared" si="223"/>
        <v>69</v>
      </c>
      <c r="G444" s="3">
        <f t="shared" si="224"/>
        <v>362.23501199041493</v>
      </c>
      <c r="H444" s="3">
        <f t="shared" si="225"/>
        <v>221.47275588995251</v>
      </c>
      <c r="I444">
        <f t="shared" si="210"/>
        <v>2.214727558899525E-4</v>
      </c>
      <c r="J444" s="4">
        <f t="shared" si="226"/>
        <v>2229.7645771900061</v>
      </c>
      <c r="K444" s="40">
        <f t="shared" si="227"/>
        <v>10.067895566793565</v>
      </c>
      <c r="L444" s="40">
        <f t="shared" si="211"/>
        <v>0</v>
      </c>
      <c r="M444" s="10">
        <f t="shared" si="228"/>
        <v>6.4033743499239675</v>
      </c>
      <c r="N444" s="10">
        <f t="shared" si="207"/>
        <v>17.20418640980624</v>
      </c>
      <c r="O444" s="10">
        <f t="shared" si="208"/>
        <v>-0.14810000000000001</v>
      </c>
      <c r="P444" s="10">
        <f t="shared" si="229"/>
        <v>13.067875332158463</v>
      </c>
      <c r="Q444" s="45">
        <f t="shared" si="230"/>
        <v>0.99068110844173196</v>
      </c>
      <c r="R444" s="4">
        <f t="shared" si="231"/>
        <v>792606.46303310129</v>
      </c>
      <c r="S444">
        <f t="shared" si="212"/>
        <v>7.9260646303310129E-4</v>
      </c>
      <c r="T444" s="44">
        <f t="shared" si="213"/>
        <v>1.2837899314489024E-3</v>
      </c>
      <c r="U444" s="45">
        <f t="shared" si="232"/>
        <v>1.4148421668372375</v>
      </c>
      <c r="V444" s="45">
        <f t="shared" si="233"/>
        <v>1.5880442761214764</v>
      </c>
      <c r="W444" s="45">
        <f t="shared" si="234"/>
        <v>1.5701452807392255</v>
      </c>
      <c r="X444" s="45">
        <f t="shared" si="235"/>
        <v>1.7898995382250815E-2</v>
      </c>
      <c r="Y444" s="45">
        <f t="shared" si="209"/>
        <v>2.5412664053463385E-2</v>
      </c>
      <c r="Z444" s="10">
        <f t="shared" si="236"/>
        <v>19.795032996389303</v>
      </c>
      <c r="AA444">
        <f t="shared" si="214"/>
        <v>6403535.5159665858</v>
      </c>
      <c r="AB444" s="10">
        <f t="shared" si="215"/>
        <v>6.4035355159665857</v>
      </c>
      <c r="AC444" s="10">
        <f t="shared" si="216"/>
        <v>6.3025355159665857</v>
      </c>
      <c r="AD444" s="3">
        <f t="shared" si="217"/>
        <v>914.07331631132502</v>
      </c>
      <c r="AI444" s="100">
        <f t="shared" si="218"/>
        <v>1.5701452807392255</v>
      </c>
    </row>
    <row r="445" spans="2:35">
      <c r="B445" s="39">
        <f t="shared" si="219"/>
        <v>417</v>
      </c>
      <c r="C445" s="45">
        <f t="shared" si="220"/>
        <v>12.249999999999321</v>
      </c>
      <c r="D445" s="10">
        <f t="shared" si="221"/>
        <v>12.250000000000909</v>
      </c>
      <c r="E445" s="40">
        <f t="shared" si="222"/>
        <v>44.499999999998181</v>
      </c>
      <c r="F445" s="40">
        <f t="shared" si="223"/>
        <v>69</v>
      </c>
      <c r="G445" s="3">
        <f t="shared" si="224"/>
        <v>362.00000000000728</v>
      </c>
      <c r="H445" s="3">
        <f t="shared" si="225"/>
        <v>221.47275588995251</v>
      </c>
      <c r="I445">
        <f t="shared" si="210"/>
        <v>2.214727558899525E-4</v>
      </c>
      <c r="J445" s="4">
        <f t="shared" si="226"/>
        <v>2233.8687262430653</v>
      </c>
      <c r="K445" s="40">
        <f t="shared" si="227"/>
        <v>10.086426735724782</v>
      </c>
      <c r="L445" s="40">
        <f t="shared" si="211"/>
        <v>0</v>
      </c>
      <c r="M445" s="10">
        <f t="shared" si="228"/>
        <v>6.4035355159665857</v>
      </c>
      <c r="N445" s="10">
        <f t="shared" si="207"/>
        <v>17.20418640980624</v>
      </c>
      <c r="O445" s="10">
        <f t="shared" si="208"/>
        <v>-0.14810000000000001</v>
      </c>
      <c r="P445" s="10">
        <f t="shared" si="229"/>
        <v>13.06782662212628</v>
      </c>
      <c r="Q445" s="45">
        <f t="shared" si="230"/>
        <v>0.99292911032072984</v>
      </c>
      <c r="R445" s="4">
        <f t="shared" si="231"/>
        <v>790606.53131808038</v>
      </c>
      <c r="S445">
        <f t="shared" si="212"/>
        <v>7.9060653131808037E-4</v>
      </c>
      <c r="T445" s="44">
        <f t="shared" si="213"/>
        <v>1.2857898631639234E-3</v>
      </c>
      <c r="U445" s="45">
        <f t="shared" si="232"/>
        <v>1.4112721887293396</v>
      </c>
      <c r="V445" s="45">
        <f t="shared" si="233"/>
        <v>1.5880672259443953</v>
      </c>
      <c r="W445" s="45">
        <f t="shared" si="234"/>
        <v>1.5701854329242881</v>
      </c>
      <c r="X445" s="45">
        <f t="shared" si="235"/>
        <v>1.7881793020107173E-2</v>
      </c>
      <c r="Y445" s="45">
        <f t="shared" si="209"/>
        <v>2.5452862357772436E-2</v>
      </c>
      <c r="Z445" s="10">
        <f t="shared" si="236"/>
        <v>19.795507094091541</v>
      </c>
      <c r="AA445">
        <f t="shared" si="214"/>
        <v>6403686.4638132975</v>
      </c>
      <c r="AB445" s="10">
        <f t="shared" si="215"/>
        <v>6.4036864638132975</v>
      </c>
      <c r="AC445" s="10">
        <f t="shared" si="216"/>
        <v>6.3026864638132976</v>
      </c>
      <c r="AD445" s="3">
        <f t="shared" si="217"/>
        <v>914.09520867487993</v>
      </c>
      <c r="AI445" s="100">
        <f t="shared" si="218"/>
        <v>1.5701854329242881</v>
      </c>
    </row>
    <row r="446" spans="2:35">
      <c r="B446" s="39">
        <f t="shared" si="219"/>
        <v>418</v>
      </c>
      <c r="C446" s="45">
        <f t="shared" si="220"/>
        <v>12.279376498800278</v>
      </c>
      <c r="D446" s="10">
        <f t="shared" si="221"/>
        <v>12.220623501199952</v>
      </c>
      <c r="E446" s="40">
        <f t="shared" si="222"/>
        <v>44.558752997600095</v>
      </c>
      <c r="F446" s="40">
        <f t="shared" si="223"/>
        <v>69</v>
      </c>
      <c r="G446" s="3">
        <f t="shared" si="224"/>
        <v>361.76498800959962</v>
      </c>
      <c r="H446" s="3">
        <f t="shared" si="225"/>
        <v>221.47275588995251</v>
      </c>
      <c r="I446">
        <f t="shared" si="210"/>
        <v>2.214727558899525E-4</v>
      </c>
      <c r="J446" s="4">
        <f t="shared" si="226"/>
        <v>2237.9782975510989</v>
      </c>
      <c r="K446" s="40">
        <f t="shared" si="227"/>
        <v>10.104982387373763</v>
      </c>
      <c r="L446" s="40">
        <f t="shared" si="211"/>
        <v>0</v>
      </c>
      <c r="M446" s="10">
        <f t="shared" si="228"/>
        <v>6.4036864638132975</v>
      </c>
      <c r="N446" s="10">
        <f t="shared" si="207"/>
        <v>17.20418640980624</v>
      </c>
      <c r="O446" s="10">
        <f t="shared" si="208"/>
        <v>-0.14810000000000001</v>
      </c>
      <c r="P446" s="10">
        <f t="shared" si="229"/>
        <v>13.067781001667845</v>
      </c>
      <c r="Q446" s="45">
        <f t="shared" si="230"/>
        <v>0.99517712004764591</v>
      </c>
      <c r="R446" s="4">
        <f t="shared" si="231"/>
        <v>788606.56706952956</v>
      </c>
      <c r="S446">
        <f t="shared" si="212"/>
        <v>7.8860656706952954E-4</v>
      </c>
      <c r="T446" s="44">
        <f t="shared" si="213"/>
        <v>1.2877898274124742E-3</v>
      </c>
      <c r="U446" s="45">
        <f t="shared" si="232"/>
        <v>1.4077021525474638</v>
      </c>
      <c r="V446" s="45">
        <f t="shared" si="233"/>
        <v>1.5880875154278487</v>
      </c>
      <c r="W446" s="45">
        <f t="shared" si="234"/>
        <v>1.5702230393938492</v>
      </c>
      <c r="X446" s="45">
        <f t="shared" si="235"/>
        <v>1.7864476033999432E-2</v>
      </c>
      <c r="Y446" s="45">
        <f t="shared" si="209"/>
        <v>2.5493021873663126E-2</v>
      </c>
      <c r="Z446" s="10">
        <f t="shared" si="236"/>
        <v>19.795949098996733</v>
      </c>
      <c r="AA446">
        <f t="shared" si="214"/>
        <v>6403827.1936425287</v>
      </c>
      <c r="AB446" s="10">
        <f t="shared" si="215"/>
        <v>6.4038271936425284</v>
      </c>
      <c r="AC446" s="10">
        <f t="shared" si="216"/>
        <v>6.3028271936425284</v>
      </c>
      <c r="AD446" s="3">
        <f t="shared" si="217"/>
        <v>914.11561909246245</v>
      </c>
      <c r="AI446" s="100">
        <f t="shared" si="218"/>
        <v>1.5702230393938492</v>
      </c>
    </row>
    <row r="447" spans="2:35">
      <c r="B447" s="39">
        <f t="shared" si="219"/>
        <v>419</v>
      </c>
      <c r="C447" s="45">
        <f t="shared" si="220"/>
        <v>12.308752997601236</v>
      </c>
      <c r="D447" s="10">
        <f t="shared" si="221"/>
        <v>12.191247002398995</v>
      </c>
      <c r="E447" s="40">
        <f t="shared" si="222"/>
        <v>44.617505995202009</v>
      </c>
      <c r="F447" s="40">
        <f t="shared" si="223"/>
        <v>69</v>
      </c>
      <c r="G447" s="3">
        <f t="shared" si="224"/>
        <v>361.52997601919196</v>
      </c>
      <c r="H447" s="3">
        <f t="shared" si="225"/>
        <v>221.47275588995251</v>
      </c>
      <c r="I447">
        <f t="shared" si="210"/>
        <v>2.214727558899525E-4</v>
      </c>
      <c r="J447" s="4">
        <f t="shared" si="226"/>
        <v>2242.0932911141063</v>
      </c>
      <c r="K447" s="40">
        <f t="shared" si="227"/>
        <v>10.123562521740501</v>
      </c>
      <c r="L447" s="40">
        <f t="shared" si="211"/>
        <v>0</v>
      </c>
      <c r="M447" s="10">
        <f t="shared" si="228"/>
        <v>6.4038271936425284</v>
      </c>
      <c r="N447" s="10">
        <f t="shared" si="207"/>
        <v>17.20418640980624</v>
      </c>
      <c r="O447" s="10">
        <f t="shared" si="208"/>
        <v>-0.14810000000000001</v>
      </c>
      <c r="P447" s="10">
        <f t="shared" si="229"/>
        <v>13.067738470478439</v>
      </c>
      <c r="Q447" s="45">
        <f t="shared" si="230"/>
        <v>0.99742513709109404</v>
      </c>
      <c r="R447" s="4">
        <f t="shared" si="231"/>
        <v>786606.57411033357</v>
      </c>
      <c r="S447">
        <f t="shared" si="212"/>
        <v>7.8660657411033362E-4</v>
      </c>
      <c r="T447" s="44">
        <f t="shared" si="213"/>
        <v>1.2897898203716703E-3</v>
      </c>
      <c r="U447" s="45">
        <f t="shared" si="232"/>
        <v>1.4041320651156508</v>
      </c>
      <c r="V447" s="45">
        <f t="shared" si="233"/>
        <v>1.5881051445842194</v>
      </c>
      <c r="W447" s="45">
        <f t="shared" si="234"/>
        <v>1.5702581001923608</v>
      </c>
      <c r="X447" s="45">
        <f t="shared" si="235"/>
        <v>1.784704439185858E-2</v>
      </c>
      <c r="Y447" s="45">
        <f t="shared" si="209"/>
        <v>2.5533142333631197E-2</v>
      </c>
      <c r="Z447" s="10">
        <f t="shared" si="236"/>
        <v>19.796359011636081</v>
      </c>
      <c r="AA447">
        <f t="shared" si="214"/>
        <v>6403957.7056234078</v>
      </c>
      <c r="AB447" s="10">
        <f t="shared" si="215"/>
        <v>6.4039577056234078</v>
      </c>
      <c r="AC447" s="10">
        <f t="shared" si="216"/>
        <v>6.3029577056234078</v>
      </c>
      <c r="AD447" s="3">
        <f t="shared" si="217"/>
        <v>914.13454758860155</v>
      </c>
      <c r="AI447" s="100">
        <f t="shared" si="218"/>
        <v>1.5702581001923608</v>
      </c>
    </row>
    <row r="448" spans="2:35">
      <c r="B448" s="39">
        <f t="shared" si="219"/>
        <v>420</v>
      </c>
      <c r="C448" s="45">
        <f t="shared" si="220"/>
        <v>12.338129496402193</v>
      </c>
      <c r="D448" s="10">
        <f t="shared" si="221"/>
        <v>12.161870503598038</v>
      </c>
      <c r="E448" s="40">
        <f t="shared" si="222"/>
        <v>44.676258992803923</v>
      </c>
      <c r="F448" s="40">
        <f t="shared" si="223"/>
        <v>69</v>
      </c>
      <c r="G448" s="3">
        <f t="shared" si="224"/>
        <v>361.29496402878431</v>
      </c>
      <c r="H448" s="3">
        <f t="shared" si="225"/>
        <v>221.47275588995251</v>
      </c>
      <c r="I448">
        <f t="shared" si="210"/>
        <v>2.214727558899525E-4</v>
      </c>
      <c r="J448" s="4">
        <f t="shared" si="226"/>
        <v>2246.2137069320879</v>
      </c>
      <c r="K448" s="40">
        <f t="shared" si="227"/>
        <v>10.142167138825002</v>
      </c>
      <c r="L448" s="40">
        <f t="shared" si="211"/>
        <v>0</v>
      </c>
      <c r="M448" s="10">
        <f t="shared" si="228"/>
        <v>6.4039577056234078</v>
      </c>
      <c r="N448" s="10">
        <f t="shared" si="207"/>
        <v>17.20418640980624</v>
      </c>
      <c r="O448" s="10">
        <f t="shared" si="208"/>
        <v>-0.14810000000000001</v>
      </c>
      <c r="P448" s="10">
        <f t="shared" si="229"/>
        <v>13.067699028273154</v>
      </c>
      <c r="Q448" s="45">
        <f t="shared" si="230"/>
        <v>0.99967316091972669</v>
      </c>
      <c r="R448" s="4">
        <f t="shared" si="231"/>
        <v>784606.55626337731</v>
      </c>
      <c r="S448">
        <f t="shared" si="212"/>
        <v>7.8460655626337735E-4</v>
      </c>
      <c r="T448" s="44">
        <f t="shared" si="213"/>
        <v>1.2917898382186265E-3</v>
      </c>
      <c r="U448" s="45">
        <f t="shared" si="232"/>
        <v>1.4005619332579415</v>
      </c>
      <c r="V448" s="45">
        <f t="shared" si="233"/>
        <v>1.5881201134245915</v>
      </c>
      <c r="W448" s="45">
        <f t="shared" si="234"/>
        <v>1.5702906153619587</v>
      </c>
      <c r="X448" s="45">
        <f t="shared" si="235"/>
        <v>1.7829498062632787E-2</v>
      </c>
      <c r="Y448" s="45">
        <f t="shared" si="209"/>
        <v>2.5573223470128557E-2</v>
      </c>
      <c r="Z448" s="10">
        <f t="shared" si="236"/>
        <v>19.796736832512895</v>
      </c>
      <c r="AA448">
        <f t="shared" si="214"/>
        <v>6404077.9999161856</v>
      </c>
      <c r="AB448" s="10">
        <f t="shared" si="215"/>
        <v>6.4040779999161854</v>
      </c>
      <c r="AC448" s="10">
        <f t="shared" si="216"/>
        <v>6.3030779999161854</v>
      </c>
      <c r="AD448" s="3">
        <f t="shared" si="217"/>
        <v>914.1519941865389</v>
      </c>
      <c r="AI448" s="100">
        <f t="shared" si="218"/>
        <v>1.5702906153619587</v>
      </c>
    </row>
    <row r="449" spans="2:35">
      <c r="B449" s="39">
        <f t="shared" si="219"/>
        <v>421</v>
      </c>
      <c r="C449" s="45">
        <f t="shared" si="220"/>
        <v>12.36750599520315</v>
      </c>
      <c r="D449" s="10">
        <f t="shared" si="221"/>
        <v>12.132494004797081</v>
      </c>
      <c r="E449" s="40">
        <f t="shared" si="222"/>
        <v>44.735011990405837</v>
      </c>
      <c r="F449" s="40">
        <f t="shared" si="223"/>
        <v>69</v>
      </c>
      <c r="G449" s="3">
        <f t="shared" si="224"/>
        <v>361.05995203837665</v>
      </c>
      <c r="H449" s="3">
        <f t="shared" si="225"/>
        <v>221.47275588995251</v>
      </c>
      <c r="I449">
        <f t="shared" si="210"/>
        <v>2.214727558899525E-4</v>
      </c>
      <c r="J449" s="4">
        <f t="shared" si="226"/>
        <v>2250.339545005043</v>
      </c>
      <c r="K449" s="40">
        <f t="shared" si="227"/>
        <v>10.160796238627261</v>
      </c>
      <c r="L449" s="40">
        <f t="shared" si="211"/>
        <v>0</v>
      </c>
      <c r="M449" s="10">
        <f t="shared" si="228"/>
        <v>6.4040779999161854</v>
      </c>
      <c r="N449" s="10">
        <f t="shared" si="207"/>
        <v>17.20418640980624</v>
      </c>
      <c r="O449" s="10">
        <f t="shared" si="208"/>
        <v>-0.14810000000000001</v>
      </c>
      <c r="P449" s="10">
        <f t="shared" si="229"/>
        <v>13.067662674786767</v>
      </c>
      <c r="Q449" s="45">
        <f t="shared" si="230"/>
        <v>1.0019211910022323</v>
      </c>
      <c r="R449" s="4">
        <f t="shared" si="231"/>
        <v>782606.51735154574</v>
      </c>
      <c r="S449">
        <f t="shared" si="212"/>
        <v>7.8260651735154575E-4</v>
      </c>
      <c r="T449" s="44">
        <f t="shared" si="213"/>
        <v>1.2937898771304582E-3</v>
      </c>
      <c r="U449" s="45">
        <f t="shared" si="232"/>
        <v>1.3969917637983769</v>
      </c>
      <c r="V449" s="45">
        <f t="shared" si="233"/>
        <v>1.5881324219582555</v>
      </c>
      <c r="W449" s="45">
        <f t="shared" si="234"/>
        <v>1.5703205849425672</v>
      </c>
      <c r="X449" s="45">
        <f t="shared" si="235"/>
        <v>1.7811837015688337E-2</v>
      </c>
      <c r="Y449" s="45">
        <f t="shared" si="209"/>
        <v>2.5613265015564511E-2</v>
      </c>
      <c r="Z449" s="10">
        <f t="shared" si="236"/>
        <v>19.797082562102794</v>
      </c>
      <c r="AA449">
        <f t="shared" si="214"/>
        <v>6404188.0766722914</v>
      </c>
      <c r="AB449" s="10">
        <f t="shared" si="215"/>
        <v>6.4041880766722912</v>
      </c>
      <c r="AC449" s="10">
        <f t="shared" si="216"/>
        <v>6.3031880766722912</v>
      </c>
      <c r="AD449" s="3">
        <f t="shared" si="217"/>
        <v>914.16795890823664</v>
      </c>
      <c r="AI449" s="100">
        <f t="shared" si="218"/>
        <v>1.5703205849425672</v>
      </c>
    </row>
    <row r="450" spans="2:35">
      <c r="B450" s="39">
        <f t="shared" si="219"/>
        <v>422</v>
      </c>
      <c r="C450" s="45">
        <f t="shared" si="220"/>
        <v>12.396882494004107</v>
      </c>
      <c r="D450" s="10">
        <f t="shared" si="221"/>
        <v>12.103117505996124</v>
      </c>
      <c r="E450" s="40">
        <f t="shared" si="222"/>
        <v>44.793764988007752</v>
      </c>
      <c r="F450" s="40">
        <f t="shared" si="223"/>
        <v>69</v>
      </c>
      <c r="G450" s="3">
        <f t="shared" si="224"/>
        <v>360.82494004796899</v>
      </c>
      <c r="H450" s="3">
        <f t="shared" si="225"/>
        <v>221.47275588995251</v>
      </c>
      <c r="I450">
        <f t="shared" si="210"/>
        <v>2.214727558899525E-4</v>
      </c>
      <c r="J450" s="4">
        <f t="shared" si="226"/>
        <v>2254.4708053329723</v>
      </c>
      <c r="K450" s="40">
        <f t="shared" si="227"/>
        <v>10.17944982114728</v>
      </c>
      <c r="L450" s="40">
        <f t="shared" si="211"/>
        <v>0</v>
      </c>
      <c r="M450" s="10">
        <f t="shared" si="228"/>
        <v>6.4041880766722912</v>
      </c>
      <c r="N450" s="10">
        <f t="shared" si="207"/>
        <v>17.20418640980624</v>
      </c>
      <c r="O450" s="10">
        <f t="shared" si="208"/>
        <v>-0.14810000000000001</v>
      </c>
      <c r="P450" s="10">
        <f t="shared" si="229"/>
        <v>13.067629409773703</v>
      </c>
      <c r="Q450" s="45">
        <f t="shared" si="230"/>
        <v>1.004169226807333</v>
      </c>
      <c r="R450" s="4">
        <f t="shared" si="231"/>
        <v>780606.4611977234</v>
      </c>
      <c r="S450">
        <f t="shared" si="212"/>
        <v>7.8060646119772344E-4</v>
      </c>
      <c r="T450" s="44">
        <f t="shared" si="213"/>
        <v>1.2957899332842805E-3</v>
      </c>
      <c r="U450" s="45">
        <f t="shared" si="232"/>
        <v>1.3934215635609961</v>
      </c>
      <c r="V450" s="45">
        <f t="shared" si="233"/>
        <v>1.5881420701930677</v>
      </c>
      <c r="W450" s="45">
        <f t="shared" si="234"/>
        <v>1.5703480089719124</v>
      </c>
      <c r="X450" s="45">
        <f t="shared" si="235"/>
        <v>1.7794061221155344E-2</v>
      </c>
      <c r="Y450" s="45">
        <f t="shared" si="209"/>
        <v>2.565326670230782E-2</v>
      </c>
      <c r="Z450" s="10">
        <f t="shared" si="236"/>
        <v>19.797396200854578</v>
      </c>
      <c r="AA450">
        <f t="shared" si="214"/>
        <v>6404287.9360346207</v>
      </c>
      <c r="AB450" s="10">
        <f t="shared" si="215"/>
        <v>6.4042879360346205</v>
      </c>
      <c r="AC450" s="10">
        <f t="shared" si="216"/>
        <v>6.3032879360346206</v>
      </c>
      <c r="AD450" s="3">
        <f t="shared" si="217"/>
        <v>914.1824417744192</v>
      </c>
      <c r="AI450" s="100">
        <f t="shared" si="218"/>
        <v>1.5703480089719124</v>
      </c>
    </row>
    <row r="451" spans="2:35">
      <c r="B451" s="39">
        <f t="shared" si="219"/>
        <v>423</v>
      </c>
      <c r="C451" s="45">
        <f t="shared" si="220"/>
        <v>12.426258992805064</v>
      </c>
      <c r="D451" s="10">
        <f t="shared" si="221"/>
        <v>12.073741007195167</v>
      </c>
      <c r="E451" s="40">
        <f t="shared" si="222"/>
        <v>44.852517985609666</v>
      </c>
      <c r="F451" s="40">
        <f t="shared" si="223"/>
        <v>69</v>
      </c>
      <c r="G451" s="3">
        <f t="shared" si="224"/>
        <v>360.58992805756134</v>
      </c>
      <c r="H451" s="3">
        <f t="shared" si="225"/>
        <v>221.47275588995251</v>
      </c>
      <c r="I451">
        <f t="shared" si="210"/>
        <v>2.214727558899525E-4</v>
      </c>
      <c r="J451" s="4">
        <f t="shared" si="226"/>
        <v>2258.6074879158755</v>
      </c>
      <c r="K451" s="40">
        <f t="shared" si="227"/>
        <v>10.198127886385059</v>
      </c>
      <c r="L451" s="40">
        <f t="shared" si="211"/>
        <v>0</v>
      </c>
      <c r="M451" s="10">
        <f t="shared" si="228"/>
        <v>6.4042879360346205</v>
      </c>
      <c r="N451" s="10">
        <f t="shared" si="207"/>
        <v>17.20418640980624</v>
      </c>
      <c r="O451" s="10">
        <f t="shared" si="208"/>
        <v>-0.14810000000000001</v>
      </c>
      <c r="P451" s="10">
        <f t="shared" si="229"/>
        <v>13.067599233007957</v>
      </c>
      <c r="Q451" s="45">
        <f t="shared" si="230"/>
        <v>1.0064172678037813</v>
      </c>
      <c r="R451" s="4">
        <f t="shared" si="231"/>
        <v>778606.39162479527</v>
      </c>
      <c r="S451">
        <f t="shared" si="212"/>
        <v>7.7860639162479525E-4</v>
      </c>
      <c r="T451" s="44">
        <f t="shared" si="213"/>
        <v>1.2977900028572084E-3</v>
      </c>
      <c r="U451" s="45">
        <f t="shared" si="232"/>
        <v>1.3898513393698408</v>
      </c>
      <c r="V451" s="45">
        <f t="shared" si="233"/>
        <v>1.5881490581337063</v>
      </c>
      <c r="W451" s="45">
        <f t="shared" si="234"/>
        <v>1.5703728874855953</v>
      </c>
      <c r="X451" s="45">
        <f t="shared" si="235"/>
        <v>1.7776170648110989E-2</v>
      </c>
      <c r="Y451" s="45">
        <f t="shared" si="209"/>
        <v>2.5693228262684633E-2</v>
      </c>
      <c r="Z451" s="10">
        <f t="shared" si="236"/>
        <v>19.79767774918788</v>
      </c>
      <c r="AA451">
        <f t="shared" si="214"/>
        <v>6404377.5781367784</v>
      </c>
      <c r="AB451" s="10">
        <f t="shared" si="215"/>
        <v>6.4043775781367787</v>
      </c>
      <c r="AC451" s="10">
        <f t="shared" si="216"/>
        <v>6.3033775781367787</v>
      </c>
      <c r="AD451" s="3">
        <f t="shared" si="217"/>
        <v>914.19544280446382</v>
      </c>
      <c r="AI451" s="100">
        <f t="shared" si="218"/>
        <v>1.5703728874855953</v>
      </c>
    </row>
    <row r="452" spans="2:35">
      <c r="B452" s="39">
        <f t="shared" si="219"/>
        <v>424</v>
      </c>
      <c r="C452" s="45">
        <f t="shared" si="220"/>
        <v>12.455635491606021</v>
      </c>
      <c r="D452" s="10">
        <f t="shared" si="221"/>
        <v>12.04436450839421</v>
      </c>
      <c r="E452" s="40">
        <f t="shared" si="222"/>
        <v>44.91127098321158</v>
      </c>
      <c r="F452" s="40">
        <f t="shared" si="223"/>
        <v>69</v>
      </c>
      <c r="G452" s="3">
        <f t="shared" si="224"/>
        <v>360.35491606715368</v>
      </c>
      <c r="H452" s="3">
        <f t="shared" si="225"/>
        <v>221.47275588995251</v>
      </c>
      <c r="I452">
        <f t="shared" si="210"/>
        <v>2.214727558899525E-4</v>
      </c>
      <c r="J452" s="4">
        <f t="shared" si="226"/>
        <v>2262.7495927537529</v>
      </c>
      <c r="K452" s="40">
        <f t="shared" si="227"/>
        <v>10.216830434340599</v>
      </c>
      <c r="L452" s="40">
        <f t="shared" si="211"/>
        <v>0</v>
      </c>
      <c r="M452" s="10">
        <f t="shared" si="228"/>
        <v>6.4043775781367787</v>
      </c>
      <c r="N452" s="10">
        <f t="shared" si="207"/>
        <v>17.20418640980624</v>
      </c>
      <c r="O452" s="10">
        <f t="shared" si="208"/>
        <v>-0.14810000000000001</v>
      </c>
      <c r="P452" s="10">
        <f t="shared" si="229"/>
        <v>13.067572144283318</v>
      </c>
      <c r="Q452" s="45">
        <f t="shared" si="230"/>
        <v>1.0086653134603578</v>
      </c>
      <c r="R452" s="4">
        <f t="shared" si="231"/>
        <v>776606.312455646</v>
      </c>
      <c r="S452">
        <f t="shared" si="212"/>
        <v>7.7660631245564599E-4</v>
      </c>
      <c r="T452" s="44">
        <f t="shared" si="213"/>
        <v>1.2997900820263578E-3</v>
      </c>
      <c r="U452" s="45">
        <f t="shared" si="232"/>
        <v>1.3862810980489511</v>
      </c>
      <c r="V452" s="45">
        <f t="shared" si="233"/>
        <v>1.5881533857843246</v>
      </c>
      <c r="W452" s="45">
        <f t="shared" si="234"/>
        <v>1.5703952205169016</v>
      </c>
      <c r="X452" s="45">
        <f t="shared" si="235"/>
        <v>1.7758165267423021E-2</v>
      </c>
      <c r="Y452" s="45">
        <f t="shared" si="209"/>
        <v>2.5733149428982832E-2</v>
      </c>
      <c r="Z452" s="10">
        <f t="shared" si="236"/>
        <v>19.797927207495803</v>
      </c>
      <c r="AA452">
        <f t="shared" si="214"/>
        <v>6404457.0031039277</v>
      </c>
      <c r="AB452" s="10">
        <f t="shared" si="215"/>
        <v>6.4044570031039276</v>
      </c>
      <c r="AC452" s="10">
        <f t="shared" si="216"/>
        <v>6.3034570031039276</v>
      </c>
      <c r="AD452" s="3">
        <f t="shared" si="217"/>
        <v>914.20696201652322</v>
      </c>
      <c r="AI452" s="100">
        <f t="shared" si="218"/>
        <v>1.5703952205169016</v>
      </c>
    </row>
    <row r="453" spans="2:35">
      <c r="B453" s="39">
        <f t="shared" si="219"/>
        <v>425</v>
      </c>
      <c r="C453" s="45">
        <f t="shared" si="220"/>
        <v>12.485011990406978</v>
      </c>
      <c r="D453" s="10">
        <f t="shared" si="221"/>
        <v>12.014988009593253</v>
      </c>
      <c r="E453" s="40">
        <f t="shared" si="222"/>
        <v>44.970023980813494</v>
      </c>
      <c r="F453" s="40">
        <f t="shared" si="223"/>
        <v>69</v>
      </c>
      <c r="G453" s="3">
        <f t="shared" si="224"/>
        <v>360.11990407674602</v>
      </c>
      <c r="H453" s="3">
        <f t="shared" si="225"/>
        <v>221.47275588995251</v>
      </c>
      <c r="I453">
        <f t="shared" si="210"/>
        <v>2.214727558899525E-4</v>
      </c>
      <c r="J453" s="4">
        <f t="shared" si="226"/>
        <v>2266.8971198466033</v>
      </c>
      <c r="K453" s="40">
        <f t="shared" si="227"/>
        <v>10.235557465013894</v>
      </c>
      <c r="L453" s="40">
        <f t="shared" si="211"/>
        <v>0</v>
      </c>
      <c r="M453" s="10">
        <f t="shared" si="228"/>
        <v>6.4044570031039276</v>
      </c>
      <c r="N453" s="10">
        <f t="shared" si="207"/>
        <v>17.20418640980624</v>
      </c>
      <c r="O453" s="10">
        <f t="shared" si="208"/>
        <v>-0.14810000000000001</v>
      </c>
      <c r="P453" s="10">
        <f t="shared" si="229"/>
        <v>13.067548143413092</v>
      </c>
      <c r="Q453" s="45">
        <f t="shared" si="230"/>
        <v>1.0109133632458691</v>
      </c>
      <c r="R453" s="4">
        <f t="shared" si="231"/>
        <v>774606.22751316079</v>
      </c>
      <c r="S453">
        <f t="shared" si="212"/>
        <v>7.7460622751316082E-4</v>
      </c>
      <c r="T453" s="44">
        <f t="shared" si="213"/>
        <v>1.301790166968843E-3</v>
      </c>
      <c r="U453" s="45">
        <f t="shared" si="232"/>
        <v>1.3827108464223676</v>
      </c>
      <c r="V453" s="45">
        <f t="shared" si="233"/>
        <v>1.5881550531459434</v>
      </c>
      <c r="W453" s="45">
        <f t="shared" si="234"/>
        <v>1.570415008097013</v>
      </c>
      <c r="X453" s="45">
        <f t="shared" si="235"/>
        <v>1.7740045048930453E-2</v>
      </c>
      <c r="Y453" s="45">
        <f t="shared" si="209"/>
        <v>2.5773029933450042E-2</v>
      </c>
      <c r="Z453" s="10">
        <f t="shared" si="236"/>
        <v>19.798144576142658</v>
      </c>
      <c r="AA453">
        <f t="shared" si="214"/>
        <v>6404526.2110520583</v>
      </c>
      <c r="AB453" s="10">
        <f t="shared" si="215"/>
        <v>6.4045262110520582</v>
      </c>
      <c r="AC453" s="10">
        <f t="shared" si="216"/>
        <v>6.3035262110520582</v>
      </c>
      <c r="AD453" s="3">
        <f t="shared" si="217"/>
        <v>914.21699942741964</v>
      </c>
      <c r="AI453" s="100">
        <f t="shared" si="218"/>
        <v>1.570415008097013</v>
      </c>
    </row>
    <row r="454" spans="2:35">
      <c r="B454" s="39">
        <f t="shared" si="219"/>
        <v>426</v>
      </c>
      <c r="C454" s="45">
        <f t="shared" si="220"/>
        <v>12.514388489207935</v>
      </c>
      <c r="D454" s="10">
        <f t="shared" si="221"/>
        <v>11.985611510792296</v>
      </c>
      <c r="E454" s="40">
        <f t="shared" si="222"/>
        <v>45.028776978415408</v>
      </c>
      <c r="F454" s="40">
        <f t="shared" si="223"/>
        <v>69</v>
      </c>
      <c r="G454" s="3">
        <f t="shared" si="224"/>
        <v>359.88489208633837</v>
      </c>
      <c r="H454" s="3">
        <f t="shared" si="225"/>
        <v>221.47275588995251</v>
      </c>
      <c r="I454">
        <f t="shared" si="210"/>
        <v>2.214727558899525E-4</v>
      </c>
      <c r="J454" s="4">
        <f t="shared" si="226"/>
        <v>2271.050069194428</v>
      </c>
      <c r="K454" s="40">
        <f t="shared" si="227"/>
        <v>10.254308978404952</v>
      </c>
      <c r="L454" s="40">
        <f t="shared" si="211"/>
        <v>0</v>
      </c>
      <c r="M454" s="10">
        <f t="shared" si="228"/>
        <v>6.4045262110520582</v>
      </c>
      <c r="N454" s="10">
        <f t="shared" si="207"/>
        <v>17.20418640980624</v>
      </c>
      <c r="O454" s="10">
        <f t="shared" si="208"/>
        <v>-0.14810000000000001</v>
      </c>
      <c r="P454" s="10">
        <f t="shared" si="229"/>
        <v>13.067527230230345</v>
      </c>
      <c r="Q454" s="45">
        <f t="shared" si="230"/>
        <v>1.0131614166291441</v>
      </c>
      <c r="R454" s="4">
        <f t="shared" si="231"/>
        <v>772606.14062022406</v>
      </c>
      <c r="S454">
        <f t="shared" si="212"/>
        <v>7.7260614062022402E-4</v>
      </c>
      <c r="T454" s="44">
        <f t="shared" si="213"/>
        <v>1.3037902538617797E-3</v>
      </c>
      <c r="U454" s="45">
        <f t="shared" si="232"/>
        <v>1.379140591314131</v>
      </c>
      <c r="V454" s="45">
        <f t="shared" si="233"/>
        <v>1.5881540602187569</v>
      </c>
      <c r="W454" s="45">
        <f t="shared" si="234"/>
        <v>1.5704322502548274</v>
      </c>
      <c r="X454" s="45">
        <f t="shared" si="235"/>
        <v>1.772180996392958E-2</v>
      </c>
      <c r="Y454" s="45">
        <f t="shared" si="209"/>
        <v>2.5812869508297209E-2</v>
      </c>
      <c r="Z454" s="10">
        <f t="shared" si="236"/>
        <v>19.798329855465955</v>
      </c>
      <c r="AA454">
        <f t="shared" si="214"/>
        <v>6404585.2020886308</v>
      </c>
      <c r="AB454" s="10">
        <f t="shared" si="215"/>
        <v>6.4045852020886311</v>
      </c>
      <c r="AC454" s="10">
        <f t="shared" si="216"/>
        <v>6.3035852020886312</v>
      </c>
      <c r="AD454" s="3">
        <f t="shared" si="217"/>
        <v>914.22555505273829</v>
      </c>
      <c r="AI454" s="100">
        <f t="shared" si="218"/>
        <v>1.5704322502548274</v>
      </c>
    </row>
    <row r="455" spans="2:35">
      <c r="B455" s="39">
        <f t="shared" si="219"/>
        <v>427</v>
      </c>
      <c r="C455" s="45">
        <f t="shared" si="220"/>
        <v>12.543764988008892</v>
      </c>
      <c r="D455" s="10">
        <f t="shared" si="221"/>
        <v>11.956235011991339</v>
      </c>
      <c r="E455" s="40">
        <f t="shared" si="222"/>
        <v>45.087529976017322</v>
      </c>
      <c r="F455" s="40">
        <f t="shared" si="223"/>
        <v>69</v>
      </c>
      <c r="G455" s="3">
        <f t="shared" si="224"/>
        <v>359.64988009593071</v>
      </c>
      <c r="H455" s="3">
        <f t="shared" si="225"/>
        <v>221.47275588995251</v>
      </c>
      <c r="I455">
        <f t="shared" si="210"/>
        <v>2.214727558899525E-4</v>
      </c>
      <c r="J455" s="4">
        <f t="shared" si="226"/>
        <v>2275.208440797227</v>
      </c>
      <c r="K455" s="40">
        <f t="shared" si="227"/>
        <v>10.27308497451377</v>
      </c>
      <c r="L455" s="40">
        <f t="shared" si="211"/>
        <v>0</v>
      </c>
      <c r="M455" s="10">
        <f t="shared" si="228"/>
        <v>6.4045852020886311</v>
      </c>
      <c r="N455" s="10">
        <f t="shared" si="207"/>
        <v>17.20418640980624</v>
      </c>
      <c r="O455" s="10">
        <f t="shared" si="208"/>
        <v>-0.14810000000000001</v>
      </c>
      <c r="P455" s="10">
        <f t="shared" si="229"/>
        <v>13.067509404587691</v>
      </c>
      <c r="Q455" s="45">
        <f t="shared" si="230"/>
        <v>1.0154094730790322</v>
      </c>
      <c r="R455" s="4">
        <f t="shared" si="231"/>
        <v>770606.05559972057</v>
      </c>
      <c r="S455">
        <f t="shared" si="212"/>
        <v>7.7060605559972053E-4</v>
      </c>
      <c r="T455" s="44">
        <f t="shared" si="213"/>
        <v>1.3057903388822832E-3</v>
      </c>
      <c r="U455" s="45">
        <f t="shared" si="232"/>
        <v>1.3755703395482812</v>
      </c>
      <c r="V455" s="45">
        <f t="shared" si="233"/>
        <v>1.5881504070004431</v>
      </c>
      <c r="W455" s="45">
        <f t="shared" si="234"/>
        <v>1.5704469470171167</v>
      </c>
      <c r="X455" s="45">
        <f t="shared" si="235"/>
        <v>1.7703459983326342E-2</v>
      </c>
      <c r="Y455" s="45">
        <f t="shared" si="209"/>
        <v>2.5852667885698063E-2</v>
      </c>
      <c r="Z455" s="10">
        <f t="shared" si="236"/>
        <v>19.798483045775296</v>
      </c>
      <c r="AA455">
        <f t="shared" si="214"/>
        <v>6404633.9763122201</v>
      </c>
      <c r="AB455" s="10">
        <f t="shared" si="215"/>
        <v>6.40463397631222</v>
      </c>
      <c r="AC455" s="10">
        <f t="shared" si="216"/>
        <v>6.30363397631222</v>
      </c>
      <c r="AD455" s="3">
        <f t="shared" si="217"/>
        <v>914.23262890677597</v>
      </c>
      <c r="AI455" s="100">
        <f t="shared" si="218"/>
        <v>1.5704469470171167</v>
      </c>
    </row>
    <row r="456" spans="2:35">
      <c r="B456" s="39">
        <f t="shared" si="219"/>
        <v>428</v>
      </c>
      <c r="C456" s="45">
        <f t="shared" si="220"/>
        <v>12.573141486809849</v>
      </c>
      <c r="D456" s="10">
        <f t="shared" si="221"/>
        <v>11.926858513190382</v>
      </c>
      <c r="E456" s="40">
        <f t="shared" si="222"/>
        <v>45.146282973619236</v>
      </c>
      <c r="F456" s="40">
        <f t="shared" si="223"/>
        <v>69</v>
      </c>
      <c r="G456" s="3">
        <f t="shared" si="224"/>
        <v>359.41486810552306</v>
      </c>
      <c r="H456" s="3">
        <f t="shared" si="225"/>
        <v>221.47275588995251</v>
      </c>
      <c r="I456">
        <f t="shared" si="210"/>
        <v>2.214727558899525E-4</v>
      </c>
      <c r="J456" s="4">
        <f t="shared" si="226"/>
        <v>2279.3722346549998</v>
      </c>
      <c r="K456" s="40">
        <f t="shared" si="227"/>
        <v>10.291885453340347</v>
      </c>
      <c r="L456" s="40">
        <f t="shared" si="211"/>
        <v>0</v>
      </c>
      <c r="M456" s="10">
        <f t="shared" si="228"/>
        <v>6.40463397631222</v>
      </c>
      <c r="N456" s="10">
        <f t="shared" si="207"/>
        <v>17.20418640980624</v>
      </c>
      <c r="O456" s="10">
        <f t="shared" si="208"/>
        <v>-0.14810000000000001</v>
      </c>
      <c r="P456" s="10">
        <f t="shared" si="229"/>
        <v>13.067494666357391</v>
      </c>
      <c r="Q456" s="45">
        <f t="shared" si="230"/>
        <v>1.0176575320644006</v>
      </c>
      <c r="R456" s="4">
        <f t="shared" si="231"/>
        <v>768605.97627453529</v>
      </c>
      <c r="S456">
        <f t="shared" si="212"/>
        <v>7.6860597627453528E-4</v>
      </c>
      <c r="T456" s="44">
        <f t="shared" si="213"/>
        <v>1.3077904182074685E-3</v>
      </c>
      <c r="U456" s="45">
        <f t="shared" si="232"/>
        <v>1.3720000979488591</v>
      </c>
      <c r="V456" s="45">
        <f t="shared" si="233"/>
        <v>1.5881440934865116</v>
      </c>
      <c r="W456" s="45">
        <f t="shared" si="234"/>
        <v>1.5704590984084399</v>
      </c>
      <c r="X456" s="45">
        <f t="shared" si="235"/>
        <v>1.7684995078071752E-2</v>
      </c>
      <c r="Y456" s="45">
        <f t="shared" si="209"/>
        <v>2.5892424797789519E-2</v>
      </c>
      <c r="Z456" s="10">
        <f t="shared" si="236"/>
        <v>19.798604147351945</v>
      </c>
      <c r="AA456">
        <f t="shared" si="214"/>
        <v>6404672.5338123776</v>
      </c>
      <c r="AB456" s="10">
        <f t="shared" si="215"/>
        <v>6.404672533812378</v>
      </c>
      <c r="AC456" s="10">
        <f t="shared" si="216"/>
        <v>6.303672533812378</v>
      </c>
      <c r="AD456" s="3">
        <f t="shared" si="217"/>
        <v>914.23822100252028</v>
      </c>
      <c r="AI456" s="100">
        <f t="shared" si="218"/>
        <v>1.5704590984084399</v>
      </c>
    </row>
    <row r="457" spans="2:35">
      <c r="B457" s="39">
        <f t="shared" si="219"/>
        <v>429</v>
      </c>
      <c r="C457" s="45">
        <f t="shared" si="220"/>
        <v>12.602517985610806</v>
      </c>
      <c r="D457" s="10">
        <f t="shared" si="221"/>
        <v>11.897482014389425</v>
      </c>
      <c r="E457" s="40">
        <f t="shared" si="222"/>
        <v>45.20503597122115</v>
      </c>
      <c r="F457" s="40">
        <f t="shared" si="223"/>
        <v>69</v>
      </c>
      <c r="G457" s="3">
        <f t="shared" si="224"/>
        <v>359.1798561151154</v>
      </c>
      <c r="H457" s="3">
        <f t="shared" si="225"/>
        <v>221.47275588995251</v>
      </c>
      <c r="I457">
        <f t="shared" si="210"/>
        <v>2.214727558899525E-4</v>
      </c>
      <c r="J457" s="4">
        <f t="shared" si="226"/>
        <v>2283.5414507677465</v>
      </c>
      <c r="K457" s="40">
        <f t="shared" si="227"/>
        <v>10.310710414884683</v>
      </c>
      <c r="L457" s="40">
        <f t="shared" si="211"/>
        <v>0</v>
      </c>
      <c r="M457" s="10">
        <f t="shared" si="228"/>
        <v>6.404672533812378</v>
      </c>
      <c r="N457" s="10">
        <f t="shared" si="207"/>
        <v>17.20418640980624</v>
      </c>
      <c r="O457" s="10">
        <f t="shared" si="208"/>
        <v>-0.14810000000000001</v>
      </c>
      <c r="P457" s="10">
        <f t="shared" si="229"/>
        <v>13.067483015431408</v>
      </c>
      <c r="Q457" s="45">
        <f t="shared" si="230"/>
        <v>1.0199055930541312</v>
      </c>
      <c r="R457" s="4">
        <f t="shared" si="231"/>
        <v>766605.906467553</v>
      </c>
      <c r="S457">
        <f t="shared" si="212"/>
        <v>7.6660590646755299E-4</v>
      </c>
      <c r="T457" s="44">
        <f t="shared" si="213"/>
        <v>1.3097904880144508E-3</v>
      </c>
      <c r="U457" s="45">
        <f t="shared" si="232"/>
        <v>1.3684298733399054</v>
      </c>
      <c r="V457" s="45">
        <f t="shared" si="233"/>
        <v>1.588135119671078</v>
      </c>
      <c r="W457" s="45">
        <f t="shared" si="234"/>
        <v>1.5704687044511074</v>
      </c>
      <c r="X457" s="45">
        <f t="shared" si="235"/>
        <v>1.7666415219970588E-2</v>
      </c>
      <c r="Y457" s="45">
        <f t="shared" si="209"/>
        <v>2.5932139976673919E-2</v>
      </c>
      <c r="Z457" s="10">
        <f t="shared" si="236"/>
        <v>19.798693160449805</v>
      </c>
      <c r="AA457">
        <f t="shared" si="214"/>
        <v>6404700.874669943</v>
      </c>
      <c r="AB457" s="10">
        <f t="shared" si="215"/>
        <v>6.4047008746699428</v>
      </c>
      <c r="AC457" s="10">
        <f t="shared" si="216"/>
        <v>6.3037008746699428</v>
      </c>
      <c r="AD457" s="3">
        <f t="shared" si="217"/>
        <v>914.24233135169584</v>
      </c>
      <c r="AI457" s="100">
        <f t="shared" si="218"/>
        <v>1.5704687044511074</v>
      </c>
    </row>
    <row r="458" spans="2:35">
      <c r="B458" s="39">
        <f t="shared" si="219"/>
        <v>430</v>
      </c>
      <c r="C458" s="45">
        <f t="shared" si="220"/>
        <v>12.631894484411763</v>
      </c>
      <c r="D458" s="10">
        <f t="shared" si="221"/>
        <v>11.868105515588468</v>
      </c>
      <c r="E458" s="40">
        <f t="shared" si="222"/>
        <v>45.263788968823064</v>
      </c>
      <c r="F458" s="40">
        <f t="shared" si="223"/>
        <v>69</v>
      </c>
      <c r="G458" s="3">
        <f t="shared" si="224"/>
        <v>358.94484412470774</v>
      </c>
      <c r="H458" s="3">
        <f t="shared" si="225"/>
        <v>221.47275588995251</v>
      </c>
      <c r="I458">
        <f t="shared" si="210"/>
        <v>2.214727558899525E-4</v>
      </c>
      <c r="J458" s="4">
        <f t="shared" si="226"/>
        <v>2287.716089135467</v>
      </c>
      <c r="K458" s="40">
        <f t="shared" si="227"/>
        <v>10.32955985914678</v>
      </c>
      <c r="L458" s="40">
        <f t="shared" si="211"/>
        <v>0</v>
      </c>
      <c r="M458" s="10">
        <f t="shared" si="228"/>
        <v>6.4047008746699428</v>
      </c>
      <c r="N458" s="10">
        <f t="shared" si="207"/>
        <v>17.20418640980624</v>
      </c>
      <c r="O458" s="10">
        <f t="shared" si="208"/>
        <v>-0.14810000000000001</v>
      </c>
      <c r="P458" s="10">
        <f t="shared" si="229"/>
        <v>13.067474451721299</v>
      </c>
      <c r="Q458" s="45">
        <f t="shared" si="230"/>
        <v>1.0221536555171182</v>
      </c>
      <c r="R458" s="4">
        <f t="shared" si="231"/>
        <v>764605.85000165855</v>
      </c>
      <c r="S458">
        <f t="shared" si="212"/>
        <v>7.6460585000165859E-4</v>
      </c>
      <c r="T458" s="44">
        <f t="shared" si="213"/>
        <v>1.3117905444803451E-3</v>
      </c>
      <c r="U458" s="45">
        <f t="shared" si="232"/>
        <v>1.3648596725454605</v>
      </c>
      <c r="V458" s="45">
        <f t="shared" si="233"/>
        <v>1.5881234855463693</v>
      </c>
      <c r="W458" s="45">
        <f t="shared" si="234"/>
        <v>1.5704757651652581</v>
      </c>
      <c r="X458" s="45">
        <f t="shared" si="235"/>
        <v>1.7647720381111176E-2</v>
      </c>
      <c r="Y458" s="45">
        <f t="shared" si="209"/>
        <v>2.5971813154419987E-2</v>
      </c>
      <c r="Z458" s="10">
        <f t="shared" si="236"/>
        <v>19.798750085295442</v>
      </c>
      <c r="AA458">
        <f t="shared" si="214"/>
        <v>6404718.9989570519</v>
      </c>
      <c r="AB458" s="10">
        <f t="shared" si="215"/>
        <v>6.4047189989570521</v>
      </c>
      <c r="AC458" s="10">
        <f t="shared" si="216"/>
        <v>6.3037189989570521</v>
      </c>
      <c r="AD458" s="3">
        <f t="shared" si="217"/>
        <v>914.24495996476458</v>
      </c>
      <c r="AI458" s="100">
        <f t="shared" si="218"/>
        <v>1.5704757651652581</v>
      </c>
    </row>
    <row r="459" spans="2:35">
      <c r="B459" s="39">
        <f t="shared" si="219"/>
        <v>431</v>
      </c>
      <c r="C459" s="45">
        <f t="shared" si="220"/>
        <v>12.66127098321272</v>
      </c>
      <c r="D459" s="10">
        <f t="shared" si="221"/>
        <v>11.838729016787511</v>
      </c>
      <c r="E459" s="40">
        <f t="shared" si="222"/>
        <v>45.322541966424978</v>
      </c>
      <c r="F459" s="40">
        <f t="shared" si="223"/>
        <v>69</v>
      </c>
      <c r="G459" s="3">
        <f t="shared" si="224"/>
        <v>358.70983213430009</v>
      </c>
      <c r="H459" s="3">
        <f t="shared" si="225"/>
        <v>221.47275588995251</v>
      </c>
      <c r="I459">
        <f t="shared" si="210"/>
        <v>2.214727558899525E-4</v>
      </c>
      <c r="J459" s="4">
        <f t="shared" si="226"/>
        <v>2291.8961497581613</v>
      </c>
      <c r="K459" s="40">
        <f t="shared" si="227"/>
        <v>10.348433786126636</v>
      </c>
      <c r="L459" s="40">
        <f t="shared" si="211"/>
        <v>0</v>
      </c>
      <c r="M459" s="10">
        <f t="shared" si="228"/>
        <v>6.4047189989570521</v>
      </c>
      <c r="N459" s="10">
        <f t="shared" si="207"/>
        <v>17.20418640980624</v>
      </c>
      <c r="O459" s="10">
        <f t="shared" si="208"/>
        <v>-0.14810000000000001</v>
      </c>
      <c r="P459" s="10">
        <f t="shared" si="229"/>
        <v>13.067468975158214</v>
      </c>
      <c r="Q459" s="45">
        <f t="shared" si="230"/>
        <v>1.0244017189222661</v>
      </c>
      <c r="R459" s="4">
        <f t="shared" si="231"/>
        <v>762605.81069973658</v>
      </c>
      <c r="S459">
        <f t="shared" si="212"/>
        <v>7.6260581069973658E-4</v>
      </c>
      <c r="T459" s="44">
        <f t="shared" si="213"/>
        <v>1.3137905837822673E-3</v>
      </c>
      <c r="U459" s="45">
        <f t="shared" si="232"/>
        <v>1.3612895023895648</v>
      </c>
      <c r="V459" s="45">
        <f t="shared" si="233"/>
        <v>1.5881091911021541</v>
      </c>
      <c r="W459" s="45">
        <f t="shared" si="234"/>
        <v>1.5704802805688649</v>
      </c>
      <c r="X459" s="45">
        <f t="shared" si="235"/>
        <v>1.7628910533289188E-2</v>
      </c>
      <c r="Y459" s="45">
        <f t="shared" si="209"/>
        <v>2.6011444063062498E-2</v>
      </c>
      <c r="Z459" s="10">
        <f t="shared" si="236"/>
        <v>19.79877492208708</v>
      </c>
      <c r="AA459">
        <f t="shared" si="214"/>
        <v>6404726.9067368191</v>
      </c>
      <c r="AB459" s="10">
        <f t="shared" si="215"/>
        <v>6.4047269067368191</v>
      </c>
      <c r="AC459" s="10">
        <f t="shared" si="216"/>
        <v>6.3037269067368191</v>
      </c>
      <c r="AD459" s="3">
        <f t="shared" si="217"/>
        <v>914.24610685088021</v>
      </c>
      <c r="AI459" s="100">
        <f t="shared" si="218"/>
        <v>1.5704802805688649</v>
      </c>
    </row>
    <row r="460" spans="2:35">
      <c r="B460" s="39">
        <f t="shared" si="219"/>
        <v>432</v>
      </c>
      <c r="C460" s="45">
        <f t="shared" si="220"/>
        <v>12.690647482013677</v>
      </c>
      <c r="D460" s="10">
        <f t="shared" si="221"/>
        <v>11.809352517986554</v>
      </c>
      <c r="E460" s="40">
        <f t="shared" si="222"/>
        <v>45.381294964026893</v>
      </c>
      <c r="F460" s="40">
        <f t="shared" si="223"/>
        <v>69</v>
      </c>
      <c r="G460" s="3">
        <f t="shared" si="224"/>
        <v>358.47482014389243</v>
      </c>
      <c r="H460" s="3">
        <f t="shared" si="225"/>
        <v>221.47275588995251</v>
      </c>
      <c r="I460">
        <f t="shared" si="210"/>
        <v>2.214727558899525E-4</v>
      </c>
      <c r="J460" s="4">
        <f t="shared" si="226"/>
        <v>2296.0816326358299</v>
      </c>
      <c r="K460" s="40">
        <f t="shared" si="227"/>
        <v>10.367332195824252</v>
      </c>
      <c r="L460" s="40">
        <f t="shared" si="211"/>
        <v>0</v>
      </c>
      <c r="M460" s="10">
        <f t="shared" si="228"/>
        <v>6.4047269067368191</v>
      </c>
      <c r="N460" s="10">
        <f t="shared" si="207"/>
        <v>17.20418640980624</v>
      </c>
      <c r="O460" s="10">
        <f t="shared" si="208"/>
        <v>-0.14810000000000001</v>
      </c>
      <c r="P460" s="10">
        <f t="shared" si="229"/>
        <v>13.067466585692994</v>
      </c>
      <c r="Q460" s="45">
        <f t="shared" si="230"/>
        <v>1.0266497827384859</v>
      </c>
      <c r="R460" s="4">
        <f t="shared" si="231"/>
        <v>760605.79238467198</v>
      </c>
      <c r="S460">
        <f t="shared" si="212"/>
        <v>7.6060579238467201E-4</v>
      </c>
      <c r="T460" s="44">
        <f t="shared" si="213"/>
        <v>1.3157906020973319E-3</v>
      </c>
      <c r="U460" s="45">
        <f t="shared" si="232"/>
        <v>1.3577193696962588</v>
      </c>
      <c r="V460" s="45">
        <f t="shared" si="233"/>
        <v>1.5880922363267838</v>
      </c>
      <c r="W460" s="45">
        <f t="shared" si="234"/>
        <v>1.5704822506776512</v>
      </c>
      <c r="X460" s="45">
        <f t="shared" si="235"/>
        <v>1.760998564913252E-2</v>
      </c>
      <c r="Y460" s="45">
        <f t="shared" si="209"/>
        <v>2.6051032434604465E-2</v>
      </c>
      <c r="Z460" s="10">
        <f t="shared" si="236"/>
        <v>19.798767670995581</v>
      </c>
      <c r="AA460">
        <f t="shared" si="214"/>
        <v>6404724.5980636422</v>
      </c>
      <c r="AB460" s="10">
        <f t="shared" si="215"/>
        <v>6.404724598063642</v>
      </c>
      <c r="AC460" s="10">
        <f t="shared" si="216"/>
        <v>6.303724598063642</v>
      </c>
      <c r="AD460" s="3">
        <f t="shared" si="217"/>
        <v>914.24577201793215</v>
      </c>
      <c r="AI460" s="100">
        <f t="shared" si="218"/>
        <v>1.5704822506776512</v>
      </c>
    </row>
    <row r="461" spans="2:35">
      <c r="B461" s="39">
        <f t="shared" si="219"/>
        <v>433</v>
      </c>
      <c r="C461" s="45">
        <f t="shared" si="220"/>
        <v>12.720023980814634</v>
      </c>
      <c r="D461" s="10">
        <f t="shared" si="221"/>
        <v>11.779976019185597</v>
      </c>
      <c r="E461" s="40">
        <f t="shared" si="222"/>
        <v>45.440047961628807</v>
      </c>
      <c r="F461" s="40">
        <f t="shared" si="223"/>
        <v>69</v>
      </c>
      <c r="G461" s="3">
        <f t="shared" si="224"/>
        <v>358.23980815348477</v>
      </c>
      <c r="H461" s="3">
        <f t="shared" si="225"/>
        <v>221.47275588995251</v>
      </c>
      <c r="I461">
        <f t="shared" si="210"/>
        <v>2.214727558899525E-4</v>
      </c>
      <c r="J461" s="4">
        <f t="shared" si="226"/>
        <v>2300.2725377684719</v>
      </c>
      <c r="K461" s="40">
        <f t="shared" si="227"/>
        <v>10.386255088239626</v>
      </c>
      <c r="L461" s="40">
        <f t="shared" si="211"/>
        <v>0</v>
      </c>
      <c r="M461" s="10">
        <f t="shared" si="228"/>
        <v>6.404724598063642</v>
      </c>
      <c r="N461" s="10">
        <f t="shared" si="207"/>
        <v>17.20418640980624</v>
      </c>
      <c r="O461" s="10">
        <f t="shared" si="208"/>
        <v>-0.14810000000000001</v>
      </c>
      <c r="P461" s="10">
        <f t="shared" si="229"/>
        <v>13.06746728329607</v>
      </c>
      <c r="Q461" s="45">
        <f t="shared" si="230"/>
        <v>1.0288978464346934</v>
      </c>
      <c r="R461" s="4">
        <f t="shared" si="231"/>
        <v>758605.79887934972</v>
      </c>
      <c r="S461">
        <f t="shared" si="212"/>
        <v>7.586057988793497E-4</v>
      </c>
      <c r="T461" s="44">
        <f t="shared" si="213"/>
        <v>1.3177905956026541E-3</v>
      </c>
      <c r="U461" s="45">
        <f t="shared" si="232"/>
        <v>1.3541492812895832</v>
      </c>
      <c r="V461" s="45">
        <f t="shared" si="233"/>
        <v>1.5880726212066223</v>
      </c>
      <c r="W461" s="45">
        <f t="shared" si="234"/>
        <v>1.57048167550517</v>
      </c>
      <c r="X461" s="45">
        <f t="shared" si="235"/>
        <v>1.7590945701452254E-2</v>
      </c>
      <c r="Y461" s="45">
        <f t="shared" si="209"/>
        <v>2.6090578001017856E-2</v>
      </c>
      <c r="Z461" s="10">
        <f t="shared" si="236"/>
        <v>19.798728332164238</v>
      </c>
      <c r="AA461">
        <f t="shared" si="214"/>
        <v>6404712.0729831466</v>
      </c>
      <c r="AB461" s="10">
        <f t="shared" si="215"/>
        <v>6.4047120729831466</v>
      </c>
      <c r="AC461" s="10">
        <f t="shared" si="216"/>
        <v>6.3037120729831466</v>
      </c>
      <c r="AD461" s="3">
        <f t="shared" si="217"/>
        <v>914.24395547253755</v>
      </c>
      <c r="AI461" s="100">
        <f t="shared" si="218"/>
        <v>1.57048167550517</v>
      </c>
    </row>
    <row r="462" spans="2:35">
      <c r="B462" s="39">
        <f t="shared" si="219"/>
        <v>434</v>
      </c>
      <c r="C462" s="45">
        <f t="shared" si="220"/>
        <v>12.749400479615591</v>
      </c>
      <c r="D462" s="10">
        <f t="shared" si="221"/>
        <v>11.75059952038464</v>
      </c>
      <c r="E462" s="40">
        <f t="shared" si="222"/>
        <v>45.498800959230721</v>
      </c>
      <c r="F462" s="40">
        <f t="shared" si="223"/>
        <v>69</v>
      </c>
      <c r="G462" s="3">
        <f t="shared" si="224"/>
        <v>358.00479616307712</v>
      </c>
      <c r="H462" s="3">
        <f t="shared" si="225"/>
        <v>221.47275588995251</v>
      </c>
      <c r="I462">
        <f t="shared" si="210"/>
        <v>2.214727558899525E-4</v>
      </c>
      <c r="J462" s="4">
        <f t="shared" si="226"/>
        <v>2304.4688651560882</v>
      </c>
      <c r="K462" s="40">
        <f t="shared" si="227"/>
        <v>10.405202463372762</v>
      </c>
      <c r="L462" s="40">
        <f t="shared" si="211"/>
        <v>0</v>
      </c>
      <c r="M462" s="10">
        <f t="shared" si="228"/>
        <v>6.4047120729831466</v>
      </c>
      <c r="N462" s="10">
        <f t="shared" si="207"/>
        <v>17.20418640980624</v>
      </c>
      <c r="O462" s="10">
        <f t="shared" si="208"/>
        <v>-0.14810000000000001</v>
      </c>
      <c r="P462" s="10">
        <f t="shared" si="229"/>
        <v>13.067471067957491</v>
      </c>
      <c r="Q462" s="45">
        <f t="shared" si="230"/>
        <v>1.0311459094798063</v>
      </c>
      <c r="R462" s="4">
        <f t="shared" si="231"/>
        <v>756605.83400665422</v>
      </c>
      <c r="S462">
        <f t="shared" si="212"/>
        <v>7.5660583400665425E-4</v>
      </c>
      <c r="T462" s="44">
        <f t="shared" si="213"/>
        <v>1.3197905604753497E-3</v>
      </c>
      <c r="U462" s="45">
        <f t="shared" si="232"/>
        <v>1.350579243993578</v>
      </c>
      <c r="V462" s="45">
        <f t="shared" si="233"/>
        <v>1.588050345725913</v>
      </c>
      <c r="W462" s="45">
        <f t="shared" si="234"/>
        <v>1.5704785550627878</v>
      </c>
      <c r="X462" s="45">
        <f t="shared" si="235"/>
        <v>1.7571790663125197E-2</v>
      </c>
      <c r="Y462" s="45">
        <f t="shared" si="209"/>
        <v>2.6130080494244087E-2</v>
      </c>
      <c r="Z462" s="10">
        <f t="shared" si="236"/>
        <v>19.798656905708434</v>
      </c>
      <c r="AA462">
        <f t="shared" si="214"/>
        <v>6404689.3315320676</v>
      </c>
      <c r="AB462" s="10">
        <f t="shared" si="215"/>
        <v>6.4046893315320679</v>
      </c>
      <c r="AC462" s="10">
        <f t="shared" si="216"/>
        <v>6.3036893315320679</v>
      </c>
      <c r="AD462" s="3">
        <f t="shared" si="217"/>
        <v>914.24065722002433</v>
      </c>
      <c r="AI462" s="100">
        <f t="shared" si="218"/>
        <v>1.5704785550627878</v>
      </c>
    </row>
    <row r="463" spans="2:35">
      <c r="B463" s="39">
        <f t="shared" si="219"/>
        <v>435</v>
      </c>
      <c r="C463" s="45">
        <f t="shared" si="220"/>
        <v>12.778776978416548</v>
      </c>
      <c r="D463" s="10">
        <f t="shared" si="221"/>
        <v>11.721223021583683</v>
      </c>
      <c r="E463" s="40">
        <f t="shared" si="222"/>
        <v>45.557553956832635</v>
      </c>
      <c r="F463" s="40">
        <f t="shared" si="223"/>
        <v>69</v>
      </c>
      <c r="G463" s="3">
        <f t="shared" si="224"/>
        <v>357.76978417266946</v>
      </c>
      <c r="H463" s="3">
        <f t="shared" si="225"/>
        <v>221.47275588995251</v>
      </c>
      <c r="I463">
        <f t="shared" si="210"/>
        <v>2.214727558899525E-4</v>
      </c>
      <c r="J463" s="4">
        <f t="shared" si="226"/>
        <v>2308.6706147986783</v>
      </c>
      <c r="K463" s="40">
        <f t="shared" si="227"/>
        <v>10.424174321223656</v>
      </c>
      <c r="L463" s="40">
        <f t="shared" si="211"/>
        <v>0</v>
      </c>
      <c r="M463" s="10">
        <f t="shared" si="228"/>
        <v>6.4046893315320679</v>
      </c>
      <c r="N463" s="10">
        <f t="shared" si="207"/>
        <v>17.20418640980624</v>
      </c>
      <c r="O463" s="10">
        <f t="shared" si="208"/>
        <v>-0.14810000000000001</v>
      </c>
      <c r="P463" s="10">
        <f t="shared" si="229"/>
        <v>13.067477939686949</v>
      </c>
      <c r="Q463" s="45">
        <f t="shared" si="230"/>
        <v>1.0333939713427416</v>
      </c>
      <c r="R463" s="4">
        <f t="shared" si="231"/>
        <v>754605.90158947068</v>
      </c>
      <c r="S463">
        <f t="shared" si="212"/>
        <v>7.5460590158947071E-4</v>
      </c>
      <c r="T463" s="44">
        <f t="shared" si="213"/>
        <v>1.321790492892533E-3</v>
      </c>
      <c r="U463" s="45">
        <f t="shared" si="232"/>
        <v>1.3470092646322847</v>
      </c>
      <c r="V463" s="45">
        <f t="shared" si="233"/>
        <v>1.5880254098666498</v>
      </c>
      <c r="W463" s="45">
        <f t="shared" si="234"/>
        <v>1.5704728893596565</v>
      </c>
      <c r="X463" s="45">
        <f t="shared" si="235"/>
        <v>1.7552520506993297E-2</v>
      </c>
      <c r="Y463" s="45">
        <f t="shared" si="209"/>
        <v>2.6169539646194246E-2</v>
      </c>
      <c r="Z463" s="10">
        <f t="shared" si="236"/>
        <v>19.79855339171511</v>
      </c>
      <c r="AA463">
        <f t="shared" si="214"/>
        <v>6404656.3737380877</v>
      </c>
      <c r="AB463" s="10">
        <f t="shared" si="215"/>
        <v>6.4046563737380877</v>
      </c>
      <c r="AC463" s="10">
        <f t="shared" si="216"/>
        <v>6.3036563737380877</v>
      </c>
      <c r="AD463" s="3">
        <f t="shared" si="217"/>
        <v>914.23587726440724</v>
      </c>
      <c r="AI463" s="100">
        <f t="shared" si="218"/>
        <v>1.5704728893596565</v>
      </c>
    </row>
    <row r="464" spans="2:35">
      <c r="B464" s="39">
        <f t="shared" si="219"/>
        <v>436</v>
      </c>
      <c r="C464" s="45">
        <f t="shared" si="220"/>
        <v>12.808153477217505</v>
      </c>
      <c r="D464" s="10">
        <f t="shared" si="221"/>
        <v>11.691846522782726</v>
      </c>
      <c r="E464" s="40">
        <f t="shared" si="222"/>
        <v>45.616306954434549</v>
      </c>
      <c r="F464" s="40">
        <f t="shared" si="223"/>
        <v>69</v>
      </c>
      <c r="G464" s="3">
        <f t="shared" si="224"/>
        <v>357.5347721822618</v>
      </c>
      <c r="H464" s="3">
        <f t="shared" si="225"/>
        <v>221.47275588995251</v>
      </c>
      <c r="I464">
        <f t="shared" si="210"/>
        <v>2.214727558899525E-4</v>
      </c>
      <c r="J464" s="4">
        <f t="shared" si="226"/>
        <v>2312.8777866962423</v>
      </c>
      <c r="K464" s="40">
        <f t="shared" si="227"/>
        <v>10.443170661792312</v>
      </c>
      <c r="L464" s="40">
        <f t="shared" si="211"/>
        <v>0</v>
      </c>
      <c r="M464" s="10">
        <f t="shared" si="228"/>
        <v>6.4046563737380877</v>
      </c>
      <c r="N464" s="10">
        <f t="shared" si="207"/>
        <v>17.20418640980624</v>
      </c>
      <c r="O464" s="10">
        <f t="shared" si="208"/>
        <v>-0.14810000000000001</v>
      </c>
      <c r="P464" s="10">
        <f t="shared" si="229"/>
        <v>13.067487898513837</v>
      </c>
      <c r="Q464" s="45">
        <f t="shared" si="230"/>
        <v>1.0356420314924126</v>
      </c>
      <c r="R464" s="4">
        <f t="shared" si="231"/>
        <v>752606.00545068365</v>
      </c>
      <c r="S464">
        <f t="shared" si="212"/>
        <v>7.526060054506837E-4</v>
      </c>
      <c r="T464" s="44">
        <f t="shared" si="213"/>
        <v>1.3237903890313202E-3</v>
      </c>
      <c r="U464" s="45">
        <f t="shared" si="232"/>
        <v>1.3434393500297428</v>
      </c>
      <c r="V464" s="45">
        <f t="shared" si="233"/>
        <v>1.5879978136102051</v>
      </c>
      <c r="W464" s="45">
        <f t="shared" si="234"/>
        <v>1.5704646784026728</v>
      </c>
      <c r="X464" s="45">
        <f t="shared" si="235"/>
        <v>1.7533135207532302E-2</v>
      </c>
      <c r="Y464" s="45">
        <f t="shared" si="209"/>
        <v>2.6208955188753096E-2</v>
      </c>
      <c r="Z464" s="10">
        <f t="shared" si="236"/>
        <v>19.798417790245043</v>
      </c>
      <c r="AA464">
        <f t="shared" si="214"/>
        <v>6404613.199620557</v>
      </c>
      <c r="AB464" s="10">
        <f t="shared" si="215"/>
        <v>6.4046131996205569</v>
      </c>
      <c r="AC464" s="10">
        <f t="shared" si="216"/>
        <v>6.3036131996205569</v>
      </c>
      <c r="AD464" s="3">
        <f t="shared" si="217"/>
        <v>914.22961560849262</v>
      </c>
      <c r="AI464" s="100">
        <f t="shared" si="218"/>
        <v>1.5704646784026728</v>
      </c>
    </row>
    <row r="465" spans="2:35">
      <c r="B465" s="39">
        <f t="shared" si="219"/>
        <v>437</v>
      </c>
      <c r="C465" s="45">
        <f t="shared" si="220"/>
        <v>12.837529976018462</v>
      </c>
      <c r="D465" s="10">
        <f t="shared" si="221"/>
        <v>11.662470023981768</v>
      </c>
      <c r="E465" s="40">
        <f t="shared" si="222"/>
        <v>45.675059952036463</v>
      </c>
      <c r="F465" s="40">
        <f t="shared" si="223"/>
        <v>69</v>
      </c>
      <c r="G465" s="3">
        <f t="shared" si="224"/>
        <v>357.29976019185415</v>
      </c>
      <c r="H465" s="3">
        <f t="shared" si="225"/>
        <v>221.47275588995251</v>
      </c>
      <c r="I465">
        <f t="shared" si="210"/>
        <v>2.214727558899525E-4</v>
      </c>
      <c r="J465" s="4">
        <f t="shared" si="226"/>
        <v>2317.0903808487801</v>
      </c>
      <c r="K465" s="40">
        <f t="shared" si="227"/>
        <v>10.462191485078725</v>
      </c>
      <c r="L465" s="40">
        <f t="shared" si="211"/>
        <v>0</v>
      </c>
      <c r="M465" s="10">
        <f t="shared" si="228"/>
        <v>6.4046131996205569</v>
      </c>
      <c r="N465" s="10">
        <f t="shared" si="207"/>
        <v>17.20418640980624</v>
      </c>
      <c r="O465" s="10">
        <f t="shared" si="208"/>
        <v>-0.14810000000000001</v>
      </c>
      <c r="P465" s="10">
        <f t="shared" si="229"/>
        <v>13.067500944487019</v>
      </c>
      <c r="Q465" s="45">
        <f t="shared" si="230"/>
        <v>1.037890089397727</v>
      </c>
      <c r="R465" s="4">
        <f t="shared" si="231"/>
        <v>750606.14941317809</v>
      </c>
      <c r="S465">
        <f t="shared" si="212"/>
        <v>7.5060614941317814E-4</v>
      </c>
      <c r="T465" s="44">
        <f t="shared" si="213"/>
        <v>1.3257902450688258E-3</v>
      </c>
      <c r="U465" s="45">
        <f t="shared" si="232"/>
        <v>1.3398695070099935</v>
      </c>
      <c r="V465" s="45">
        <f t="shared" si="233"/>
        <v>1.5879675569344816</v>
      </c>
      <c r="W465" s="45">
        <f t="shared" si="234"/>
        <v>1.5704539221966578</v>
      </c>
      <c r="X465" s="45">
        <f t="shared" si="235"/>
        <v>1.7513634737823747E-2</v>
      </c>
      <c r="Y465" s="45">
        <f t="shared" si="209"/>
        <v>2.6248326853776247E-2</v>
      </c>
      <c r="Z465" s="10">
        <f t="shared" si="236"/>
        <v>19.79825010133003</v>
      </c>
      <c r="AA465">
        <f t="shared" si="214"/>
        <v>6404559.809189599</v>
      </c>
      <c r="AB465" s="10">
        <f t="shared" si="215"/>
        <v>6.4045598091895988</v>
      </c>
      <c r="AC465" s="10">
        <f t="shared" si="216"/>
        <v>6.3035598091895988</v>
      </c>
      <c r="AD465" s="3">
        <f t="shared" si="217"/>
        <v>914.22187225374898</v>
      </c>
      <c r="AI465" s="100">
        <f t="shared" si="218"/>
        <v>1.5704539221966578</v>
      </c>
    </row>
    <row r="466" spans="2:35">
      <c r="B466" s="39">
        <f t="shared" si="219"/>
        <v>438</v>
      </c>
      <c r="C466" s="45">
        <f t="shared" si="220"/>
        <v>12.86690647481942</v>
      </c>
      <c r="D466" s="10">
        <f t="shared" si="221"/>
        <v>11.633093525180811</v>
      </c>
      <c r="E466" s="40">
        <f t="shared" si="222"/>
        <v>45.733812949638377</v>
      </c>
      <c r="F466" s="40">
        <f t="shared" si="223"/>
        <v>69</v>
      </c>
      <c r="G466" s="3">
        <f t="shared" si="224"/>
        <v>357.06474820144649</v>
      </c>
      <c r="H466" s="3">
        <f t="shared" si="225"/>
        <v>221.47275588995251</v>
      </c>
      <c r="I466">
        <f t="shared" si="210"/>
        <v>2.214727558899525E-4</v>
      </c>
      <c r="J466" s="4">
        <f t="shared" si="226"/>
        <v>2321.3083972562922</v>
      </c>
      <c r="K466" s="40">
        <f t="shared" si="227"/>
        <v>10.4812367910829</v>
      </c>
      <c r="L466" s="40">
        <f t="shared" si="211"/>
        <v>0</v>
      </c>
      <c r="M466" s="10">
        <f t="shared" si="228"/>
        <v>6.4045598091895988</v>
      </c>
      <c r="N466" s="10">
        <f t="shared" si="207"/>
        <v>17.20418640980624</v>
      </c>
      <c r="O466" s="10">
        <f t="shared" si="208"/>
        <v>-0.14810000000000001</v>
      </c>
      <c r="P466" s="10">
        <f t="shared" si="229"/>
        <v>13.067517077675118</v>
      </c>
      <c r="Q466" s="45">
        <f t="shared" si="230"/>
        <v>1.0401381445275837</v>
      </c>
      <c r="R466" s="4">
        <f t="shared" si="231"/>
        <v>748606.33729983855</v>
      </c>
      <c r="S466">
        <f t="shared" si="212"/>
        <v>7.4860633729983853E-4</v>
      </c>
      <c r="T466" s="44">
        <f t="shared" si="213"/>
        <v>1.3277900571821654E-3</v>
      </c>
      <c r="U466" s="45">
        <f t="shared" si="232"/>
        <v>1.3362997423970768</v>
      </c>
      <c r="V466" s="45">
        <f t="shared" si="233"/>
        <v>1.5879346398165208</v>
      </c>
      <c r="W466" s="45">
        <f t="shared" si="234"/>
        <v>1.5704406207441337</v>
      </c>
      <c r="X466" s="45">
        <f t="shared" si="235"/>
        <v>1.7494019072387124E-2</v>
      </c>
      <c r="Y466" s="45">
        <f t="shared" si="209"/>
        <v>2.6287654373093737E-2</v>
      </c>
      <c r="Z466" s="10">
        <f t="shared" si="236"/>
        <v>19.798050324974845</v>
      </c>
      <c r="AA466">
        <f t="shared" si="214"/>
        <v>6404496.2024467336</v>
      </c>
      <c r="AB466" s="10">
        <f t="shared" si="215"/>
        <v>6.404496202446734</v>
      </c>
      <c r="AC466" s="10">
        <f t="shared" si="216"/>
        <v>6.303496202446734</v>
      </c>
      <c r="AD466" s="3">
        <f t="shared" si="217"/>
        <v>914.21264720039642</v>
      </c>
      <c r="AI466" s="100">
        <f t="shared" si="218"/>
        <v>1.5704406207441337</v>
      </c>
    </row>
    <row r="467" spans="2:35">
      <c r="B467" s="39">
        <f t="shared" si="219"/>
        <v>439</v>
      </c>
      <c r="C467" s="45">
        <f t="shared" si="220"/>
        <v>12.896282973620377</v>
      </c>
      <c r="D467" s="10">
        <f t="shared" si="221"/>
        <v>11.603717026379854</v>
      </c>
      <c r="E467" s="40">
        <f t="shared" si="222"/>
        <v>45.792565947240291</v>
      </c>
      <c r="F467" s="40">
        <f t="shared" si="223"/>
        <v>69</v>
      </c>
      <c r="G467" s="3">
        <f t="shared" si="224"/>
        <v>356.82973621103883</v>
      </c>
      <c r="H467" s="3">
        <f t="shared" si="225"/>
        <v>221.47275588995251</v>
      </c>
      <c r="I467">
        <f t="shared" si="210"/>
        <v>2.214727558899525E-4</v>
      </c>
      <c r="J467" s="4">
        <f t="shared" si="226"/>
        <v>2325.5318359187777</v>
      </c>
      <c r="K467" s="40">
        <f t="shared" si="227"/>
        <v>10.500306579804832</v>
      </c>
      <c r="L467" s="40">
        <f t="shared" si="211"/>
        <v>0</v>
      </c>
      <c r="M467" s="10">
        <f t="shared" si="228"/>
        <v>6.404496202446734</v>
      </c>
      <c r="N467" s="10">
        <f t="shared" si="207"/>
        <v>17.20418640980624</v>
      </c>
      <c r="O467" s="10">
        <f t="shared" si="208"/>
        <v>-0.14810000000000001</v>
      </c>
      <c r="P467" s="10">
        <f t="shared" si="229"/>
        <v>13.067536298166312</v>
      </c>
      <c r="Q467" s="45">
        <f t="shared" si="230"/>
        <v>1.0423861963508705</v>
      </c>
      <c r="R467" s="4">
        <f t="shared" si="231"/>
        <v>746606.57293355023</v>
      </c>
      <c r="S467">
        <f t="shared" si="212"/>
        <v>7.4660657293355024E-4</v>
      </c>
      <c r="T467" s="44">
        <f t="shared" si="213"/>
        <v>1.3297898215484535E-3</v>
      </c>
      <c r="U467" s="45">
        <f t="shared" si="232"/>
        <v>1.332730063015034</v>
      </c>
      <c r="V467" s="45">
        <f t="shared" si="233"/>
        <v>1.5878990622305453</v>
      </c>
      <c r="W467" s="45">
        <f t="shared" si="234"/>
        <v>1.5704247740454791</v>
      </c>
      <c r="X467" s="45">
        <f t="shared" si="235"/>
        <v>1.7474288185066245E-2</v>
      </c>
      <c r="Y467" s="45">
        <f t="shared" si="209"/>
        <v>2.6326937478508814E-2</v>
      </c>
      <c r="Z467" s="10">
        <f t="shared" si="236"/>
        <v>19.797818461155625</v>
      </c>
      <c r="AA467">
        <f t="shared" si="214"/>
        <v>6404422.379384364</v>
      </c>
      <c r="AB467" s="10">
        <f t="shared" si="215"/>
        <v>6.4044223793843642</v>
      </c>
      <c r="AC467" s="10">
        <f t="shared" si="216"/>
        <v>6.3034223793843642</v>
      </c>
      <c r="AD467" s="3">
        <f t="shared" si="217"/>
        <v>914.20194044733341</v>
      </c>
      <c r="AI467" s="100">
        <f t="shared" si="218"/>
        <v>1.5704247740454791</v>
      </c>
    </row>
    <row r="468" spans="2:35">
      <c r="B468" s="39">
        <f t="shared" si="219"/>
        <v>440</v>
      </c>
      <c r="C468" s="45">
        <f t="shared" si="220"/>
        <v>12.925659472421334</v>
      </c>
      <c r="D468" s="10">
        <f t="shared" si="221"/>
        <v>11.574340527578897</v>
      </c>
      <c r="E468" s="40">
        <f t="shared" si="222"/>
        <v>45.851318944842205</v>
      </c>
      <c r="F468" s="40">
        <f t="shared" si="223"/>
        <v>69</v>
      </c>
      <c r="G468" s="3">
        <f t="shared" si="224"/>
        <v>356.59472422063118</v>
      </c>
      <c r="H468" s="3">
        <f t="shared" si="225"/>
        <v>221.47275588995251</v>
      </c>
      <c r="I468">
        <f t="shared" si="210"/>
        <v>2.214727558899525E-4</v>
      </c>
      <c r="J468" s="4">
        <f t="shared" si="226"/>
        <v>2329.7606968362375</v>
      </c>
      <c r="K468" s="40">
        <f t="shared" si="227"/>
        <v>10.519400851244527</v>
      </c>
      <c r="L468" s="40">
        <f t="shared" si="211"/>
        <v>0</v>
      </c>
      <c r="M468" s="10">
        <f t="shared" si="228"/>
        <v>6.4044223793843642</v>
      </c>
      <c r="N468" s="10">
        <f t="shared" si="207"/>
        <v>17.20418640980624</v>
      </c>
      <c r="O468" s="10">
        <f t="shared" si="208"/>
        <v>-0.14810000000000001</v>
      </c>
      <c r="P468" s="10">
        <f t="shared" si="229"/>
        <v>13.067558606068509</v>
      </c>
      <c r="Q468" s="45">
        <f t="shared" si="230"/>
        <v>1.0446342443364609</v>
      </c>
      <c r="R468" s="4">
        <f t="shared" si="231"/>
        <v>744606.86013719754</v>
      </c>
      <c r="S468">
        <f t="shared" si="212"/>
        <v>7.4460686013719756E-4</v>
      </c>
      <c r="T468" s="44">
        <f t="shared" si="213"/>
        <v>1.3317895343448061E-3</v>
      </c>
      <c r="U468" s="45">
        <f t="shared" si="232"/>
        <v>1.3291604756879045</v>
      </c>
      <c r="V468" s="45">
        <f t="shared" si="233"/>
        <v>1.5878608241505261</v>
      </c>
      <c r="W468" s="45">
        <f t="shared" si="234"/>
        <v>1.5704063820988008</v>
      </c>
      <c r="X468" s="45">
        <f t="shared" si="235"/>
        <v>1.7454442051725305E-2</v>
      </c>
      <c r="Y468" s="45">
        <f t="shared" si="209"/>
        <v>2.6366175901802801E-2</v>
      </c>
      <c r="Z468" s="10">
        <f t="shared" si="236"/>
        <v>19.797554509822785</v>
      </c>
      <c r="AA468">
        <f t="shared" si="214"/>
        <v>6404338.3399867034</v>
      </c>
      <c r="AB468" s="10">
        <f t="shared" si="215"/>
        <v>6.4043383399867038</v>
      </c>
      <c r="AC468" s="10">
        <f t="shared" si="216"/>
        <v>6.3033383399867038</v>
      </c>
      <c r="AD468" s="3">
        <f t="shared" si="217"/>
        <v>914.1897519922702</v>
      </c>
      <c r="AI468" s="100">
        <f t="shared" si="218"/>
        <v>1.5704063820988008</v>
      </c>
    </row>
    <row r="469" spans="2:35">
      <c r="B469" s="39">
        <f t="shared" si="219"/>
        <v>441</v>
      </c>
      <c r="C469" s="45">
        <f t="shared" si="220"/>
        <v>12.955035971222291</v>
      </c>
      <c r="D469" s="10">
        <f t="shared" si="221"/>
        <v>11.54496402877794</v>
      </c>
      <c r="E469" s="40">
        <f t="shared" si="222"/>
        <v>45.910071942444119</v>
      </c>
      <c r="F469" s="40">
        <f t="shared" si="223"/>
        <v>69</v>
      </c>
      <c r="G469" s="3">
        <f t="shared" si="224"/>
        <v>356.35971223022352</v>
      </c>
      <c r="H469" s="3">
        <f t="shared" si="225"/>
        <v>221.47275588995251</v>
      </c>
      <c r="I469">
        <f t="shared" si="210"/>
        <v>2.214727558899525E-4</v>
      </c>
      <c r="J469" s="4">
        <f t="shared" si="226"/>
        <v>2333.9949800086706</v>
      </c>
      <c r="K469" s="40">
        <f t="shared" si="227"/>
        <v>10.538519605401977</v>
      </c>
      <c r="L469" s="40">
        <f t="shared" si="211"/>
        <v>0</v>
      </c>
      <c r="M469" s="10">
        <f t="shared" si="228"/>
        <v>6.4043383399867038</v>
      </c>
      <c r="N469" s="10">
        <f t="shared" si="207"/>
        <v>17.20418640980624</v>
      </c>
      <c r="O469" s="10">
        <f t="shared" si="208"/>
        <v>-0.14810000000000001</v>
      </c>
      <c r="P469" s="10">
        <f t="shared" si="229"/>
        <v>13.067584001509053</v>
      </c>
      <c r="Q469" s="45">
        <f t="shared" si="230"/>
        <v>1.0468822879532125</v>
      </c>
      <c r="R469" s="4">
        <f t="shared" si="231"/>
        <v>742607.20273366559</v>
      </c>
      <c r="S469">
        <f t="shared" si="212"/>
        <v>7.4260720273366563E-4</v>
      </c>
      <c r="T469" s="44">
        <f t="shared" si="213"/>
        <v>1.3337891917483383E-3</v>
      </c>
      <c r="U469" s="45">
        <f t="shared" si="232"/>
        <v>1.3255909872397298</v>
      </c>
      <c r="V469" s="45">
        <f t="shared" si="233"/>
        <v>1.5878199255460392</v>
      </c>
      <c r="W469" s="45">
        <f t="shared" si="234"/>
        <v>1.5703854449001662</v>
      </c>
      <c r="X469" s="45">
        <f t="shared" si="235"/>
        <v>1.7434480645873052E-2</v>
      </c>
      <c r="Y469" s="45">
        <f t="shared" si="209"/>
        <v>2.6405369374730134E-2</v>
      </c>
      <c r="Z469" s="10">
        <f t="shared" si="236"/>
        <v>19.797258470896612</v>
      </c>
      <c r="AA469">
        <f t="shared" si="214"/>
        <v>6404244.0842283685</v>
      </c>
      <c r="AB469" s="10">
        <f t="shared" si="215"/>
        <v>6.4042440842283685</v>
      </c>
      <c r="AC469" s="10">
        <f t="shared" si="216"/>
        <v>6.3032440842283686</v>
      </c>
      <c r="AD469" s="3">
        <f t="shared" si="217"/>
        <v>914.17608183152549</v>
      </c>
      <c r="AI469" s="100">
        <f t="shared" si="218"/>
        <v>1.5703854449001662</v>
      </c>
    </row>
    <row r="470" spans="2:35">
      <c r="B470" s="39">
        <f t="shared" si="219"/>
        <v>442</v>
      </c>
      <c r="C470" s="45">
        <f t="shared" si="220"/>
        <v>12.984412470023248</v>
      </c>
      <c r="D470" s="10">
        <f t="shared" si="221"/>
        <v>11.515587529976983</v>
      </c>
      <c r="E470" s="40">
        <f t="shared" si="222"/>
        <v>45.968824940046034</v>
      </c>
      <c r="F470" s="40">
        <f t="shared" si="223"/>
        <v>69</v>
      </c>
      <c r="G470" s="3">
        <f t="shared" si="224"/>
        <v>356.12470023981587</v>
      </c>
      <c r="H470" s="3">
        <f t="shared" si="225"/>
        <v>221.47275588995251</v>
      </c>
      <c r="I470">
        <f t="shared" si="210"/>
        <v>2.214727558899525E-4</v>
      </c>
      <c r="J470" s="4">
        <f t="shared" si="226"/>
        <v>2338.2346854360781</v>
      </c>
      <c r="K470" s="40">
        <f t="shared" si="227"/>
        <v>10.557662842277189</v>
      </c>
      <c r="L470" s="40">
        <f t="shared" si="211"/>
        <v>0</v>
      </c>
      <c r="M470" s="10">
        <f t="shared" si="228"/>
        <v>6.4042440842283685</v>
      </c>
      <c r="N470" s="10">
        <f t="shared" si="207"/>
        <v>17.20418640980624</v>
      </c>
      <c r="O470" s="10">
        <f t="shared" si="208"/>
        <v>-0.14810000000000001</v>
      </c>
      <c r="P470" s="10">
        <f t="shared" si="229"/>
        <v>13.067612484635154</v>
      </c>
      <c r="Q470" s="45">
        <f t="shared" si="230"/>
        <v>1.0491303266699634</v>
      </c>
      <c r="R470" s="4">
        <f t="shared" si="231"/>
        <v>740607.60454583901</v>
      </c>
      <c r="S470">
        <f t="shared" si="212"/>
        <v>7.4060760454583907E-4</v>
      </c>
      <c r="T470" s="44">
        <f t="shared" si="213"/>
        <v>1.3357887899361647E-3</v>
      </c>
      <c r="U470" s="45">
        <f t="shared" si="232"/>
        <v>1.3220216044945501</v>
      </c>
      <c r="V470" s="45">
        <f t="shared" si="233"/>
        <v>1.5877763663868207</v>
      </c>
      <c r="W470" s="45">
        <f t="shared" si="234"/>
        <v>1.5703619624432521</v>
      </c>
      <c r="X470" s="45">
        <f t="shared" si="235"/>
        <v>1.7414403943568635E-2</v>
      </c>
      <c r="Y470" s="45">
        <f t="shared" si="209"/>
        <v>2.6444517629024417E-2</v>
      </c>
      <c r="Z470" s="10">
        <f t="shared" si="236"/>
        <v>19.796930344271086</v>
      </c>
      <c r="AA470">
        <f t="shared" si="214"/>
        <v>6404139.6120756082</v>
      </c>
      <c r="AB470" s="10">
        <f t="shared" si="215"/>
        <v>6.4041396120756087</v>
      </c>
      <c r="AC470" s="10">
        <f t="shared" si="216"/>
        <v>6.3031396120756087</v>
      </c>
      <c r="AD470" s="3">
        <f t="shared" si="217"/>
        <v>914.16092996020427</v>
      </c>
      <c r="AI470" s="100">
        <f t="shared" si="218"/>
        <v>1.5703619624432521</v>
      </c>
    </row>
    <row r="471" spans="2:35">
      <c r="B471" s="39">
        <f t="shared" si="219"/>
        <v>443</v>
      </c>
      <c r="C471" s="45">
        <f t="shared" si="220"/>
        <v>13.013788968824205</v>
      </c>
      <c r="D471" s="10">
        <f t="shared" si="221"/>
        <v>11.486211031176026</v>
      </c>
      <c r="E471" s="40">
        <f t="shared" si="222"/>
        <v>46.027577937647948</v>
      </c>
      <c r="F471" s="40">
        <f t="shared" si="223"/>
        <v>69</v>
      </c>
      <c r="G471" s="3">
        <f t="shared" si="224"/>
        <v>355.88968824940821</v>
      </c>
      <c r="H471" s="3">
        <f t="shared" si="225"/>
        <v>221.47275588995251</v>
      </c>
      <c r="I471">
        <f t="shared" si="210"/>
        <v>2.214727558899525E-4</v>
      </c>
      <c r="J471" s="4">
        <f t="shared" si="226"/>
        <v>2342.4798131184593</v>
      </c>
      <c r="K471" s="40">
        <f t="shared" si="227"/>
        <v>10.57683056187016</v>
      </c>
      <c r="L471" s="40">
        <f t="shared" si="211"/>
        <v>0</v>
      </c>
      <c r="M471" s="10">
        <f t="shared" si="228"/>
        <v>6.4041396120756087</v>
      </c>
      <c r="N471" s="10">
        <f t="shared" si="207"/>
        <v>17.20418640980624</v>
      </c>
      <c r="O471" s="10">
        <f t="shared" si="208"/>
        <v>-0.14810000000000001</v>
      </c>
      <c r="P471" s="10">
        <f t="shared" si="229"/>
        <v>13.067644055613528</v>
      </c>
      <c r="Q471" s="45">
        <f t="shared" si="230"/>
        <v>1.0513783599555302</v>
      </c>
      <c r="R471" s="4">
        <f t="shared" si="231"/>
        <v>738608.06939660257</v>
      </c>
      <c r="S471">
        <f t="shared" si="212"/>
        <v>7.3860806939660259E-4</v>
      </c>
      <c r="T471" s="44">
        <f t="shared" si="213"/>
        <v>1.3377883250854012E-3</v>
      </c>
      <c r="U471" s="45">
        <f t="shared" si="232"/>
        <v>1.3184523342764054</v>
      </c>
      <c r="V471" s="45">
        <f t="shared" si="233"/>
        <v>1.5877301466400646</v>
      </c>
      <c r="W471" s="45">
        <f t="shared" si="234"/>
        <v>1.5703359347196484</v>
      </c>
      <c r="X471" s="45">
        <f t="shared" si="235"/>
        <v>1.7394211920416236E-2</v>
      </c>
      <c r="Y471" s="45">
        <f t="shared" si="209"/>
        <v>2.6483620396397716E-2</v>
      </c>
      <c r="Z471" s="10">
        <f t="shared" si="236"/>
        <v>19.796570129812626</v>
      </c>
      <c r="AA471">
        <f t="shared" si="214"/>
        <v>6404024.9234858882</v>
      </c>
      <c r="AB471" s="10">
        <f t="shared" si="215"/>
        <v>6.4040249234858884</v>
      </c>
      <c r="AC471" s="10">
        <f t="shared" si="216"/>
        <v>6.3030249234858884</v>
      </c>
      <c r="AD471" s="3">
        <f t="shared" si="217"/>
        <v>914.14429637213755</v>
      </c>
      <c r="AI471" s="100">
        <f t="shared" si="218"/>
        <v>1.5703359347196484</v>
      </c>
    </row>
    <row r="472" spans="2:35">
      <c r="B472" s="39">
        <f t="shared" si="219"/>
        <v>444</v>
      </c>
      <c r="C472" s="45">
        <f t="shared" si="220"/>
        <v>13.043165467625162</v>
      </c>
      <c r="D472" s="10">
        <f t="shared" si="221"/>
        <v>11.456834532375069</v>
      </c>
      <c r="E472" s="40">
        <f t="shared" si="222"/>
        <v>46.086330935249862</v>
      </c>
      <c r="F472" s="40">
        <f t="shared" si="223"/>
        <v>69</v>
      </c>
      <c r="G472" s="3">
        <f t="shared" si="224"/>
        <v>355.65467625900055</v>
      </c>
      <c r="H472" s="3">
        <f t="shared" si="225"/>
        <v>221.47275588995251</v>
      </c>
      <c r="I472">
        <f t="shared" si="210"/>
        <v>2.214727558899525E-4</v>
      </c>
      <c r="J472" s="4">
        <f t="shared" si="226"/>
        <v>2346.7303630558145</v>
      </c>
      <c r="K472" s="40">
        <f t="shared" si="227"/>
        <v>10.596022764180892</v>
      </c>
      <c r="L472" s="40">
        <f t="shared" si="211"/>
        <v>0</v>
      </c>
      <c r="M472" s="10">
        <f t="shared" si="228"/>
        <v>6.4040249234858884</v>
      </c>
      <c r="N472" s="10">
        <f t="shared" si="207"/>
        <v>17.20418640980624</v>
      </c>
      <c r="O472" s="10">
        <f t="shared" si="208"/>
        <v>-0.14810000000000001</v>
      </c>
      <c r="P472" s="10">
        <f t="shared" si="229"/>
        <v>13.067678714630519</v>
      </c>
      <c r="Q472" s="45">
        <f t="shared" si="230"/>
        <v>1.0536263872787048</v>
      </c>
      <c r="R472" s="4">
        <f t="shared" si="231"/>
        <v>736608.60110884125</v>
      </c>
      <c r="S472">
        <f t="shared" si="212"/>
        <v>7.3660860110884123E-4</v>
      </c>
      <c r="T472" s="44">
        <f t="shared" si="213"/>
        <v>1.3397877933731626E-3</v>
      </c>
      <c r="U472" s="45">
        <f t="shared" si="232"/>
        <v>1.3148831834093373</v>
      </c>
      <c r="V472" s="45">
        <f t="shared" si="233"/>
        <v>1.5876812662702824</v>
      </c>
      <c r="W472" s="45">
        <f t="shared" si="234"/>
        <v>1.5703073617187593</v>
      </c>
      <c r="X472" s="45">
        <f t="shared" si="235"/>
        <v>1.7373904551523101E-2</v>
      </c>
      <c r="Y472" s="45">
        <f t="shared" si="209"/>
        <v>2.6522677408539769E-2</v>
      </c>
      <c r="Z472" s="10">
        <f t="shared" si="236"/>
        <v>19.796177827358797</v>
      </c>
      <c r="AA472">
        <f t="shared" si="214"/>
        <v>6403900.0184074929</v>
      </c>
      <c r="AB472" s="10">
        <f t="shared" si="215"/>
        <v>6.4039000184074926</v>
      </c>
      <c r="AC472" s="10">
        <f t="shared" si="216"/>
        <v>6.3029000184074926</v>
      </c>
      <c r="AD472" s="3">
        <f t="shared" si="217"/>
        <v>914.12618105982494</v>
      </c>
      <c r="AI472" s="100">
        <f t="shared" si="218"/>
        <v>1.5703073617187593</v>
      </c>
    </row>
    <row r="473" spans="2:35">
      <c r="B473" s="39">
        <f t="shared" si="219"/>
        <v>445</v>
      </c>
      <c r="C473" s="45">
        <f t="shared" si="220"/>
        <v>13.072541966426119</v>
      </c>
      <c r="D473" s="10">
        <f t="shared" si="221"/>
        <v>11.427458033574112</v>
      </c>
      <c r="E473" s="40">
        <f t="shared" si="222"/>
        <v>46.145083932851776</v>
      </c>
      <c r="F473" s="40">
        <f t="shared" si="223"/>
        <v>69</v>
      </c>
      <c r="G473" s="3">
        <f t="shared" si="224"/>
        <v>355.4196642685929</v>
      </c>
      <c r="H473" s="3">
        <f t="shared" si="225"/>
        <v>221.47275588995251</v>
      </c>
      <c r="I473">
        <f t="shared" si="210"/>
        <v>2.214727558899525E-4</v>
      </c>
      <c r="J473" s="4">
        <f t="shared" si="226"/>
        <v>2350.9863352481439</v>
      </c>
      <c r="K473" s="40">
        <f t="shared" si="227"/>
        <v>10.615239449209383</v>
      </c>
      <c r="L473" s="40">
        <f t="shared" si="211"/>
        <v>0</v>
      </c>
      <c r="M473" s="10">
        <f t="shared" si="228"/>
        <v>6.4039000184074926</v>
      </c>
      <c r="N473" s="10">
        <f t="shared" si="207"/>
        <v>17.20418640980624</v>
      </c>
      <c r="O473" s="10">
        <f t="shared" si="208"/>
        <v>-0.14810000000000001</v>
      </c>
      <c r="P473" s="10">
        <f t="shared" si="229"/>
        <v>13.067716461892228</v>
      </c>
      <c r="Q473" s="45">
        <f t="shared" si="230"/>
        <v>1.0558744081082525</v>
      </c>
      <c r="R473" s="4">
        <f t="shared" si="231"/>
        <v>734609.20350543945</v>
      </c>
      <c r="S473">
        <f t="shared" si="212"/>
        <v>7.346092035054395E-4</v>
      </c>
      <c r="T473" s="44">
        <f t="shared" si="213"/>
        <v>1.3417871909765643E-3</v>
      </c>
      <c r="U473" s="45">
        <f t="shared" si="232"/>
        <v>1.3113141587173849</v>
      </c>
      <c r="V473" s="45">
        <f t="shared" si="233"/>
        <v>1.5876297252417133</v>
      </c>
      <c r="W473" s="45">
        <f t="shared" si="234"/>
        <v>1.5702762434277002</v>
      </c>
      <c r="X473" s="45">
        <f t="shared" si="235"/>
        <v>1.7353481814013083E-2</v>
      </c>
      <c r="Y473" s="45">
        <f t="shared" si="209"/>
        <v>2.6561688397122848E-2</v>
      </c>
      <c r="Z473" s="10">
        <f t="shared" si="236"/>
        <v>19.795753436721231</v>
      </c>
      <c r="AA473">
        <f t="shared" si="214"/>
        <v>6403764.8967804471</v>
      </c>
      <c r="AB473" s="10">
        <f t="shared" si="215"/>
        <v>6.403764896780447</v>
      </c>
      <c r="AC473" s="10">
        <f t="shared" si="216"/>
        <v>6.302764896780447</v>
      </c>
      <c r="AD473" s="3">
        <f t="shared" si="217"/>
        <v>914.10658401456806</v>
      </c>
      <c r="AI473" s="100">
        <f t="shared" si="218"/>
        <v>1.5702762434277002</v>
      </c>
    </row>
    <row r="474" spans="2:35">
      <c r="B474" s="39">
        <f t="shared" si="219"/>
        <v>446</v>
      </c>
      <c r="C474" s="45">
        <f t="shared" si="220"/>
        <v>13.101918465227076</v>
      </c>
      <c r="D474" s="10">
        <f t="shared" si="221"/>
        <v>11.398081534773155</v>
      </c>
      <c r="E474" s="40">
        <f t="shared" si="222"/>
        <v>46.20383693045369</v>
      </c>
      <c r="F474" s="40">
        <f t="shared" si="223"/>
        <v>69</v>
      </c>
      <c r="G474" s="3">
        <f t="shared" si="224"/>
        <v>355.18465227818524</v>
      </c>
      <c r="H474" s="3">
        <f t="shared" si="225"/>
        <v>221.47275588995251</v>
      </c>
      <c r="I474">
        <f t="shared" si="210"/>
        <v>2.214727558899525E-4</v>
      </c>
      <c r="J474" s="4">
        <f t="shared" si="226"/>
        <v>2355.2477296954471</v>
      </c>
      <c r="K474" s="40">
        <f t="shared" si="227"/>
        <v>10.634480616955637</v>
      </c>
      <c r="L474" s="40">
        <f t="shared" si="211"/>
        <v>0</v>
      </c>
      <c r="M474" s="10">
        <f t="shared" si="228"/>
        <v>6.403764896780447</v>
      </c>
      <c r="N474" s="10">
        <f t="shared" si="207"/>
        <v>17.20418640980624</v>
      </c>
      <c r="O474" s="10">
        <f t="shared" si="208"/>
        <v>-0.14810000000000001</v>
      </c>
      <c r="P474" s="10">
        <f t="shared" si="229"/>
        <v>13.067757297624228</v>
      </c>
      <c r="Q474" s="45">
        <f t="shared" si="230"/>
        <v>1.0581224219129088</v>
      </c>
      <c r="R474" s="4">
        <f t="shared" si="231"/>
        <v>732609.8804092824</v>
      </c>
      <c r="S474">
        <f t="shared" si="212"/>
        <v>7.3260988040928243E-4</v>
      </c>
      <c r="T474" s="44">
        <f t="shared" si="213"/>
        <v>1.3437865140727215E-3</v>
      </c>
      <c r="U474" s="45">
        <f t="shared" si="232"/>
        <v>1.3077452670245895</v>
      </c>
      <c r="V474" s="45">
        <f t="shared" si="233"/>
        <v>1.5875755235146296</v>
      </c>
      <c r="W474" s="45">
        <f t="shared" si="234"/>
        <v>1.5702425798315298</v>
      </c>
      <c r="X474" s="45">
        <f t="shared" si="235"/>
        <v>1.7332943683099789E-2</v>
      </c>
      <c r="Y474" s="45">
        <f t="shared" si="209"/>
        <v>2.6600653093797787E-2</v>
      </c>
      <c r="Z474" s="10">
        <f t="shared" si="236"/>
        <v>19.795296957681959</v>
      </c>
      <c r="AA474">
        <f t="shared" si="214"/>
        <v>6403619.5585353505</v>
      </c>
      <c r="AB474" s="10">
        <f t="shared" si="215"/>
        <v>6.4036195585353504</v>
      </c>
      <c r="AC474" s="10">
        <f t="shared" si="216"/>
        <v>6.3026195585353504</v>
      </c>
      <c r="AD474" s="3">
        <f t="shared" si="217"/>
        <v>914.08550522630173</v>
      </c>
      <c r="AI474" s="100">
        <f t="shared" si="218"/>
        <v>1.5702425798315298</v>
      </c>
    </row>
    <row r="475" spans="2:35">
      <c r="B475" s="39">
        <f t="shared" si="219"/>
        <v>447</v>
      </c>
      <c r="C475" s="45">
        <f t="shared" si="220"/>
        <v>13.131294964028033</v>
      </c>
      <c r="D475" s="10">
        <f t="shared" si="221"/>
        <v>11.368705035972198</v>
      </c>
      <c r="E475" s="40">
        <f t="shared" si="222"/>
        <v>46.262589928055604</v>
      </c>
      <c r="F475" s="40">
        <f t="shared" si="223"/>
        <v>69</v>
      </c>
      <c r="G475" s="3">
        <f t="shared" si="224"/>
        <v>354.94964028777758</v>
      </c>
      <c r="H475" s="3">
        <f t="shared" si="225"/>
        <v>221.47275588995251</v>
      </c>
      <c r="I475">
        <f t="shared" si="210"/>
        <v>2.214727558899525E-4</v>
      </c>
      <c r="J475" s="4">
        <f t="shared" si="226"/>
        <v>2359.5145463977237</v>
      </c>
      <c r="K475" s="40">
        <f t="shared" si="227"/>
        <v>10.653746267419645</v>
      </c>
      <c r="L475" s="40">
        <f t="shared" si="211"/>
        <v>0</v>
      </c>
      <c r="M475" s="10">
        <f t="shared" si="228"/>
        <v>6.4036195585353504</v>
      </c>
      <c r="N475" s="10">
        <f t="shared" si="207"/>
        <v>17.20418640980624</v>
      </c>
      <c r="O475" s="10">
        <f t="shared" si="208"/>
        <v>-0.14810000000000001</v>
      </c>
      <c r="P475" s="10">
        <f t="shared" si="229"/>
        <v>13.067801222071928</v>
      </c>
      <c r="Q475" s="45">
        <f t="shared" si="230"/>
        <v>1.0603704281613771</v>
      </c>
      <c r="R475" s="4">
        <f t="shared" si="231"/>
        <v>730610.63564325497</v>
      </c>
      <c r="S475">
        <f t="shared" si="212"/>
        <v>7.3061063564325496E-4</v>
      </c>
      <c r="T475" s="44">
        <f t="shared" si="213"/>
        <v>1.3457857588387487E-3</v>
      </c>
      <c r="U475" s="45">
        <f t="shared" si="232"/>
        <v>1.3041765151549922</v>
      </c>
      <c r="V475" s="45">
        <f t="shared" si="233"/>
        <v>1.587518661048652</v>
      </c>
      <c r="W475" s="45">
        <f t="shared" si="234"/>
        <v>1.5702063709129572</v>
      </c>
      <c r="X475" s="45">
        <f t="shared" si="235"/>
        <v>1.7312290135694797E-2</v>
      </c>
      <c r="Y475" s="45">
        <f t="shared" si="209"/>
        <v>2.6639571230198125E-2</v>
      </c>
      <c r="Z475" s="10">
        <f t="shared" si="236"/>
        <v>19.794808389995797</v>
      </c>
      <c r="AA475">
        <f t="shared" si="214"/>
        <v>6403464.0035941415</v>
      </c>
      <c r="AB475" s="10">
        <f t="shared" si="215"/>
        <v>6.4034640035941415</v>
      </c>
      <c r="AC475" s="10">
        <f t="shared" si="216"/>
        <v>6.3024640035941415</v>
      </c>
      <c r="AD475" s="3">
        <f t="shared" si="217"/>
        <v>914.06294468370436</v>
      </c>
      <c r="AI475" s="100">
        <f t="shared" si="218"/>
        <v>1.5702063709129572</v>
      </c>
    </row>
    <row r="476" spans="2:35">
      <c r="B476" s="39">
        <f t="shared" si="219"/>
        <v>448</v>
      </c>
      <c r="C476" s="45">
        <f t="shared" si="220"/>
        <v>13.16067146282899</v>
      </c>
      <c r="D476" s="10">
        <f t="shared" si="221"/>
        <v>11.339328537171241</v>
      </c>
      <c r="E476" s="40">
        <f t="shared" si="222"/>
        <v>46.321342925657518</v>
      </c>
      <c r="F476" s="40">
        <f t="shared" si="223"/>
        <v>69</v>
      </c>
      <c r="G476" s="3">
        <f t="shared" si="224"/>
        <v>354.71462829736993</v>
      </c>
      <c r="H476" s="3">
        <f t="shared" si="225"/>
        <v>221.47275588995251</v>
      </c>
      <c r="I476">
        <f t="shared" si="210"/>
        <v>2.214727558899525E-4</v>
      </c>
      <c r="J476" s="4">
        <f t="shared" si="226"/>
        <v>2363.7867853549747</v>
      </c>
      <c r="K476" s="40">
        <f t="shared" si="227"/>
        <v>10.673036400601415</v>
      </c>
      <c r="L476" s="40">
        <f t="shared" si="211"/>
        <v>0</v>
      </c>
      <c r="M476" s="10">
        <f t="shared" si="228"/>
        <v>6.4034640035941415</v>
      </c>
      <c r="N476" s="10">
        <f t="shared" ref="N476:N539" si="237">IF(fueltype=1,VLOOKUP($M476,kndxbn_,4),IF(fueltype=2,VLOOKUP($M476,knsobn_,4),IF(fueltype=3,VLOOKUP($M476,knsbcobn_,4),IF(fueltype=4,VLOOKUP($M476,knsubn_,4),IF(fueltype=5,am_1,IF(fueltype=6,am_0,IF(fueltype=7,am_3,am_4)))))))</f>
        <v>17.20418640980624</v>
      </c>
      <c r="O476" s="10">
        <f t="shared" ref="O476:O539" si="238">IF(fueltype=1,VLOOKUP($M476,kndxbn_,5),IF(fueltype=2,VLOOKUP($M476,knsobn_,5),IF(fueltype=3,VLOOKUP($M476,knsbcobn_,5),IF(fueltype=4,VLOOKUP($M476,knsubn_,5),IF(fueltype=5,nm_1,IF(fueltype=6,an_0,IF(fueltype=7,nm_3,nm_4)))))))</f>
        <v>-0.14810000000000001</v>
      </c>
      <c r="P476" s="10">
        <f t="shared" si="229"/>
        <v>13.067848235500353</v>
      </c>
      <c r="Q476" s="45">
        <f t="shared" si="230"/>
        <v>1.0626184263223255</v>
      </c>
      <c r="R476" s="4">
        <f t="shared" si="231"/>
        <v>728611.47303024156</v>
      </c>
      <c r="S476">
        <f t="shared" si="212"/>
        <v>7.286114730302416E-4</v>
      </c>
      <c r="T476" s="44">
        <f t="shared" si="213"/>
        <v>1.3477849214517622E-3</v>
      </c>
      <c r="U476" s="45">
        <f t="shared" si="232"/>
        <v>1.3006079099326326</v>
      </c>
      <c r="V476" s="45">
        <f t="shared" si="233"/>
        <v>1.587459137801942</v>
      </c>
      <c r="W476" s="45">
        <f t="shared" si="234"/>
        <v>1.5701676166525353</v>
      </c>
      <c r="X476" s="45">
        <f t="shared" si="235"/>
        <v>1.7291521149406686E-2</v>
      </c>
      <c r="Y476" s="45">
        <f t="shared" si="209"/>
        <v>2.6678442537941993E-2</v>
      </c>
      <c r="Z476" s="10">
        <f t="shared" si="236"/>
        <v>19.794287733391016</v>
      </c>
      <c r="AA476">
        <f t="shared" si="214"/>
        <v>6403298.2318703029</v>
      </c>
      <c r="AB476" s="10">
        <f t="shared" si="215"/>
        <v>6.4032982318703029</v>
      </c>
      <c r="AC476" s="10">
        <f t="shared" si="216"/>
        <v>6.3022982318703029</v>
      </c>
      <c r="AD476" s="3">
        <f t="shared" si="217"/>
        <v>914.03890237422809</v>
      </c>
      <c r="AI476" s="100">
        <f t="shared" si="218"/>
        <v>1.5701676166525353</v>
      </c>
    </row>
    <row r="477" spans="2:35">
      <c r="B477" s="39">
        <f t="shared" si="219"/>
        <v>449</v>
      </c>
      <c r="C477" s="45">
        <f t="shared" si="220"/>
        <v>13.190047961629947</v>
      </c>
      <c r="D477" s="10">
        <f t="shared" si="221"/>
        <v>11.309952038370284</v>
      </c>
      <c r="E477" s="40">
        <f t="shared" si="222"/>
        <v>46.380095923259432</v>
      </c>
      <c r="F477" s="40">
        <f t="shared" si="223"/>
        <v>69</v>
      </c>
      <c r="G477" s="3">
        <f t="shared" si="224"/>
        <v>354.47961630696227</v>
      </c>
      <c r="H477" s="3">
        <f t="shared" si="225"/>
        <v>221.47275588995251</v>
      </c>
      <c r="I477">
        <f t="shared" si="210"/>
        <v>2.214727558899525E-4</v>
      </c>
      <c r="J477" s="4">
        <f t="shared" si="226"/>
        <v>2368.0644465671999</v>
      </c>
      <c r="K477" s="40">
        <f t="shared" si="227"/>
        <v>10.692351016500947</v>
      </c>
      <c r="L477" s="40">
        <f t="shared" si="211"/>
        <v>0</v>
      </c>
      <c r="M477" s="10">
        <f t="shared" si="228"/>
        <v>6.4032982318703029</v>
      </c>
      <c r="N477" s="10">
        <f t="shared" si="237"/>
        <v>17.20418640980624</v>
      </c>
      <c r="O477" s="10">
        <f t="shared" si="238"/>
        <v>-0.14810000000000001</v>
      </c>
      <c r="P477" s="10">
        <f t="shared" si="229"/>
        <v>13.06789833819407</v>
      </c>
      <c r="Q477" s="45">
        <f t="shared" si="230"/>
        <v>1.064866415864385</v>
      </c>
      <c r="R477" s="4">
        <f t="shared" si="231"/>
        <v>726612.39639312692</v>
      </c>
      <c r="S477">
        <f t="shared" si="212"/>
        <v>7.2661239639312694E-4</v>
      </c>
      <c r="T477" s="44">
        <f t="shared" si="213"/>
        <v>1.349783998088877E-3</v>
      </c>
      <c r="U477" s="45">
        <f t="shared" si="232"/>
        <v>1.2970394581815512</v>
      </c>
      <c r="V477" s="45">
        <f t="shared" si="233"/>
        <v>1.5873969537296784</v>
      </c>
      <c r="W477" s="45">
        <f t="shared" si="234"/>
        <v>1.5701263170287085</v>
      </c>
      <c r="X477" s="45">
        <f t="shared" si="235"/>
        <v>1.7270636700969844E-2</v>
      </c>
      <c r="Y477" s="45">
        <f t="shared" si="209"/>
        <v>2.6717266748630484E-2</v>
      </c>
      <c r="Z477" s="10">
        <f t="shared" si="236"/>
        <v>19.793734987567454</v>
      </c>
      <c r="AA477">
        <f t="shared" si="214"/>
        <v>6403122.2432682663</v>
      </c>
      <c r="AB477" s="10">
        <f t="shared" si="215"/>
        <v>6.4031222432682666</v>
      </c>
      <c r="AC477" s="10">
        <f t="shared" si="216"/>
        <v>6.3021222432682666</v>
      </c>
      <c r="AD477" s="3">
        <f t="shared" si="217"/>
        <v>914.01337828401256</v>
      </c>
      <c r="AI477" s="100">
        <f t="shared" si="218"/>
        <v>1.5701263170287085</v>
      </c>
    </row>
    <row r="478" spans="2:35">
      <c r="B478" s="39">
        <f t="shared" si="219"/>
        <v>450</v>
      </c>
      <c r="C478" s="45">
        <f t="shared" si="220"/>
        <v>13.219424460430904</v>
      </c>
      <c r="D478" s="10">
        <f t="shared" si="221"/>
        <v>11.280575539569327</v>
      </c>
      <c r="E478" s="40">
        <f t="shared" si="222"/>
        <v>46.438848920861346</v>
      </c>
      <c r="F478" s="40">
        <f t="shared" si="223"/>
        <v>69</v>
      </c>
      <c r="G478" s="3">
        <f t="shared" si="224"/>
        <v>354.24460431655461</v>
      </c>
      <c r="H478" s="3">
        <f t="shared" si="225"/>
        <v>221.47275588995251</v>
      </c>
      <c r="I478">
        <f t="shared" si="210"/>
        <v>2.214727558899525E-4</v>
      </c>
      <c r="J478" s="4">
        <f t="shared" si="226"/>
        <v>2372.3475300343985</v>
      </c>
      <c r="K478" s="40">
        <f t="shared" si="227"/>
        <v>10.711690115118236</v>
      </c>
      <c r="L478" s="40">
        <f t="shared" si="211"/>
        <v>0</v>
      </c>
      <c r="M478" s="10">
        <f t="shared" si="228"/>
        <v>6.4031222432682666</v>
      </c>
      <c r="N478" s="10">
        <f t="shared" si="237"/>
        <v>17.20418640980624</v>
      </c>
      <c r="O478" s="10">
        <f t="shared" si="238"/>
        <v>-0.14810000000000001</v>
      </c>
      <c r="P478" s="10">
        <f t="shared" si="229"/>
        <v>13.067951530457387</v>
      </c>
      <c r="Q478" s="45">
        <f t="shared" si="230"/>
        <v>1.0671143962561465</v>
      </c>
      <c r="R478" s="4">
        <f t="shared" si="231"/>
        <v>724613.40955479641</v>
      </c>
      <c r="S478">
        <f t="shared" si="212"/>
        <v>7.2461340955479636E-4</v>
      </c>
      <c r="T478" s="44">
        <f t="shared" si="213"/>
        <v>1.3517829849272074E-3</v>
      </c>
      <c r="U478" s="45">
        <f t="shared" si="232"/>
        <v>1.2934711667257894</v>
      </c>
      <c r="V478" s="45">
        <f t="shared" si="233"/>
        <v>1.5873321087848873</v>
      </c>
      <c r="W478" s="45">
        <f t="shared" si="234"/>
        <v>1.5700824720176685</v>
      </c>
      <c r="X478" s="45">
        <f t="shared" si="235"/>
        <v>1.7249636767218801E-2</v>
      </c>
      <c r="Y478" s="45">
        <f t="shared" ref="Y478:Y541" si="239">IF((X478*(Q478-Q477)+Y477)&lt;0,0,X478*(Q478-Q477)+Y477)</f>
        <v>2.67560435938482E-2</v>
      </c>
      <c r="Z478" s="10">
        <f t="shared" si="236"/>
        <v>19.793150152196208</v>
      </c>
      <c r="AA478">
        <f t="shared" si="214"/>
        <v>6402936.0376833128</v>
      </c>
      <c r="AB478" s="10">
        <f t="shared" si="215"/>
        <v>6.4029360376833129</v>
      </c>
      <c r="AC478" s="10">
        <f t="shared" si="216"/>
        <v>6.3019360376833129</v>
      </c>
      <c r="AD478" s="3">
        <f t="shared" si="217"/>
        <v>913.9863723978699</v>
      </c>
      <c r="AI478" s="100">
        <f t="shared" si="218"/>
        <v>1.5700824720176685</v>
      </c>
    </row>
    <row r="479" spans="2:35">
      <c r="B479" s="39">
        <f t="shared" si="219"/>
        <v>451</v>
      </c>
      <c r="C479" s="45">
        <f t="shared" si="220"/>
        <v>13.248800959231861</v>
      </c>
      <c r="D479" s="10">
        <f t="shared" si="221"/>
        <v>11.25119904076837</v>
      </c>
      <c r="E479" s="40">
        <f t="shared" si="222"/>
        <v>46.497601918463261</v>
      </c>
      <c r="F479" s="40">
        <f t="shared" si="223"/>
        <v>69</v>
      </c>
      <c r="G479" s="3">
        <f t="shared" si="224"/>
        <v>354.00959232614696</v>
      </c>
      <c r="H479" s="3">
        <f t="shared" si="225"/>
        <v>221.47275588995251</v>
      </c>
      <c r="I479">
        <f t="shared" si="210"/>
        <v>2.214727558899525E-4</v>
      </c>
      <c r="J479" s="4">
        <f t="shared" si="226"/>
        <v>2376.6360357565709</v>
      </c>
      <c r="K479" s="40">
        <f t="shared" si="227"/>
        <v>10.731053696453285</v>
      </c>
      <c r="L479" s="40">
        <f t="shared" si="211"/>
        <v>0</v>
      </c>
      <c r="M479" s="10">
        <f t="shared" si="228"/>
        <v>6.4029360376833129</v>
      </c>
      <c r="N479" s="10">
        <f t="shared" si="237"/>
        <v>17.20418640980624</v>
      </c>
      <c r="O479" s="10">
        <f t="shared" si="238"/>
        <v>-0.14810000000000001</v>
      </c>
      <c r="P479" s="10">
        <f t="shared" si="229"/>
        <v>13.068007812614384</v>
      </c>
      <c r="Q479" s="45">
        <f t="shared" si="230"/>
        <v>1.0693623669661578</v>
      </c>
      <c r="R479" s="4">
        <f t="shared" si="231"/>
        <v>722614.51633813442</v>
      </c>
      <c r="S479">
        <f t="shared" si="212"/>
        <v>7.2261451633813447E-4</v>
      </c>
      <c r="T479" s="44">
        <f t="shared" si="213"/>
        <v>1.3537818781438693E-3</v>
      </c>
      <c r="U479" s="45">
        <f t="shared" si="232"/>
        <v>1.2899030423893867</v>
      </c>
      <c r="V479" s="45">
        <f t="shared" si="233"/>
        <v>1.5872646029203361</v>
      </c>
      <c r="W479" s="45">
        <f t="shared" si="234"/>
        <v>1.5700360815933254</v>
      </c>
      <c r="X479" s="45">
        <f t="shared" si="235"/>
        <v>1.7228521327010693E-2</v>
      </c>
      <c r="Y479" s="45">
        <f t="shared" si="239"/>
        <v>2.6794772805168125E-2</v>
      </c>
      <c r="Z479" s="10">
        <f t="shared" si="236"/>
        <v>19.792533226922533</v>
      </c>
      <c r="AA479">
        <f t="shared" si="214"/>
        <v>6402739.6150024943</v>
      </c>
      <c r="AB479" s="10">
        <f t="shared" si="215"/>
        <v>6.4027396150024947</v>
      </c>
      <c r="AC479" s="10">
        <f t="shared" si="216"/>
        <v>6.3017396150024947</v>
      </c>
      <c r="AD479" s="3">
        <f t="shared" si="217"/>
        <v>913.95788469941908</v>
      </c>
      <c r="AI479" s="100">
        <f t="shared" si="218"/>
        <v>1.5700360815933254</v>
      </c>
    </row>
    <row r="480" spans="2:35">
      <c r="B480" s="39">
        <f t="shared" si="219"/>
        <v>452</v>
      </c>
      <c r="C480" s="45">
        <f t="shared" si="220"/>
        <v>13.278177458032818</v>
      </c>
      <c r="D480" s="10">
        <f t="shared" si="221"/>
        <v>11.221822541967413</v>
      </c>
      <c r="E480" s="40">
        <f t="shared" si="222"/>
        <v>46.556354916065175</v>
      </c>
      <c r="F480" s="40">
        <f t="shared" si="223"/>
        <v>69</v>
      </c>
      <c r="G480" s="3">
        <f t="shared" si="224"/>
        <v>353.7745803357393</v>
      </c>
      <c r="H480" s="3">
        <f t="shared" si="225"/>
        <v>221.47275588995251</v>
      </c>
      <c r="I480">
        <f t="shared" si="210"/>
        <v>2.214727558899525E-4</v>
      </c>
      <c r="J480" s="4">
        <f t="shared" si="226"/>
        <v>2380.9299637337181</v>
      </c>
      <c r="K480" s="40">
        <f t="shared" si="227"/>
        <v>10.750441760506098</v>
      </c>
      <c r="L480" s="40">
        <f t="shared" si="211"/>
        <v>0</v>
      </c>
      <c r="M480" s="10">
        <f t="shared" si="228"/>
        <v>6.4027396150024947</v>
      </c>
      <c r="N480" s="10">
        <f t="shared" si="237"/>
        <v>17.20418640980624</v>
      </c>
      <c r="O480" s="10">
        <f t="shared" si="238"/>
        <v>-0.14810000000000001</v>
      </c>
      <c r="P480" s="10">
        <f t="shared" si="229"/>
        <v>13.068067185008641</v>
      </c>
      <c r="Q480" s="45">
        <f t="shared" si="230"/>
        <v>1.0716103274629218</v>
      </c>
      <c r="R480" s="4">
        <f t="shared" si="231"/>
        <v>720615.72056602582</v>
      </c>
      <c r="S480">
        <f t="shared" si="212"/>
        <v>7.2061572056602587E-4</v>
      </c>
      <c r="T480" s="44">
        <f t="shared" si="213"/>
        <v>1.3557806739159779E-3</v>
      </c>
      <c r="U480" s="45">
        <f t="shared" si="232"/>
        <v>1.2863350919963843</v>
      </c>
      <c r="V480" s="45">
        <f t="shared" si="233"/>
        <v>1.5871944360848587</v>
      </c>
      <c r="W480" s="45">
        <f t="shared" si="234"/>
        <v>1.5699871457275401</v>
      </c>
      <c r="X480" s="45">
        <f t="shared" si="235"/>
        <v>1.7207290357318605E-2</v>
      </c>
      <c r="Y480" s="45">
        <f t="shared" si="239"/>
        <v>2.6833454114147726E-2</v>
      </c>
      <c r="Z480" s="10">
        <f t="shared" si="236"/>
        <v>19.791884211362259</v>
      </c>
      <c r="AA480">
        <f t="shared" si="214"/>
        <v>6402532.9751034966</v>
      </c>
      <c r="AB480" s="10">
        <f t="shared" si="215"/>
        <v>6.4025329751034965</v>
      </c>
      <c r="AC480" s="10">
        <f t="shared" si="216"/>
        <v>6.3015329751034965</v>
      </c>
      <c r="AD480" s="3">
        <f t="shared" si="217"/>
        <v>913.92791517092041</v>
      </c>
      <c r="AI480" s="100">
        <f t="shared" si="218"/>
        <v>1.5699871457275401</v>
      </c>
    </row>
    <row r="481" spans="2:35">
      <c r="B481" s="39">
        <f t="shared" si="219"/>
        <v>453</v>
      </c>
      <c r="C481" s="45">
        <f t="shared" si="220"/>
        <v>13.307553956833775</v>
      </c>
      <c r="D481" s="10">
        <f t="shared" si="221"/>
        <v>11.192446043166456</v>
      </c>
      <c r="E481" s="40">
        <f t="shared" si="222"/>
        <v>46.615107913667089</v>
      </c>
      <c r="F481" s="40">
        <f t="shared" si="223"/>
        <v>69</v>
      </c>
      <c r="G481" s="3">
        <f t="shared" si="224"/>
        <v>353.53956834533165</v>
      </c>
      <c r="H481" s="3">
        <f t="shared" si="225"/>
        <v>221.47275588995251</v>
      </c>
      <c r="I481">
        <f t="shared" si="210"/>
        <v>2.214727558899525E-4</v>
      </c>
      <c r="J481" s="4">
        <f t="shared" si="226"/>
        <v>2385.2293139658386</v>
      </c>
      <c r="K481" s="40">
        <f t="shared" si="227"/>
        <v>10.769854307276667</v>
      </c>
      <c r="L481" s="40">
        <f t="shared" si="211"/>
        <v>0</v>
      </c>
      <c r="M481" s="10">
        <f t="shared" si="228"/>
        <v>6.4025329751034965</v>
      </c>
      <c r="N481" s="10">
        <f t="shared" si="237"/>
        <v>17.20418640980624</v>
      </c>
      <c r="O481" s="10">
        <f t="shared" si="238"/>
        <v>-0.14810000000000001</v>
      </c>
      <c r="P481" s="10">
        <f t="shared" si="229"/>
        <v>13.068129648003588</v>
      </c>
      <c r="Q481" s="45">
        <f t="shared" si="230"/>
        <v>1.073858277214893</v>
      </c>
      <c r="R481" s="4">
        <f t="shared" si="231"/>
        <v>718617.02606135549</v>
      </c>
      <c r="S481">
        <f t="shared" si="212"/>
        <v>7.186170260613555E-4</v>
      </c>
      <c r="T481" s="44">
        <f t="shared" si="213"/>
        <v>1.3577793684206483E-3</v>
      </c>
      <c r="U481" s="45">
        <f t="shared" si="232"/>
        <v>1.2827673223708225</v>
      </c>
      <c r="V481" s="45">
        <f t="shared" si="233"/>
        <v>1.5871216082269288</v>
      </c>
      <c r="W481" s="45">
        <f t="shared" si="234"/>
        <v>1.5699356643898392</v>
      </c>
      <c r="X481" s="45">
        <f t="shared" si="235"/>
        <v>1.7185943837089601E-2</v>
      </c>
      <c r="Y481" s="45">
        <f t="shared" si="239"/>
        <v>2.6872087252333702E-2</v>
      </c>
      <c r="Z481" s="10">
        <f t="shared" si="236"/>
        <v>19.791203105104604</v>
      </c>
      <c r="AA481">
        <f t="shared" si="214"/>
        <v>6402316.1178555293</v>
      </c>
      <c r="AB481" s="10">
        <f t="shared" si="215"/>
        <v>6.4023161178555297</v>
      </c>
      <c r="AC481" s="10">
        <f t="shared" si="216"/>
        <v>6.3013161178555297</v>
      </c>
      <c r="AD481" s="3">
        <f t="shared" si="217"/>
        <v>913.89646379340525</v>
      </c>
      <c r="AI481" s="100">
        <f t="shared" si="218"/>
        <v>1.5699356643898392</v>
      </c>
    </row>
    <row r="482" spans="2:35">
      <c r="B482" s="39">
        <f t="shared" si="219"/>
        <v>454</v>
      </c>
      <c r="C482" s="45">
        <f t="shared" si="220"/>
        <v>13.336930455634732</v>
      </c>
      <c r="D482" s="10">
        <f t="shared" si="221"/>
        <v>11.163069544365499</v>
      </c>
      <c r="E482" s="40">
        <f t="shared" si="222"/>
        <v>46.673860911269003</v>
      </c>
      <c r="F482" s="40">
        <f t="shared" si="223"/>
        <v>69</v>
      </c>
      <c r="G482" s="3">
        <f t="shared" si="224"/>
        <v>353.30455635492399</v>
      </c>
      <c r="H482" s="3">
        <f t="shared" si="225"/>
        <v>221.47275588995251</v>
      </c>
      <c r="I482">
        <f t="shared" si="210"/>
        <v>2.214727558899525E-4</v>
      </c>
      <c r="J482" s="4">
        <f t="shared" si="226"/>
        <v>2389.5340864529326</v>
      </c>
      <c r="K482" s="40">
        <f t="shared" si="227"/>
        <v>10.789291336764993</v>
      </c>
      <c r="L482" s="40">
        <f t="shared" si="211"/>
        <v>0</v>
      </c>
      <c r="M482" s="10">
        <f t="shared" si="228"/>
        <v>6.4023161178555297</v>
      </c>
      <c r="N482" s="10">
        <f t="shared" si="237"/>
        <v>17.20418640980624</v>
      </c>
      <c r="O482" s="10">
        <f t="shared" si="238"/>
        <v>-0.14810000000000001</v>
      </c>
      <c r="P482" s="10">
        <f t="shared" si="229"/>
        <v>13.068195201982242</v>
      </c>
      <c r="Q482" s="45">
        <f t="shared" si="230"/>
        <v>1.0761062156904755</v>
      </c>
      <c r="R482" s="4">
        <f t="shared" si="231"/>
        <v>716618.43664700829</v>
      </c>
      <c r="S482">
        <f t="shared" si="212"/>
        <v>7.1661843664700829E-4</v>
      </c>
      <c r="T482" s="44">
        <f t="shared" si="213"/>
        <v>1.3597779578349955E-3</v>
      </c>
      <c r="U482" s="45">
        <f t="shared" si="232"/>
        <v>1.2791997403367423</v>
      </c>
      <c r="V482" s="45">
        <f t="shared" si="233"/>
        <v>1.5870461192919165</v>
      </c>
      <c r="W482" s="45">
        <f t="shared" si="234"/>
        <v>1.569881637547639</v>
      </c>
      <c r="X482" s="45">
        <f t="shared" si="235"/>
        <v>1.7164481744277538E-2</v>
      </c>
      <c r="Y482" s="45">
        <f t="shared" si="239"/>
        <v>2.6910671951260096E-2</v>
      </c>
      <c r="Z482" s="10">
        <f t="shared" si="236"/>
        <v>19.790489907710075</v>
      </c>
      <c r="AA482">
        <f t="shared" si="214"/>
        <v>6402089.0431186631</v>
      </c>
      <c r="AB482" s="10">
        <f t="shared" si="215"/>
        <v>6.4020890431186634</v>
      </c>
      <c r="AC482" s="10">
        <f t="shared" si="216"/>
        <v>6.3010890431186635</v>
      </c>
      <c r="AD482" s="3">
        <f t="shared" si="217"/>
        <v>913.86353054657911</v>
      </c>
      <c r="AI482" s="100">
        <f t="shared" si="218"/>
        <v>1.569881637547639</v>
      </c>
    </row>
    <row r="483" spans="2:35">
      <c r="B483" s="39">
        <f t="shared" si="219"/>
        <v>455</v>
      </c>
      <c r="C483" s="45">
        <f t="shared" si="220"/>
        <v>13.366306954435689</v>
      </c>
      <c r="D483" s="10">
        <f t="shared" si="221"/>
        <v>11.133693045564542</v>
      </c>
      <c r="E483" s="40">
        <f t="shared" si="222"/>
        <v>46.732613908870917</v>
      </c>
      <c r="F483" s="40">
        <f t="shared" si="223"/>
        <v>69</v>
      </c>
      <c r="G483" s="3">
        <f t="shared" si="224"/>
        <v>353.06954436451633</v>
      </c>
      <c r="H483" s="3">
        <f t="shared" si="225"/>
        <v>221.47275588995251</v>
      </c>
      <c r="I483">
        <f t="shared" si="210"/>
        <v>2.214727558899525E-4</v>
      </c>
      <c r="J483" s="4">
        <f t="shared" si="226"/>
        <v>2393.8442811950008</v>
      </c>
      <c r="K483" s="40">
        <f t="shared" si="227"/>
        <v>10.80875284897108</v>
      </c>
      <c r="L483" s="40">
        <f t="shared" si="211"/>
        <v>0</v>
      </c>
      <c r="M483" s="10">
        <f t="shared" si="228"/>
        <v>6.4020890431186634</v>
      </c>
      <c r="N483" s="10">
        <f t="shared" si="237"/>
        <v>17.20418640980624</v>
      </c>
      <c r="O483" s="10">
        <f t="shared" si="238"/>
        <v>-0.14810000000000001</v>
      </c>
      <c r="P483" s="10">
        <f t="shared" si="229"/>
        <v>13.068263847347414</v>
      </c>
      <c r="Q483" s="45">
        <f t="shared" si="230"/>
        <v>1.0783541423580199</v>
      </c>
      <c r="R483" s="4">
        <f t="shared" si="231"/>
        <v>714619.95614586864</v>
      </c>
      <c r="S483">
        <f t="shared" si="212"/>
        <v>7.1461995614586864E-4</v>
      </c>
      <c r="T483" s="44">
        <f t="shared" si="213"/>
        <v>1.3617764383361351E-3</v>
      </c>
      <c r="U483" s="45">
        <f t="shared" si="232"/>
        <v>1.2756323527181828</v>
      </c>
      <c r="V483" s="45">
        <f t="shared" si="233"/>
        <v>1.5869679692249858</v>
      </c>
      <c r="W483" s="45">
        <f t="shared" si="234"/>
        <v>1.5698250651660779</v>
      </c>
      <c r="X483" s="45">
        <f t="shared" si="235"/>
        <v>1.7142904058907948E-2</v>
      </c>
      <c r="Y483" s="45">
        <f t="shared" si="239"/>
        <v>2.6949207942453271E-2</v>
      </c>
      <c r="Z483" s="10">
        <f t="shared" si="236"/>
        <v>19.789744618713431</v>
      </c>
      <c r="AA483">
        <f t="shared" si="214"/>
        <v>6401851.7507447693</v>
      </c>
      <c r="AB483" s="10">
        <f t="shared" si="215"/>
        <v>6.4018517507447692</v>
      </c>
      <c r="AC483" s="10">
        <f t="shared" si="216"/>
        <v>6.3008517507447692</v>
      </c>
      <c r="AD483" s="3">
        <f t="shared" si="217"/>
        <v>913.82911540895861</v>
      </c>
      <c r="AI483" s="100">
        <f t="shared" si="218"/>
        <v>1.5698250651660779</v>
      </c>
    </row>
    <row r="484" spans="2:35">
      <c r="B484" s="39">
        <f t="shared" si="219"/>
        <v>456</v>
      </c>
      <c r="C484" s="45">
        <f t="shared" si="220"/>
        <v>13.395683453236646</v>
      </c>
      <c r="D484" s="10">
        <f t="shared" si="221"/>
        <v>11.104316546763584</v>
      </c>
      <c r="E484" s="40">
        <f t="shared" si="222"/>
        <v>46.791366906472831</v>
      </c>
      <c r="F484" s="40">
        <f t="shared" si="223"/>
        <v>69</v>
      </c>
      <c r="G484" s="3">
        <f t="shared" si="224"/>
        <v>352.83453237410868</v>
      </c>
      <c r="H484" s="3">
        <f t="shared" si="225"/>
        <v>221.47275588995251</v>
      </c>
      <c r="I484">
        <f t="shared" si="210"/>
        <v>2.214727558899525E-4</v>
      </c>
      <c r="J484" s="4">
        <f t="shared" si="226"/>
        <v>2398.1598981920433</v>
      </c>
      <c r="K484" s="40">
        <f t="shared" si="227"/>
        <v>10.82823884389493</v>
      </c>
      <c r="L484" s="40">
        <f t="shared" si="211"/>
        <v>0</v>
      </c>
      <c r="M484" s="10">
        <f t="shared" si="228"/>
        <v>6.4018517507447692</v>
      </c>
      <c r="N484" s="10">
        <f t="shared" si="237"/>
        <v>17.20418640980624</v>
      </c>
      <c r="O484" s="10">
        <f t="shared" si="238"/>
        <v>-0.14810000000000001</v>
      </c>
      <c r="P484" s="10">
        <f t="shared" si="229"/>
        <v>13.06833558452144</v>
      </c>
      <c r="Q484" s="45">
        <f t="shared" si="230"/>
        <v>1.080602056685821</v>
      </c>
      <c r="R484" s="4">
        <f t="shared" si="231"/>
        <v>712621.58838082186</v>
      </c>
      <c r="S484">
        <f t="shared" si="212"/>
        <v>7.1262158838082191E-4</v>
      </c>
      <c r="T484" s="44">
        <f t="shared" si="213"/>
        <v>1.3637748061011818E-3</v>
      </c>
      <c r="U484" s="45">
        <f t="shared" si="232"/>
        <v>1.272065166339186</v>
      </c>
      <c r="V484" s="45">
        <f t="shared" si="233"/>
        <v>1.5868871579666142</v>
      </c>
      <c r="W484" s="45">
        <f t="shared" si="234"/>
        <v>1.5697659472082517</v>
      </c>
      <c r="X484" s="45">
        <f t="shared" si="235"/>
        <v>1.7121210758362482E-2</v>
      </c>
      <c r="Y484" s="45">
        <f t="shared" si="239"/>
        <v>2.6987694957426298E-2</v>
      </c>
      <c r="Z484" s="10">
        <f t="shared" si="236"/>
        <v>19.788967237618859</v>
      </c>
      <c r="AA484">
        <f t="shared" si="214"/>
        <v>6401604.2405759878</v>
      </c>
      <c r="AB484" s="10">
        <f t="shared" si="215"/>
        <v>6.4016042405759874</v>
      </c>
      <c r="AC484" s="10">
        <f t="shared" si="216"/>
        <v>6.3006042405759874</v>
      </c>
      <c r="AD484" s="3">
        <f t="shared" si="217"/>
        <v>913.7932183576487</v>
      </c>
      <c r="AI484" s="100">
        <f t="shared" si="218"/>
        <v>1.5697659472082517</v>
      </c>
    </row>
    <row r="485" spans="2:35">
      <c r="B485" s="39">
        <f t="shared" si="219"/>
        <v>457</v>
      </c>
      <c r="C485" s="45">
        <f t="shared" si="220"/>
        <v>13.425059952037603</v>
      </c>
      <c r="D485" s="10">
        <f t="shared" si="221"/>
        <v>11.074940047962627</v>
      </c>
      <c r="E485" s="40">
        <f t="shared" si="222"/>
        <v>46.850119904074745</v>
      </c>
      <c r="F485" s="40">
        <f t="shared" si="223"/>
        <v>69</v>
      </c>
      <c r="G485" s="3">
        <f t="shared" si="224"/>
        <v>352.59952038370102</v>
      </c>
      <c r="H485" s="3">
        <f t="shared" si="225"/>
        <v>221.47275588995251</v>
      </c>
      <c r="I485">
        <f t="shared" si="210"/>
        <v>2.214727558899525E-4</v>
      </c>
      <c r="J485" s="4">
        <f t="shared" si="226"/>
        <v>2402.4809374440592</v>
      </c>
      <c r="K485" s="40">
        <f t="shared" si="227"/>
        <v>10.847749321536536</v>
      </c>
      <c r="L485" s="40">
        <f t="shared" si="211"/>
        <v>0</v>
      </c>
      <c r="M485" s="10">
        <f t="shared" si="228"/>
        <v>6.4016042405759874</v>
      </c>
      <c r="N485" s="10">
        <f t="shared" si="237"/>
        <v>17.20418640980624</v>
      </c>
      <c r="O485" s="10">
        <f t="shared" si="238"/>
        <v>-0.14810000000000001</v>
      </c>
      <c r="P485" s="10">
        <f t="shared" si="229"/>
        <v>13.068410413946637</v>
      </c>
      <c r="Q485" s="45">
        <f t="shared" si="230"/>
        <v>1.0828499581421149</v>
      </c>
      <c r="R485" s="4">
        <f t="shared" si="231"/>
        <v>710623.33717475238</v>
      </c>
      <c r="S485">
        <f t="shared" si="212"/>
        <v>7.1062333717475238E-4</v>
      </c>
      <c r="T485" s="44">
        <f t="shared" si="213"/>
        <v>1.3657730573072514E-3</v>
      </c>
      <c r="U485" s="45">
        <f t="shared" si="232"/>
        <v>1.2684981880237916</v>
      </c>
      <c r="V485" s="45">
        <f t="shared" si="233"/>
        <v>1.5868036854583543</v>
      </c>
      <c r="W485" s="45">
        <f t="shared" si="234"/>
        <v>1.5697042836348316</v>
      </c>
      <c r="X485" s="45">
        <f t="shared" si="235"/>
        <v>1.7099401823522653E-2</v>
      </c>
      <c r="Y485" s="45">
        <f t="shared" si="239"/>
        <v>2.7026132727687148E-2</v>
      </c>
      <c r="Z485" s="10">
        <f t="shared" si="236"/>
        <v>19.788157763905286</v>
      </c>
      <c r="AA485">
        <f t="shared" si="214"/>
        <v>6401346.5124464128</v>
      </c>
      <c r="AB485" s="10">
        <f t="shared" si="215"/>
        <v>6.4013465124464126</v>
      </c>
      <c r="AC485" s="10">
        <f t="shared" si="216"/>
        <v>6.3003465124464126</v>
      </c>
      <c r="AD485" s="3">
        <f t="shared" si="217"/>
        <v>913.75583936858777</v>
      </c>
      <c r="AI485" s="100">
        <f t="shared" si="218"/>
        <v>1.5697042836348316</v>
      </c>
    </row>
    <row r="486" spans="2:35">
      <c r="B486" s="39">
        <f t="shared" si="219"/>
        <v>458</v>
      </c>
      <c r="C486" s="45">
        <f t="shared" si="220"/>
        <v>13.454436450838561</v>
      </c>
      <c r="D486" s="10">
        <f t="shared" si="221"/>
        <v>11.04556354916167</v>
      </c>
      <c r="E486" s="40">
        <f t="shared" si="222"/>
        <v>46.908872901676659</v>
      </c>
      <c r="F486" s="40">
        <f t="shared" si="223"/>
        <v>69</v>
      </c>
      <c r="G486" s="3">
        <f t="shared" si="224"/>
        <v>352.36450839329336</v>
      </c>
      <c r="H486" s="3">
        <f t="shared" si="225"/>
        <v>221.47275588995251</v>
      </c>
      <c r="I486">
        <f t="shared" si="210"/>
        <v>2.214727558899525E-4</v>
      </c>
      <c r="J486" s="4">
        <f t="shared" si="226"/>
        <v>2406.8073989510494</v>
      </c>
      <c r="K486" s="40">
        <f t="shared" si="227"/>
        <v>10.867284281895904</v>
      </c>
      <c r="L486" s="40">
        <f t="shared" si="211"/>
        <v>0</v>
      </c>
      <c r="M486" s="10">
        <f t="shared" si="228"/>
        <v>6.4013465124464126</v>
      </c>
      <c r="N486" s="10">
        <f t="shared" si="237"/>
        <v>17.20418640980624</v>
      </c>
      <c r="O486" s="10">
        <f t="shared" si="238"/>
        <v>-0.14810000000000001</v>
      </c>
      <c r="P486" s="10">
        <f t="shared" si="229"/>
        <v>13.068488336084814</v>
      </c>
      <c r="Q486" s="45">
        <f t="shared" si="230"/>
        <v>1.0850978461950769</v>
      </c>
      <c r="R486" s="4">
        <f t="shared" si="231"/>
        <v>708625.20635054517</v>
      </c>
      <c r="S486">
        <f t="shared" si="212"/>
        <v>7.0862520635054521E-4</v>
      </c>
      <c r="T486" s="44">
        <f t="shared" si="213"/>
        <v>1.3677711881314586E-3</v>
      </c>
      <c r="U486" s="45">
        <f t="shared" si="232"/>
        <v>1.2649314245960408</v>
      </c>
      <c r="V486" s="45">
        <f t="shared" si="233"/>
        <v>1.5867175516374064</v>
      </c>
      <c r="W486" s="45">
        <f t="shared" si="234"/>
        <v>1.5696400744044849</v>
      </c>
      <c r="X486" s="45">
        <f t="shared" si="235"/>
        <v>1.7077477232921412E-2</v>
      </c>
      <c r="Y486" s="45">
        <f t="shared" si="239"/>
        <v>2.7064520984733761E-2</v>
      </c>
      <c r="Z486" s="10">
        <f t="shared" si="236"/>
        <v>19.787316197022093</v>
      </c>
      <c r="AA486">
        <f t="shared" si="214"/>
        <v>6401078.566180733</v>
      </c>
      <c r="AB486" s="10">
        <f t="shared" si="215"/>
        <v>6.4010785661807335</v>
      </c>
      <c r="AC486" s="10">
        <f t="shared" si="216"/>
        <v>6.3000785661807335</v>
      </c>
      <c r="AD486" s="3">
        <f t="shared" si="217"/>
        <v>913.71697841635</v>
      </c>
      <c r="AI486" s="100">
        <f t="shared" si="218"/>
        <v>1.5696400744044849</v>
      </c>
    </row>
    <row r="487" spans="2:35">
      <c r="B487" s="39">
        <f t="shared" si="219"/>
        <v>459</v>
      </c>
      <c r="C487" s="45">
        <f t="shared" si="220"/>
        <v>13.483812949639518</v>
      </c>
      <c r="D487" s="10">
        <f t="shared" si="221"/>
        <v>11.016187050360713</v>
      </c>
      <c r="E487" s="40">
        <f t="shared" si="222"/>
        <v>46.967625899278573</v>
      </c>
      <c r="F487" s="40">
        <f t="shared" si="223"/>
        <v>69</v>
      </c>
      <c r="G487" s="3">
        <f t="shared" si="224"/>
        <v>352.12949640288571</v>
      </c>
      <c r="H487" s="3">
        <f t="shared" si="225"/>
        <v>221.47275588995251</v>
      </c>
      <c r="I487">
        <f t="shared" ref="I487:I550" si="240">H487/1000^2</f>
        <v>2.214727558899525E-4</v>
      </c>
      <c r="J487" s="4">
        <f t="shared" si="226"/>
        <v>2411.139282713013</v>
      </c>
      <c r="K487" s="40">
        <f t="shared" si="227"/>
        <v>10.88684372497303</v>
      </c>
      <c r="L487" s="40">
        <f t="shared" ref="L487:L550" si="241">IF((gstar-K487)&lt;0,0,gstar-K487)</f>
        <v>0</v>
      </c>
      <c r="M487" s="10">
        <f t="shared" si="228"/>
        <v>6.4010785661807335</v>
      </c>
      <c r="N487" s="10">
        <f t="shared" si="237"/>
        <v>17.20418640980624</v>
      </c>
      <c r="O487" s="10">
        <f t="shared" si="238"/>
        <v>-0.14810000000000001</v>
      </c>
      <c r="P487" s="10">
        <f t="shared" si="229"/>
        <v>13.068569351417684</v>
      </c>
      <c r="Q487" s="45">
        <f t="shared" si="230"/>
        <v>1.0873457203128181</v>
      </c>
      <c r="R487" s="4">
        <f t="shared" si="231"/>
        <v>706627.19973108498</v>
      </c>
      <c r="S487">
        <f t="shared" ref="S487:S550" si="242">R487/1000^3</f>
        <v>7.0662719973108501E-4</v>
      </c>
      <c r="T487" s="44">
        <f t="shared" ref="T487:T550" si="243">(vc/1000^3-S487)</f>
        <v>1.3697691947509188E-3</v>
      </c>
      <c r="U487" s="45">
        <f t="shared" si="232"/>
        <v>1.2613648828799731</v>
      </c>
      <c r="V487" s="45">
        <f t="shared" si="233"/>
        <v>1.5866287564410566</v>
      </c>
      <c r="W487" s="45">
        <f t="shared" si="234"/>
        <v>1.5695733194735353</v>
      </c>
      <c r="X487" s="45">
        <f t="shared" si="235"/>
        <v>1.705543696752132E-2</v>
      </c>
      <c r="Y487" s="45">
        <f t="shared" si="239"/>
        <v>2.710285946005982E-2</v>
      </c>
      <c r="Z487" s="10">
        <f t="shared" si="236"/>
        <v>19.786442536392602</v>
      </c>
      <c r="AA487">
        <f t="shared" ref="AA487:AA550" si="244">Z487*rat*to+patm*1000000</f>
        <v>6400800.401595341</v>
      </c>
      <c r="AB487" s="10">
        <f t="shared" ref="AB487:AB550" si="245">AA487/1000000</f>
        <v>6.4008004015953412</v>
      </c>
      <c r="AC487" s="10">
        <f t="shared" ref="AC487:AC550" si="246">AB487-patm</f>
        <v>6.2998004015953413</v>
      </c>
      <c r="AD487" s="3">
        <f t="shared" ref="AD487:AD550" si="247">AC487*1000000/6895</f>
        <v>913.67663547430618</v>
      </c>
      <c r="AI487" s="100">
        <f t="shared" ref="AI487:AI550" si="248">($M487-patm)*1000000*$I487/SQRT(rat*to)*SQRT(k)*(2/(k+1))^((k+1)/2/(k-1))</f>
        <v>1.5695733194735353</v>
      </c>
    </row>
    <row r="488" spans="2:35">
      <c r="B488" s="39">
        <f t="shared" ref="B488:B551" si="249">1+B487</f>
        <v>460</v>
      </c>
      <c r="C488" s="45">
        <f t="shared" ref="C488:C551" si="250">xincp+C487</f>
        <v>13.513189448440475</v>
      </c>
      <c r="D488" s="10">
        <f t="shared" ref="D488:D551" si="251">(F488-E488)/2</f>
        <v>10.986810551559756</v>
      </c>
      <c r="E488" s="40">
        <f t="shared" ref="E488:E551" si="252">E487+ci*2*xincp</f>
        <v>47.026378896880487</v>
      </c>
      <c r="F488" s="40">
        <f t="shared" ref="F488:F551" si="253">F487-osi*2*xincp</f>
        <v>69</v>
      </c>
      <c r="G488" s="3">
        <f t="shared" ref="G488:G551" si="254">G487-ei*n*2*xincp</f>
        <v>351.89448441247805</v>
      </c>
      <c r="H488" s="3">
        <f t="shared" ref="H488:H551" si="255">PI()/4*(dto+erate*(two-D488)/two)^2</f>
        <v>221.47275588995251</v>
      </c>
      <c r="I488">
        <f t="shared" si="240"/>
        <v>2.214727558899525E-4</v>
      </c>
      <c r="J488" s="4">
        <f t="shared" ref="J488:J551" si="256">PI()/4*dc^2-PI()/4*(F488^2-E488^2)</f>
        <v>2415.4765887299509</v>
      </c>
      <c r="K488" s="40">
        <f t="shared" ref="K488:K551" si="257">J488/H488</f>
        <v>10.906427650767917</v>
      </c>
      <c r="L488" s="40">
        <f t="shared" si="241"/>
        <v>0</v>
      </c>
      <c r="M488" s="10">
        <f t="shared" ref="M488:M551" si="258">AB487</f>
        <v>6.4008004015953412</v>
      </c>
      <c r="N488" s="10">
        <f t="shared" si="237"/>
        <v>17.20418640980624</v>
      </c>
      <c r="O488" s="10">
        <f t="shared" si="238"/>
        <v>-0.14810000000000001</v>
      </c>
      <c r="P488" s="10">
        <f t="shared" ref="P488:P551" si="259">(1+kv*L488)*N488*M488^O488</f>
        <v>13.068653460446553</v>
      </c>
      <c r="Q488" s="45">
        <f t="shared" ref="Q488:Q551" si="260">xincp/P488+Q487</f>
        <v>1.0895935799633834</v>
      </c>
      <c r="R488" s="4">
        <f t="shared" ref="R488:R551" si="261">PI()/4*(F488^2-E488^2)*G488</f>
        <v>704629.3211392567</v>
      </c>
      <c r="S488">
        <f t="shared" si="242"/>
        <v>7.046293211392567E-4</v>
      </c>
      <c r="T488" s="44">
        <f t="shared" si="243"/>
        <v>1.3717670733427471E-3</v>
      </c>
      <c r="U488" s="45">
        <f t="shared" ref="U488:U551" si="262">rhopgrain*R488/1000^2</f>
        <v>1.2577985696996301</v>
      </c>
      <c r="V488" s="45">
        <f t="shared" ref="V488:V551" si="263">(U487-U488)/(Q488-Q487)</f>
        <v>1.5865372998025484</v>
      </c>
      <c r="W488" s="45">
        <f t="shared" ref="W488:W551" si="264">IF(V488&lt;AI488,IF(AB487&gt;pbd,AI488,0),AI488)</f>
        <v>1.5695040187962392</v>
      </c>
      <c r="X488" s="45">
        <f t="shared" ref="X488:X551" si="265">V488-W488</f>
        <v>1.7033281006309187E-2</v>
      </c>
      <c r="Y488" s="45">
        <f t="shared" si="239"/>
        <v>2.7141147885150641E-2</v>
      </c>
      <c r="Z488" s="10">
        <f t="shared" ref="Z488:Z551" si="266">Y488/T488</f>
        <v>19.785536781410414</v>
      </c>
      <c r="AA488">
        <f t="shared" si="244"/>
        <v>6400512.0184971644</v>
      </c>
      <c r="AB488" s="10">
        <f t="shared" si="245"/>
        <v>6.4005120184971647</v>
      </c>
      <c r="AC488" s="10">
        <f t="shared" si="246"/>
        <v>6.2995120184971647</v>
      </c>
      <c r="AD488" s="3">
        <f t="shared" si="247"/>
        <v>913.63481051445456</v>
      </c>
      <c r="AI488" s="100">
        <f t="shared" si="248"/>
        <v>1.5695040187962392</v>
      </c>
    </row>
    <row r="489" spans="2:35">
      <c r="B489" s="39">
        <f t="shared" si="249"/>
        <v>461</v>
      </c>
      <c r="C489" s="45">
        <f t="shared" si="250"/>
        <v>13.542565947241432</v>
      </c>
      <c r="D489" s="10">
        <f t="shared" si="251"/>
        <v>10.957434052758799</v>
      </c>
      <c r="E489" s="40">
        <f t="shared" si="252"/>
        <v>47.085131894482402</v>
      </c>
      <c r="F489" s="40">
        <f t="shared" si="253"/>
        <v>69</v>
      </c>
      <c r="G489" s="3">
        <f t="shared" si="254"/>
        <v>351.65947242207039</v>
      </c>
      <c r="H489" s="3">
        <f t="shared" si="255"/>
        <v>221.47275588995251</v>
      </c>
      <c r="I489">
        <f t="shared" si="240"/>
        <v>2.214727558899525E-4</v>
      </c>
      <c r="J489" s="4">
        <f t="shared" si="256"/>
        <v>2419.8193170018631</v>
      </c>
      <c r="K489" s="40">
        <f t="shared" si="257"/>
        <v>10.926036059280564</v>
      </c>
      <c r="L489" s="40">
        <f t="shared" si="241"/>
        <v>0</v>
      </c>
      <c r="M489" s="10">
        <f t="shared" si="258"/>
        <v>6.4005120184971647</v>
      </c>
      <c r="N489" s="10">
        <f t="shared" si="237"/>
        <v>17.20418640980624</v>
      </c>
      <c r="O489" s="10">
        <f t="shared" si="238"/>
        <v>-0.14810000000000001</v>
      </c>
      <c r="P489" s="10">
        <f t="shared" si="259"/>
        <v>13.068740663692658</v>
      </c>
      <c r="Q489" s="45">
        <f t="shared" si="260"/>
        <v>1.0918414246147483</v>
      </c>
      <c r="R489" s="4">
        <f t="shared" si="261"/>
        <v>702631.57439794485</v>
      </c>
      <c r="S489">
        <f t="shared" si="242"/>
        <v>7.0263157439794479E-4</v>
      </c>
      <c r="T489" s="44">
        <f t="shared" si="243"/>
        <v>1.373764820084059E-3</v>
      </c>
      <c r="U489" s="45">
        <f t="shared" si="262"/>
        <v>1.2542324918790515</v>
      </c>
      <c r="V489" s="45">
        <f t="shared" si="263"/>
        <v>1.5864431816554463</v>
      </c>
      <c r="W489" s="45">
        <f t="shared" si="264"/>
        <v>1.5694321723244959</v>
      </c>
      <c r="X489" s="45">
        <f t="shared" si="265"/>
        <v>1.7011009330950344E-2</v>
      </c>
      <c r="Y489" s="45">
        <f t="shared" si="239"/>
        <v>2.7179385991489537E-2</v>
      </c>
      <c r="Z489" s="10">
        <f t="shared" si="266"/>
        <v>19.784598931443348</v>
      </c>
      <c r="AA489">
        <f t="shared" si="244"/>
        <v>6400213.4166849237</v>
      </c>
      <c r="AB489" s="10">
        <f t="shared" si="245"/>
        <v>6.4002134166849238</v>
      </c>
      <c r="AC489" s="10">
        <f t="shared" si="246"/>
        <v>6.2992134166849238</v>
      </c>
      <c r="AD489" s="3">
        <f t="shared" si="247"/>
        <v>913.59150350760319</v>
      </c>
      <c r="AI489" s="100">
        <f t="shared" si="248"/>
        <v>1.5694321723244959</v>
      </c>
    </row>
    <row r="490" spans="2:35">
      <c r="B490" s="39">
        <f t="shared" si="249"/>
        <v>462</v>
      </c>
      <c r="C490" s="45">
        <f t="shared" si="250"/>
        <v>13.571942446042389</v>
      </c>
      <c r="D490" s="10">
        <f t="shared" si="251"/>
        <v>10.928057553957842</v>
      </c>
      <c r="E490" s="40">
        <f t="shared" si="252"/>
        <v>47.143884892084316</v>
      </c>
      <c r="F490" s="40">
        <f t="shared" si="253"/>
        <v>69</v>
      </c>
      <c r="G490" s="3">
        <f t="shared" si="254"/>
        <v>351.42446043166274</v>
      </c>
      <c r="H490" s="3">
        <f t="shared" si="255"/>
        <v>221.47275588995251</v>
      </c>
      <c r="I490">
        <f t="shared" si="240"/>
        <v>2.214727558899525E-4</v>
      </c>
      <c r="J490" s="4">
        <f t="shared" si="256"/>
        <v>2424.1674675287486</v>
      </c>
      <c r="K490" s="40">
        <f t="shared" si="257"/>
        <v>10.945668950510969</v>
      </c>
      <c r="L490" s="40">
        <f t="shared" si="241"/>
        <v>0</v>
      </c>
      <c r="M490" s="10">
        <f t="shared" si="258"/>
        <v>6.4002134166849238</v>
      </c>
      <c r="N490" s="10">
        <f t="shared" si="237"/>
        <v>17.20418640980624</v>
      </c>
      <c r="O490" s="10">
        <f t="shared" si="238"/>
        <v>-0.14810000000000001</v>
      </c>
      <c r="P490" s="10">
        <f t="shared" si="259"/>
        <v>13.068830961696815</v>
      </c>
      <c r="Q490" s="45">
        <f t="shared" si="260"/>
        <v>1.094089253734817</v>
      </c>
      <c r="R490" s="4">
        <f t="shared" si="261"/>
        <v>700633.96333003452</v>
      </c>
      <c r="S490">
        <f t="shared" si="242"/>
        <v>7.0063396333003454E-4</v>
      </c>
      <c r="T490" s="44">
        <f t="shared" si="243"/>
        <v>1.3757624311519692E-3</v>
      </c>
      <c r="U490" s="45">
        <f t="shared" si="262"/>
        <v>1.2506666562422781</v>
      </c>
      <c r="V490" s="45">
        <f t="shared" si="263"/>
        <v>1.5863464019295084</v>
      </c>
      <c r="W490" s="45">
        <f t="shared" si="264"/>
        <v>1.5693577800081597</v>
      </c>
      <c r="X490" s="45">
        <f t="shared" si="265"/>
        <v>1.6988621921348646E-2</v>
      </c>
      <c r="Y490" s="45">
        <f t="shared" si="239"/>
        <v>2.7217573510554181E-2</v>
      </c>
      <c r="Z490" s="10">
        <f t="shared" si="266"/>
        <v>19.783628985830099</v>
      </c>
      <c r="AA490">
        <f t="shared" si="244"/>
        <v>6399904.5959480666</v>
      </c>
      <c r="AB490" s="10">
        <f t="shared" si="245"/>
        <v>6.3999045959480663</v>
      </c>
      <c r="AC490" s="10">
        <f t="shared" si="246"/>
        <v>6.2989045959480663</v>
      </c>
      <c r="AD490" s="3">
        <f t="shared" si="247"/>
        <v>913.54671442321489</v>
      </c>
      <c r="AI490" s="100">
        <f t="shared" si="248"/>
        <v>1.5693577800081597</v>
      </c>
    </row>
    <row r="491" spans="2:35">
      <c r="B491" s="39">
        <f t="shared" si="249"/>
        <v>463</v>
      </c>
      <c r="C491" s="45">
        <f t="shared" si="250"/>
        <v>13.601318944843346</v>
      </c>
      <c r="D491" s="10">
        <f t="shared" si="251"/>
        <v>10.898681055156885</v>
      </c>
      <c r="E491" s="40">
        <f t="shared" si="252"/>
        <v>47.20263788968623</v>
      </c>
      <c r="F491" s="40">
        <f t="shared" si="253"/>
        <v>69</v>
      </c>
      <c r="G491" s="3">
        <f t="shared" si="254"/>
        <v>351.18944844125508</v>
      </c>
      <c r="H491" s="3">
        <f t="shared" si="255"/>
        <v>221.47275588995251</v>
      </c>
      <c r="I491">
        <f t="shared" si="240"/>
        <v>2.214727558899525E-4</v>
      </c>
      <c r="J491" s="4">
        <f t="shared" si="256"/>
        <v>2428.5210403106084</v>
      </c>
      <c r="K491" s="40">
        <f t="shared" si="257"/>
        <v>10.965326324459136</v>
      </c>
      <c r="L491" s="40">
        <f t="shared" si="241"/>
        <v>0</v>
      </c>
      <c r="M491" s="10">
        <f t="shared" si="258"/>
        <v>6.3999045959480663</v>
      </c>
      <c r="N491" s="10">
        <f t="shared" si="237"/>
        <v>17.20418640980624</v>
      </c>
      <c r="O491" s="10">
        <f t="shared" si="238"/>
        <v>-0.14810000000000001</v>
      </c>
      <c r="P491" s="10">
        <f t="shared" si="259"/>
        <v>13.068924355019746</v>
      </c>
      <c r="Q491" s="45">
        <f t="shared" si="260"/>
        <v>1.096337066791419</v>
      </c>
      <c r="R491" s="4">
        <f t="shared" si="261"/>
        <v>698636.49175841047</v>
      </c>
      <c r="S491">
        <f t="shared" si="242"/>
        <v>6.9863649175841045E-4</v>
      </c>
      <c r="T491" s="44">
        <f t="shared" si="243"/>
        <v>1.3777599027235935E-3</v>
      </c>
      <c r="U491" s="45">
        <f t="shared" si="262"/>
        <v>1.2471010696133507</v>
      </c>
      <c r="V491" s="45">
        <f t="shared" si="263"/>
        <v>1.5862469605535832</v>
      </c>
      <c r="W491" s="45">
        <f t="shared" si="264"/>
        <v>1.5692808417947739</v>
      </c>
      <c r="X491" s="45">
        <f t="shared" si="265"/>
        <v>1.6966118758809268E-2</v>
      </c>
      <c r="Y491" s="45">
        <f t="shared" si="239"/>
        <v>2.7255710173820093E-2</v>
      </c>
      <c r="Z491" s="10">
        <f t="shared" si="266"/>
        <v>19.782626943882065</v>
      </c>
      <c r="AA491">
        <f t="shared" si="244"/>
        <v>6399585.5560673485</v>
      </c>
      <c r="AB491" s="10">
        <f t="shared" si="245"/>
        <v>6.3995855560673487</v>
      </c>
      <c r="AC491" s="10">
        <f t="shared" si="246"/>
        <v>6.2985855560673487</v>
      </c>
      <c r="AD491" s="3">
        <f t="shared" si="247"/>
        <v>913.50044322949213</v>
      </c>
      <c r="AI491" s="100">
        <f t="shared" si="248"/>
        <v>1.5692808417947739</v>
      </c>
    </row>
    <row r="492" spans="2:35">
      <c r="B492" s="39">
        <f t="shared" si="249"/>
        <v>464</v>
      </c>
      <c r="C492" s="45">
        <f t="shared" si="250"/>
        <v>13.630695443644303</v>
      </c>
      <c r="D492" s="10">
        <f t="shared" si="251"/>
        <v>10.869304556355928</v>
      </c>
      <c r="E492" s="40">
        <f t="shared" si="252"/>
        <v>47.261390887288144</v>
      </c>
      <c r="F492" s="40">
        <f t="shared" si="253"/>
        <v>69</v>
      </c>
      <c r="G492" s="3">
        <f t="shared" si="254"/>
        <v>350.95443645084742</v>
      </c>
      <c r="H492" s="3">
        <f t="shared" si="255"/>
        <v>221.47275588995251</v>
      </c>
      <c r="I492">
        <f t="shared" si="240"/>
        <v>2.214727558899525E-4</v>
      </c>
      <c r="J492" s="4">
        <f t="shared" si="256"/>
        <v>2432.8800353474417</v>
      </c>
      <c r="K492" s="40">
        <f t="shared" si="257"/>
        <v>10.98500818112506</v>
      </c>
      <c r="L492" s="40">
        <f t="shared" si="241"/>
        <v>0</v>
      </c>
      <c r="M492" s="10">
        <f t="shared" si="258"/>
        <v>6.3995855560673487</v>
      </c>
      <c r="N492" s="10">
        <f t="shared" si="237"/>
        <v>17.20418640980624</v>
      </c>
      <c r="O492" s="10">
        <f t="shared" si="238"/>
        <v>-0.14810000000000001</v>
      </c>
      <c r="P492" s="10">
        <f t="shared" si="259"/>
        <v>13.069020844241912</v>
      </c>
      <c r="Q492" s="45">
        <f t="shared" si="260"/>
        <v>1.098584863252307</v>
      </c>
      <c r="R492" s="4">
        <f t="shared" si="261"/>
        <v>696639.16350595746</v>
      </c>
      <c r="S492">
        <f t="shared" si="242"/>
        <v>6.9663916350595745E-4</v>
      </c>
      <c r="T492" s="44">
        <f t="shared" si="243"/>
        <v>1.3797572309760464E-3</v>
      </c>
      <c r="U492" s="45">
        <f t="shared" si="262"/>
        <v>1.2435357388163095</v>
      </c>
      <c r="V492" s="45">
        <f t="shared" si="263"/>
        <v>1.5861448574541339</v>
      </c>
      <c r="W492" s="45">
        <f t="shared" si="264"/>
        <v>1.5692013576297177</v>
      </c>
      <c r="X492" s="45">
        <f t="shared" si="265"/>
        <v>1.694349982441623E-2</v>
      </c>
      <c r="Y492" s="45">
        <f t="shared" si="239"/>
        <v>2.7293795712760471E-2</v>
      </c>
      <c r="Z492" s="10">
        <f t="shared" si="266"/>
        <v>19.781592804882582</v>
      </c>
      <c r="AA492">
        <f t="shared" si="244"/>
        <v>6399256.2968145916</v>
      </c>
      <c r="AB492" s="10">
        <f t="shared" si="245"/>
        <v>6.3992562968145918</v>
      </c>
      <c r="AC492" s="10">
        <f t="shared" si="246"/>
        <v>6.2982562968145919</v>
      </c>
      <c r="AD492" s="3">
        <f t="shared" si="247"/>
        <v>913.45268989334181</v>
      </c>
      <c r="AI492" s="100">
        <f t="shared" si="248"/>
        <v>1.5692013576297177</v>
      </c>
    </row>
    <row r="493" spans="2:35">
      <c r="B493" s="39">
        <f t="shared" si="249"/>
        <v>465</v>
      </c>
      <c r="C493" s="45">
        <f t="shared" si="250"/>
        <v>13.66007194244526</v>
      </c>
      <c r="D493" s="10">
        <f t="shared" si="251"/>
        <v>10.839928057554971</v>
      </c>
      <c r="E493" s="40">
        <f t="shared" si="252"/>
        <v>47.320143884890058</v>
      </c>
      <c r="F493" s="40">
        <f t="shared" si="253"/>
        <v>69</v>
      </c>
      <c r="G493" s="3">
        <f t="shared" si="254"/>
        <v>350.71942446043977</v>
      </c>
      <c r="H493" s="3">
        <f t="shared" si="255"/>
        <v>221.47275588995251</v>
      </c>
      <c r="I493">
        <f t="shared" si="240"/>
        <v>2.214727558899525E-4</v>
      </c>
      <c r="J493" s="4">
        <f t="shared" si="256"/>
        <v>2437.2444526392492</v>
      </c>
      <c r="K493" s="40">
        <f t="shared" si="257"/>
        <v>11.004714520508745</v>
      </c>
      <c r="L493" s="40">
        <f t="shared" si="241"/>
        <v>0</v>
      </c>
      <c r="M493" s="10">
        <f t="shared" si="258"/>
        <v>6.3992562968145918</v>
      </c>
      <c r="N493" s="10">
        <f t="shared" si="237"/>
        <v>17.20418640980624</v>
      </c>
      <c r="O493" s="10">
        <f t="shared" si="238"/>
        <v>-0.14810000000000001</v>
      </c>
      <c r="P493" s="10">
        <f t="shared" si="259"/>
        <v>13.069120429963599</v>
      </c>
      <c r="Q493" s="45">
        <f t="shared" si="260"/>
        <v>1.1008326425851538</v>
      </c>
      <c r="R493" s="4">
        <f t="shared" si="261"/>
        <v>694641.98239556025</v>
      </c>
      <c r="S493">
        <f t="shared" si="242"/>
        <v>6.9464198239556026E-4</v>
      </c>
      <c r="T493" s="44">
        <f t="shared" si="243"/>
        <v>1.3817544120864435E-3</v>
      </c>
      <c r="U493" s="45">
        <f t="shared" si="262"/>
        <v>1.2399706706751947</v>
      </c>
      <c r="V493" s="45">
        <f t="shared" si="263"/>
        <v>1.586040092556432</v>
      </c>
      <c r="W493" s="45">
        <f t="shared" si="264"/>
        <v>1.569119327456143</v>
      </c>
      <c r="X493" s="45">
        <f t="shared" si="265"/>
        <v>1.6920765100288948E-2</v>
      </c>
      <c r="Y493" s="45">
        <f t="shared" si="239"/>
        <v>2.7331829858848855E-2</v>
      </c>
      <c r="Z493" s="10">
        <f t="shared" si="266"/>
        <v>19.780526568088103</v>
      </c>
      <c r="AA493">
        <f t="shared" si="244"/>
        <v>6398916.8179530585</v>
      </c>
      <c r="AB493" s="10">
        <f t="shared" si="245"/>
        <v>6.3989168179530589</v>
      </c>
      <c r="AC493" s="10">
        <f t="shared" si="246"/>
        <v>6.2979168179530589</v>
      </c>
      <c r="AD493" s="3">
        <f t="shared" si="247"/>
        <v>913.40345438042903</v>
      </c>
      <c r="AI493" s="100">
        <f t="shared" si="248"/>
        <v>1.569119327456143</v>
      </c>
    </row>
    <row r="494" spans="2:35">
      <c r="B494" s="39">
        <f t="shared" si="249"/>
        <v>466</v>
      </c>
      <c r="C494" s="45">
        <f t="shared" si="250"/>
        <v>13.689448441246217</v>
      </c>
      <c r="D494" s="10">
        <f t="shared" si="251"/>
        <v>10.810551558754014</v>
      </c>
      <c r="E494" s="40">
        <f t="shared" si="252"/>
        <v>47.378896882491972</v>
      </c>
      <c r="F494" s="40">
        <f t="shared" si="253"/>
        <v>69</v>
      </c>
      <c r="G494" s="3">
        <f t="shared" si="254"/>
        <v>350.48441247003211</v>
      </c>
      <c r="H494" s="3">
        <f t="shared" si="255"/>
        <v>221.47275588995251</v>
      </c>
      <c r="I494">
        <f t="shared" si="240"/>
        <v>2.214727558899525E-4</v>
      </c>
      <c r="J494" s="4">
        <f t="shared" si="256"/>
        <v>2441.6142921860301</v>
      </c>
      <c r="K494" s="40">
        <f t="shared" si="257"/>
        <v>11.024445342610187</v>
      </c>
      <c r="L494" s="40">
        <f t="shared" si="241"/>
        <v>0</v>
      </c>
      <c r="M494" s="10">
        <f t="shared" si="258"/>
        <v>6.3989168179530589</v>
      </c>
      <c r="N494" s="10">
        <f t="shared" si="237"/>
        <v>17.20418640980624</v>
      </c>
      <c r="O494" s="10">
        <f t="shared" si="238"/>
        <v>-0.14810000000000001</v>
      </c>
      <c r="P494" s="10">
        <f t="shared" si="259"/>
        <v>13.069223112804817</v>
      </c>
      <c r="Q494" s="45">
        <f t="shared" si="260"/>
        <v>1.1030804042575499</v>
      </c>
      <c r="R494" s="4">
        <f t="shared" si="261"/>
        <v>692644.9522501037</v>
      </c>
      <c r="S494">
        <f t="shared" si="242"/>
        <v>6.9264495225010371E-4</v>
      </c>
      <c r="T494" s="44">
        <f t="shared" si="243"/>
        <v>1.3837514422319001E-3</v>
      </c>
      <c r="U494" s="45">
        <f t="shared" si="262"/>
        <v>1.2364058720140476</v>
      </c>
      <c r="V494" s="45">
        <f t="shared" si="263"/>
        <v>1.585932665782569</v>
      </c>
      <c r="W494" s="45">
        <f t="shared" si="264"/>
        <v>1.5690347512150706</v>
      </c>
      <c r="X494" s="45">
        <f t="shared" si="265"/>
        <v>1.689791456749834E-2</v>
      </c>
      <c r="Y494" s="45">
        <f t="shared" si="239"/>
        <v>2.7369812343557103E-2</v>
      </c>
      <c r="Z494" s="10">
        <f t="shared" si="266"/>
        <v>19.779428232726101</v>
      </c>
      <c r="AA494">
        <f t="shared" si="244"/>
        <v>6398567.1192367831</v>
      </c>
      <c r="AB494" s="10">
        <f t="shared" si="245"/>
        <v>6.398567119236783</v>
      </c>
      <c r="AC494" s="10">
        <f t="shared" si="246"/>
        <v>6.297567119236783</v>
      </c>
      <c r="AD494" s="3">
        <f t="shared" si="247"/>
        <v>913.352736655081</v>
      </c>
      <c r="AI494" s="100">
        <f t="shared" si="248"/>
        <v>1.5690347512150706</v>
      </c>
    </row>
    <row r="495" spans="2:35">
      <c r="B495" s="39">
        <f t="shared" si="249"/>
        <v>467</v>
      </c>
      <c r="C495" s="45">
        <f t="shared" si="250"/>
        <v>13.718824940047174</v>
      </c>
      <c r="D495" s="10">
        <f t="shared" si="251"/>
        <v>10.781175059953057</v>
      </c>
      <c r="E495" s="40">
        <f t="shared" si="252"/>
        <v>47.437649880093886</v>
      </c>
      <c r="F495" s="40">
        <f t="shared" si="253"/>
        <v>69</v>
      </c>
      <c r="G495" s="3">
        <f t="shared" si="254"/>
        <v>350.24940047962446</v>
      </c>
      <c r="H495" s="3">
        <f t="shared" si="255"/>
        <v>221.47275588995251</v>
      </c>
      <c r="I495">
        <f t="shared" si="240"/>
        <v>2.214727558899525E-4</v>
      </c>
      <c r="J495" s="4">
        <f t="shared" si="256"/>
        <v>2445.9895539877853</v>
      </c>
      <c r="K495" s="40">
        <f t="shared" si="257"/>
        <v>11.044200647429392</v>
      </c>
      <c r="L495" s="40">
        <f t="shared" si="241"/>
        <v>0</v>
      </c>
      <c r="M495" s="10">
        <f t="shared" si="258"/>
        <v>6.398567119236783</v>
      </c>
      <c r="N495" s="10">
        <f t="shared" si="237"/>
        <v>17.20418640980624</v>
      </c>
      <c r="O495" s="10">
        <f t="shared" si="238"/>
        <v>-0.14810000000000001</v>
      </c>
      <c r="P495" s="10">
        <f t="shared" si="259"/>
        <v>13.069328893405514</v>
      </c>
      <c r="Q495" s="45">
        <f t="shared" si="260"/>
        <v>1.1053281477370014</v>
      </c>
      <c r="R495" s="4">
        <f t="shared" si="261"/>
        <v>690648.07689247269</v>
      </c>
      <c r="S495">
        <f t="shared" si="242"/>
        <v>6.9064807689247273E-4</v>
      </c>
      <c r="T495" s="44">
        <f t="shared" si="243"/>
        <v>1.3857483175895311E-3</v>
      </c>
      <c r="U495" s="45">
        <f t="shared" si="262"/>
        <v>1.2328413496569084</v>
      </c>
      <c r="V495" s="45">
        <f t="shared" si="263"/>
        <v>1.5858225770536454</v>
      </c>
      <c r="W495" s="45">
        <f t="shared" si="264"/>
        <v>1.5689476288452218</v>
      </c>
      <c r="X495" s="45">
        <f t="shared" si="265"/>
        <v>1.6874948208423612E-2</v>
      </c>
      <c r="Y495" s="45">
        <f t="shared" si="239"/>
        <v>2.7407742898358668E-2</v>
      </c>
      <c r="Z495" s="10">
        <f t="shared" si="266"/>
        <v>19.778297797996711</v>
      </c>
      <c r="AA495">
        <f t="shared" si="244"/>
        <v>6398207.2004110981</v>
      </c>
      <c r="AB495" s="10">
        <f t="shared" si="245"/>
        <v>6.3982072004110977</v>
      </c>
      <c r="AC495" s="10">
        <f t="shared" si="246"/>
        <v>6.2972072004110977</v>
      </c>
      <c r="AD495" s="3">
        <f t="shared" si="247"/>
        <v>913.30053668036226</v>
      </c>
      <c r="AI495" s="100">
        <f t="shared" si="248"/>
        <v>1.5689476288452218</v>
      </c>
    </row>
    <row r="496" spans="2:35">
      <c r="B496" s="39">
        <f t="shared" si="249"/>
        <v>468</v>
      </c>
      <c r="C496" s="45">
        <f t="shared" si="250"/>
        <v>13.748201438848131</v>
      </c>
      <c r="D496" s="10">
        <f t="shared" si="251"/>
        <v>10.7517985611521</v>
      </c>
      <c r="E496" s="40">
        <f t="shared" si="252"/>
        <v>47.4964028776958</v>
      </c>
      <c r="F496" s="40">
        <f t="shared" si="253"/>
        <v>69</v>
      </c>
      <c r="G496" s="3">
        <f t="shared" si="254"/>
        <v>350.0143884892168</v>
      </c>
      <c r="H496" s="3">
        <f t="shared" si="255"/>
        <v>221.47275588995251</v>
      </c>
      <c r="I496">
        <f t="shared" si="240"/>
        <v>2.214727558899525E-4</v>
      </c>
      <c r="J496" s="4">
        <f t="shared" si="256"/>
        <v>2450.3702380445147</v>
      </c>
      <c r="K496" s="40">
        <f t="shared" si="257"/>
        <v>11.063980434966357</v>
      </c>
      <c r="L496" s="40">
        <f t="shared" si="241"/>
        <v>0</v>
      </c>
      <c r="M496" s="10">
        <f t="shared" si="258"/>
        <v>6.3982072004110977</v>
      </c>
      <c r="N496" s="10">
        <f t="shared" si="237"/>
        <v>17.20418640980624</v>
      </c>
      <c r="O496" s="10">
        <f t="shared" si="238"/>
        <v>-0.14810000000000001</v>
      </c>
      <c r="P496" s="10">
        <f t="shared" si="259"/>
        <v>13.069437772425415</v>
      </c>
      <c r="Q496" s="45">
        <f t="shared" si="260"/>
        <v>1.1075758724909259</v>
      </c>
      <c r="R496" s="4">
        <f t="shared" si="261"/>
        <v>688651.36014555173</v>
      </c>
      <c r="S496">
        <f t="shared" si="242"/>
        <v>6.886513601455517E-4</v>
      </c>
      <c r="T496" s="44">
        <f t="shared" si="243"/>
        <v>1.3877450343364522E-3</v>
      </c>
      <c r="U496" s="45">
        <f t="shared" si="262"/>
        <v>1.2292771104278171</v>
      </c>
      <c r="V496" s="45">
        <f t="shared" si="263"/>
        <v>1.5857098262890703</v>
      </c>
      <c r="W496" s="45">
        <f t="shared" si="264"/>
        <v>1.5688579602831496</v>
      </c>
      <c r="X496" s="45">
        <f t="shared" si="265"/>
        <v>1.6851866005920701E-2</v>
      </c>
      <c r="Y496" s="45">
        <f t="shared" si="239"/>
        <v>2.7445621254729994E-2</v>
      </c>
      <c r="Z496" s="10">
        <f t="shared" si="266"/>
        <v>19.777135263073067</v>
      </c>
      <c r="AA496">
        <f t="shared" si="244"/>
        <v>6397837.0612127362</v>
      </c>
      <c r="AB496" s="10">
        <f t="shared" si="245"/>
        <v>6.3978370612127362</v>
      </c>
      <c r="AC496" s="10">
        <f t="shared" si="246"/>
        <v>6.2968370612127362</v>
      </c>
      <c r="AD496" s="3">
        <f t="shared" si="247"/>
        <v>913.24685441809083</v>
      </c>
      <c r="AI496" s="100">
        <f t="shared" si="248"/>
        <v>1.5688579602831496</v>
      </c>
    </row>
    <row r="497" spans="2:35">
      <c r="B497" s="39">
        <f t="shared" si="249"/>
        <v>469</v>
      </c>
      <c r="C497" s="45">
        <f t="shared" si="250"/>
        <v>13.777577937649088</v>
      </c>
      <c r="D497" s="10">
        <f t="shared" si="251"/>
        <v>10.722422062351143</v>
      </c>
      <c r="E497" s="40">
        <f t="shared" si="252"/>
        <v>47.555155875297714</v>
      </c>
      <c r="F497" s="40">
        <f t="shared" si="253"/>
        <v>69</v>
      </c>
      <c r="G497" s="3">
        <f t="shared" si="254"/>
        <v>349.77937649880914</v>
      </c>
      <c r="H497" s="3">
        <f t="shared" si="255"/>
        <v>221.47275588995251</v>
      </c>
      <c r="I497">
        <f t="shared" si="240"/>
        <v>2.214727558899525E-4</v>
      </c>
      <c r="J497" s="4">
        <f t="shared" si="256"/>
        <v>2454.7563443562176</v>
      </c>
      <c r="K497" s="40">
        <f t="shared" si="257"/>
        <v>11.083784705221081</v>
      </c>
      <c r="L497" s="40">
        <f t="shared" si="241"/>
        <v>0</v>
      </c>
      <c r="M497" s="10">
        <f t="shared" si="258"/>
        <v>6.3978370612127362</v>
      </c>
      <c r="N497" s="10">
        <f t="shared" si="237"/>
        <v>17.20418640980624</v>
      </c>
      <c r="O497" s="10">
        <f t="shared" si="238"/>
        <v>-0.14810000000000001</v>
      </c>
      <c r="P497" s="10">
        <f t="shared" si="259"/>
        <v>13.069549750544034</v>
      </c>
      <c r="Q497" s="45">
        <f t="shared" si="260"/>
        <v>1.1098235779866517</v>
      </c>
      <c r="R497" s="4">
        <f t="shared" si="261"/>
        <v>686654.80583222606</v>
      </c>
      <c r="S497">
        <f t="shared" si="242"/>
        <v>6.8665480583222601E-4</v>
      </c>
      <c r="T497" s="44">
        <f t="shared" si="243"/>
        <v>1.3897415886497777E-3</v>
      </c>
      <c r="U497" s="45">
        <f t="shared" si="262"/>
        <v>1.2257131611508152</v>
      </c>
      <c r="V497" s="45">
        <f t="shared" si="263"/>
        <v>1.5855944134047544</v>
      </c>
      <c r="W497" s="45">
        <f t="shared" si="264"/>
        <v>1.5687657454632649</v>
      </c>
      <c r="X497" s="45">
        <f t="shared" si="265"/>
        <v>1.6828667941489517E-2</v>
      </c>
      <c r="Y497" s="45">
        <f t="shared" si="239"/>
        <v>2.7483447144147823E-2</v>
      </c>
      <c r="Z497" s="10">
        <f t="shared" si="266"/>
        <v>19.775940627098695</v>
      </c>
      <c r="AA497">
        <f t="shared" si="244"/>
        <v>6397456.7013690071</v>
      </c>
      <c r="AB497" s="10">
        <f t="shared" si="245"/>
        <v>6.3974567013690073</v>
      </c>
      <c r="AC497" s="10">
        <f t="shared" si="246"/>
        <v>6.2964567013690074</v>
      </c>
      <c r="AD497" s="3">
        <f t="shared" si="247"/>
        <v>913.19168982871747</v>
      </c>
      <c r="AI497" s="100">
        <f t="shared" si="248"/>
        <v>1.5687657454632649</v>
      </c>
    </row>
    <row r="498" spans="2:35">
      <c r="B498" s="39">
        <f t="shared" si="249"/>
        <v>470</v>
      </c>
      <c r="C498" s="45">
        <f t="shared" si="250"/>
        <v>13.806954436450045</v>
      </c>
      <c r="D498" s="10">
        <f t="shared" si="251"/>
        <v>10.693045563550186</v>
      </c>
      <c r="E498" s="40">
        <f t="shared" si="252"/>
        <v>47.613908872899628</v>
      </c>
      <c r="F498" s="40">
        <f t="shared" si="253"/>
        <v>69</v>
      </c>
      <c r="G498" s="3">
        <f t="shared" si="254"/>
        <v>349.54436450840149</v>
      </c>
      <c r="H498" s="3">
        <f t="shared" si="255"/>
        <v>221.47275588995251</v>
      </c>
      <c r="I498">
        <f t="shared" si="240"/>
        <v>2.214727558899525E-4</v>
      </c>
      <c r="J498" s="4">
        <f t="shared" si="256"/>
        <v>2459.1478729228947</v>
      </c>
      <c r="K498" s="40">
        <f t="shared" si="257"/>
        <v>11.103613458193564</v>
      </c>
      <c r="L498" s="40">
        <f t="shared" si="241"/>
        <v>0</v>
      </c>
      <c r="M498" s="10">
        <f t="shared" si="258"/>
        <v>6.3974567013690073</v>
      </c>
      <c r="N498" s="10">
        <f t="shared" si="237"/>
        <v>17.20418640980624</v>
      </c>
      <c r="O498" s="10">
        <f t="shared" si="238"/>
        <v>-0.14810000000000001</v>
      </c>
      <c r="P498" s="10">
        <f t="shared" si="259"/>
        <v>13.069664828460901</v>
      </c>
      <c r="Q498" s="45">
        <f t="shared" si="260"/>
        <v>1.1120712636914134</v>
      </c>
      <c r="R498" s="4">
        <f t="shared" si="261"/>
        <v>684658.41777537996</v>
      </c>
      <c r="S498">
        <f t="shared" si="242"/>
        <v>6.8465841777537993E-4</v>
      </c>
      <c r="T498" s="44">
        <f t="shared" si="243"/>
        <v>1.3917379767066239E-3</v>
      </c>
      <c r="U498" s="45">
        <f t="shared" si="262"/>
        <v>1.2221495086499421</v>
      </c>
      <c r="V498" s="45">
        <f t="shared" si="263"/>
        <v>1.5854763383169872</v>
      </c>
      <c r="W498" s="45">
        <f t="shared" si="264"/>
        <v>1.5686709843176307</v>
      </c>
      <c r="X498" s="45">
        <f t="shared" si="265"/>
        <v>1.6805353999356454E-2</v>
      </c>
      <c r="Y498" s="45">
        <f t="shared" si="239"/>
        <v>2.7521220298095637E-2</v>
      </c>
      <c r="Z498" s="10">
        <f t="shared" si="266"/>
        <v>19.774713889191418</v>
      </c>
      <c r="AA498">
        <f t="shared" si="244"/>
        <v>6397066.1205990333</v>
      </c>
      <c r="AB498" s="10">
        <f t="shared" si="245"/>
        <v>6.3970661205990336</v>
      </c>
      <c r="AC498" s="10">
        <f t="shared" si="246"/>
        <v>6.2960661205990336</v>
      </c>
      <c r="AD498" s="3">
        <f t="shared" si="247"/>
        <v>913.1350428715059</v>
      </c>
      <c r="AI498" s="100">
        <f t="shared" si="248"/>
        <v>1.5686709843176307</v>
      </c>
    </row>
    <row r="499" spans="2:35">
      <c r="B499" s="39">
        <f t="shared" si="249"/>
        <v>471</v>
      </c>
      <c r="C499" s="45">
        <f t="shared" si="250"/>
        <v>13.836330935251002</v>
      </c>
      <c r="D499" s="10">
        <f t="shared" si="251"/>
        <v>10.663669064749229</v>
      </c>
      <c r="E499" s="40">
        <f t="shared" si="252"/>
        <v>47.672661870501543</v>
      </c>
      <c r="F499" s="40">
        <f t="shared" si="253"/>
        <v>69</v>
      </c>
      <c r="G499" s="3">
        <f t="shared" si="254"/>
        <v>349.30935251799383</v>
      </c>
      <c r="H499" s="3">
        <f t="shared" si="255"/>
        <v>221.47275588995251</v>
      </c>
      <c r="I499">
        <f t="shared" si="240"/>
        <v>2.214727558899525E-4</v>
      </c>
      <c r="J499" s="4">
        <f t="shared" si="256"/>
        <v>2463.5448237445457</v>
      </c>
      <c r="K499" s="40">
        <f t="shared" si="257"/>
        <v>11.123466693883808</v>
      </c>
      <c r="L499" s="40">
        <f t="shared" si="241"/>
        <v>0</v>
      </c>
      <c r="M499" s="10">
        <f t="shared" si="258"/>
        <v>6.3970661205990336</v>
      </c>
      <c r="N499" s="10">
        <f t="shared" si="237"/>
        <v>17.20418640980624</v>
      </c>
      <c r="O499" s="10">
        <f t="shared" si="238"/>
        <v>-0.14810000000000001</v>
      </c>
      <c r="P499" s="10">
        <f t="shared" si="259"/>
        <v>13.069783006895227</v>
      </c>
      <c r="Q499" s="45">
        <f t="shared" si="260"/>
        <v>1.1143189290723505</v>
      </c>
      <c r="R499" s="4">
        <f t="shared" si="261"/>
        <v>682662.19979789865</v>
      </c>
      <c r="S499">
        <f t="shared" si="242"/>
        <v>6.8266219979789861E-4</v>
      </c>
      <c r="T499" s="44">
        <f t="shared" si="243"/>
        <v>1.3937341946841052E-3</v>
      </c>
      <c r="U499" s="45">
        <f t="shared" si="262"/>
        <v>1.2185861597492389</v>
      </c>
      <c r="V499" s="45">
        <f t="shared" si="263"/>
        <v>1.5853556009380383</v>
      </c>
      <c r="W499" s="45">
        <f t="shared" si="264"/>
        <v>1.5685736767762706</v>
      </c>
      <c r="X499" s="45">
        <f t="shared" si="265"/>
        <v>1.6781924161767714E-2</v>
      </c>
      <c r="Y499" s="45">
        <f t="shared" si="239"/>
        <v>2.7558940448059555E-2</v>
      </c>
      <c r="Z499" s="10">
        <f t="shared" si="266"/>
        <v>19.773455048439768</v>
      </c>
      <c r="AA499">
        <f t="shared" si="244"/>
        <v>6396665.3186126119</v>
      </c>
      <c r="AB499" s="10">
        <f t="shared" si="245"/>
        <v>6.3966653186126115</v>
      </c>
      <c r="AC499" s="10">
        <f t="shared" si="246"/>
        <v>6.2956653186126115</v>
      </c>
      <c r="AD499" s="3">
        <f t="shared" si="247"/>
        <v>913.07691350436721</v>
      </c>
      <c r="AI499" s="100">
        <f t="shared" si="248"/>
        <v>1.5685736767762706</v>
      </c>
    </row>
    <row r="500" spans="2:35">
      <c r="B500" s="39">
        <f t="shared" si="249"/>
        <v>472</v>
      </c>
      <c r="C500" s="45">
        <f t="shared" si="250"/>
        <v>13.865707434051959</v>
      </c>
      <c r="D500" s="10">
        <f t="shared" si="251"/>
        <v>10.634292565948272</v>
      </c>
      <c r="E500" s="40">
        <f t="shared" si="252"/>
        <v>47.731414868103457</v>
      </c>
      <c r="F500" s="40">
        <f t="shared" si="253"/>
        <v>69</v>
      </c>
      <c r="G500" s="3">
        <f t="shared" si="254"/>
        <v>349.07434052758617</v>
      </c>
      <c r="H500" s="3">
        <f t="shared" si="255"/>
        <v>221.47275588995251</v>
      </c>
      <c r="I500">
        <f t="shared" si="240"/>
        <v>2.214727558899525E-4</v>
      </c>
      <c r="J500" s="4">
        <f t="shared" si="256"/>
        <v>2467.9471968211701</v>
      </c>
      <c r="K500" s="40">
        <f t="shared" si="257"/>
        <v>11.143344412291809</v>
      </c>
      <c r="L500" s="40">
        <f t="shared" si="241"/>
        <v>0</v>
      </c>
      <c r="M500" s="10">
        <f t="shared" si="258"/>
        <v>6.3966653186126115</v>
      </c>
      <c r="N500" s="10">
        <f t="shared" si="237"/>
        <v>17.20418640980624</v>
      </c>
      <c r="O500" s="10">
        <f t="shared" si="238"/>
        <v>-0.14810000000000001</v>
      </c>
      <c r="P500" s="10">
        <f t="shared" si="259"/>
        <v>13.069904286586246</v>
      </c>
      <c r="Q500" s="45">
        <f t="shared" si="260"/>
        <v>1.1165665735965042</v>
      </c>
      <c r="R500" s="4">
        <f t="shared" si="261"/>
        <v>680666.15572266676</v>
      </c>
      <c r="S500">
        <f t="shared" si="242"/>
        <v>6.8066615572266677E-4</v>
      </c>
      <c r="T500" s="44">
        <f t="shared" si="243"/>
        <v>1.3957302387593369E-3</v>
      </c>
      <c r="U500" s="45">
        <f t="shared" si="262"/>
        <v>1.2150231212727463</v>
      </c>
      <c r="V500" s="45">
        <f t="shared" si="263"/>
        <v>1.5852322011792332</v>
      </c>
      <c r="W500" s="45">
        <f t="shared" si="264"/>
        <v>1.5684738227668846</v>
      </c>
      <c r="X500" s="45">
        <f t="shared" si="265"/>
        <v>1.6758378412348618E-2</v>
      </c>
      <c r="Y500" s="45">
        <f t="shared" si="239"/>
        <v>2.7596607325531767E-2</v>
      </c>
      <c r="Z500" s="10">
        <f t="shared" si="266"/>
        <v>19.77216410390475</v>
      </c>
      <c r="AA500">
        <f t="shared" si="244"/>
        <v>6396254.295110778</v>
      </c>
      <c r="AB500" s="10">
        <f t="shared" si="245"/>
        <v>6.3962542951107784</v>
      </c>
      <c r="AC500" s="10">
        <f t="shared" si="246"/>
        <v>6.2952542951107784</v>
      </c>
      <c r="AD500" s="3">
        <f t="shared" si="247"/>
        <v>913.0173016839417</v>
      </c>
      <c r="AI500" s="100">
        <f t="shared" si="248"/>
        <v>1.5684738227668846</v>
      </c>
    </row>
    <row r="501" spans="2:35">
      <c r="B501" s="39">
        <f t="shared" si="249"/>
        <v>473</v>
      </c>
      <c r="C501" s="45">
        <f t="shared" si="250"/>
        <v>13.895083932852916</v>
      </c>
      <c r="D501" s="10">
        <f t="shared" si="251"/>
        <v>10.604916067147315</v>
      </c>
      <c r="E501" s="40">
        <f t="shared" si="252"/>
        <v>47.790167865705371</v>
      </c>
      <c r="F501" s="40">
        <f t="shared" si="253"/>
        <v>69</v>
      </c>
      <c r="G501" s="3">
        <f t="shared" si="254"/>
        <v>348.83932853717852</v>
      </c>
      <c r="H501" s="3">
        <f t="shared" si="255"/>
        <v>221.47275588995251</v>
      </c>
      <c r="I501">
        <f t="shared" si="240"/>
        <v>2.214727558899525E-4</v>
      </c>
      <c r="J501" s="4">
        <f t="shared" si="256"/>
        <v>2472.3549921527692</v>
      </c>
      <c r="K501" s="40">
        <f t="shared" si="257"/>
        <v>11.163246613417574</v>
      </c>
      <c r="L501" s="40">
        <f t="shared" si="241"/>
        <v>0</v>
      </c>
      <c r="M501" s="10">
        <f t="shared" si="258"/>
        <v>6.3962542951107784</v>
      </c>
      <c r="N501" s="10">
        <f t="shared" si="237"/>
        <v>17.20418640980624</v>
      </c>
      <c r="O501" s="10">
        <f t="shared" si="238"/>
        <v>-0.14810000000000001</v>
      </c>
      <c r="P501" s="10">
        <f t="shared" si="259"/>
        <v>13.070028668293066</v>
      </c>
      <c r="Q501" s="45">
        <f t="shared" si="260"/>
        <v>1.1188141967308147</v>
      </c>
      <c r="R501" s="4">
        <f t="shared" si="261"/>
        <v>678670.28937256918</v>
      </c>
      <c r="S501">
        <f t="shared" si="242"/>
        <v>6.7867028937256923E-4</v>
      </c>
      <c r="T501" s="44">
        <f t="shared" si="243"/>
        <v>1.3977261051094346E-3</v>
      </c>
      <c r="U501" s="45">
        <f t="shared" si="262"/>
        <v>1.2114604000445046</v>
      </c>
      <c r="V501" s="45">
        <f t="shared" si="263"/>
        <v>1.5851061389500227</v>
      </c>
      <c r="W501" s="45">
        <f t="shared" si="264"/>
        <v>1.5683714222149905</v>
      </c>
      <c r="X501" s="45">
        <f t="shared" si="265"/>
        <v>1.673471673503224E-2</v>
      </c>
      <c r="Y501" s="45">
        <f t="shared" si="239"/>
        <v>2.7634220662011558E-2</v>
      </c>
      <c r="Z501" s="10">
        <f t="shared" si="266"/>
        <v>19.770841054619886</v>
      </c>
      <c r="AA501">
        <f t="shared" si="244"/>
        <v>6395833.0497858142</v>
      </c>
      <c r="AB501" s="10">
        <f t="shared" si="245"/>
        <v>6.3958330497858142</v>
      </c>
      <c r="AC501" s="10">
        <f t="shared" si="246"/>
        <v>6.2948330497858143</v>
      </c>
      <c r="AD501" s="3">
        <f t="shared" si="247"/>
        <v>912.95620736560033</v>
      </c>
      <c r="AI501" s="100">
        <f t="shared" si="248"/>
        <v>1.5683714222149905</v>
      </c>
    </row>
    <row r="502" spans="2:35">
      <c r="B502" s="39">
        <f t="shared" si="249"/>
        <v>474</v>
      </c>
      <c r="C502" s="45">
        <f t="shared" si="250"/>
        <v>13.924460431653873</v>
      </c>
      <c r="D502" s="10">
        <f t="shared" si="251"/>
        <v>10.575539568346358</v>
      </c>
      <c r="E502" s="40">
        <f t="shared" si="252"/>
        <v>47.848920863307285</v>
      </c>
      <c r="F502" s="40">
        <f t="shared" si="253"/>
        <v>69</v>
      </c>
      <c r="G502" s="3">
        <f t="shared" si="254"/>
        <v>348.60431654677086</v>
      </c>
      <c r="H502" s="3">
        <f t="shared" si="255"/>
        <v>221.47275588995251</v>
      </c>
      <c r="I502">
        <f t="shared" si="240"/>
        <v>2.214727558899525E-4</v>
      </c>
      <c r="J502" s="4">
        <f t="shared" si="256"/>
        <v>2476.7682097393417</v>
      </c>
      <c r="K502" s="40">
        <f t="shared" si="257"/>
        <v>11.183173297261094</v>
      </c>
      <c r="L502" s="40">
        <f t="shared" si="241"/>
        <v>0</v>
      </c>
      <c r="M502" s="10">
        <f t="shared" si="258"/>
        <v>6.3958330497858142</v>
      </c>
      <c r="N502" s="10">
        <f t="shared" si="237"/>
        <v>17.20418640980624</v>
      </c>
      <c r="O502" s="10">
        <f t="shared" si="238"/>
        <v>-0.14810000000000001</v>
      </c>
      <c r="P502" s="10">
        <f t="shared" si="259"/>
        <v>13.070156152794684</v>
      </c>
      <c r="Q502" s="45">
        <f t="shared" si="260"/>
        <v>1.1210617979421191</v>
      </c>
      <c r="R502" s="4">
        <f t="shared" si="261"/>
        <v>676674.60457049054</v>
      </c>
      <c r="S502">
        <f t="shared" si="242"/>
        <v>6.7667460457049051E-4</v>
      </c>
      <c r="T502" s="44">
        <f t="shared" si="243"/>
        <v>1.3997217899115134E-3</v>
      </c>
      <c r="U502" s="45">
        <f t="shared" si="262"/>
        <v>1.2078980028885542</v>
      </c>
      <c r="V502" s="45">
        <f t="shared" si="263"/>
        <v>1.5849774141574517</v>
      </c>
      <c r="W502" s="45">
        <f t="shared" si="264"/>
        <v>1.5682664750439241</v>
      </c>
      <c r="X502" s="45">
        <f t="shared" si="265"/>
        <v>1.6710939113527612E-2</v>
      </c>
      <c r="Y502" s="45">
        <f t="shared" si="239"/>
        <v>2.7671780189005155E-2</v>
      </c>
      <c r="Z502" s="10">
        <f t="shared" si="266"/>
        <v>19.769485899590439</v>
      </c>
      <c r="AA502">
        <f t="shared" si="244"/>
        <v>6395401.5823210068</v>
      </c>
      <c r="AB502" s="10">
        <f t="shared" si="245"/>
        <v>6.3954015823210071</v>
      </c>
      <c r="AC502" s="10">
        <f t="shared" si="246"/>
        <v>6.2944015823210071</v>
      </c>
      <c r="AD502" s="3">
        <f t="shared" si="247"/>
        <v>912.89363050340921</v>
      </c>
      <c r="AI502" s="100">
        <f t="shared" si="248"/>
        <v>1.5682664750439241</v>
      </c>
    </row>
    <row r="503" spans="2:35">
      <c r="B503" s="39">
        <f t="shared" si="249"/>
        <v>475</v>
      </c>
      <c r="C503" s="45">
        <f t="shared" si="250"/>
        <v>13.95383693045483</v>
      </c>
      <c r="D503" s="10">
        <f t="shared" si="251"/>
        <v>10.546163069545401</v>
      </c>
      <c r="E503" s="40">
        <f t="shared" si="252"/>
        <v>47.907673860909199</v>
      </c>
      <c r="F503" s="40">
        <f t="shared" si="253"/>
        <v>69</v>
      </c>
      <c r="G503" s="3">
        <f t="shared" si="254"/>
        <v>348.3693045563632</v>
      </c>
      <c r="H503" s="3">
        <f t="shared" si="255"/>
        <v>221.47275588995251</v>
      </c>
      <c r="I503">
        <f t="shared" si="240"/>
        <v>2.214727558899525E-4</v>
      </c>
      <c r="J503" s="4">
        <f t="shared" si="256"/>
        <v>2481.1868495808885</v>
      </c>
      <c r="K503" s="40">
        <f t="shared" si="257"/>
        <v>11.203124463822377</v>
      </c>
      <c r="L503" s="40">
        <f t="shared" si="241"/>
        <v>0</v>
      </c>
      <c r="M503" s="10">
        <f t="shared" si="258"/>
        <v>6.3954015823210071</v>
      </c>
      <c r="N503" s="10">
        <f t="shared" si="237"/>
        <v>17.20418640980624</v>
      </c>
      <c r="O503" s="10">
        <f t="shared" si="238"/>
        <v>-0.14810000000000001</v>
      </c>
      <c r="P503" s="10">
        <f t="shared" si="259"/>
        <v>13.070286740890056</v>
      </c>
      <c r="Q503" s="45">
        <f t="shared" si="260"/>
        <v>1.1233093766971478</v>
      </c>
      <c r="R503" s="4">
        <f t="shared" si="261"/>
        <v>674679.10513931594</v>
      </c>
      <c r="S503">
        <f t="shared" si="242"/>
        <v>6.7467910513931595E-4</v>
      </c>
      <c r="T503" s="44">
        <f t="shared" si="243"/>
        <v>1.4017172893426879E-3</v>
      </c>
      <c r="U503" s="45">
        <f t="shared" si="262"/>
        <v>1.2043359366289359</v>
      </c>
      <c r="V503" s="45">
        <f t="shared" si="263"/>
        <v>1.5848460267070155</v>
      </c>
      <c r="W503" s="45">
        <f t="shared" si="264"/>
        <v>1.5681589811747811</v>
      </c>
      <c r="X503" s="45">
        <f t="shared" si="265"/>
        <v>1.6687045532234324E-2</v>
      </c>
      <c r="Y503" s="45">
        <f t="shared" si="239"/>
        <v>2.77092856380276E-2</v>
      </c>
      <c r="Z503" s="10">
        <f t="shared" si="266"/>
        <v>19.768098637794083</v>
      </c>
      <c r="AA503">
        <f t="shared" si="244"/>
        <v>6394959.8923908575</v>
      </c>
      <c r="AB503" s="10">
        <f t="shared" si="245"/>
        <v>6.3949598923908573</v>
      </c>
      <c r="AC503" s="10">
        <f t="shared" si="246"/>
        <v>6.2939598923908573</v>
      </c>
      <c r="AD503" s="3">
        <f t="shared" si="247"/>
        <v>912.82957105016067</v>
      </c>
      <c r="AI503" s="100">
        <f t="shared" si="248"/>
        <v>1.5681589811747811</v>
      </c>
    </row>
    <row r="504" spans="2:35">
      <c r="B504" s="39">
        <f t="shared" si="249"/>
        <v>476</v>
      </c>
      <c r="C504" s="45">
        <f t="shared" si="250"/>
        <v>13.983213429255787</v>
      </c>
      <c r="D504" s="10">
        <f t="shared" si="251"/>
        <v>10.516786570744443</v>
      </c>
      <c r="E504" s="40">
        <f t="shared" si="252"/>
        <v>47.966426858511113</v>
      </c>
      <c r="F504" s="40">
        <f t="shared" si="253"/>
        <v>69</v>
      </c>
      <c r="G504" s="3">
        <f t="shared" si="254"/>
        <v>348.13429256595555</v>
      </c>
      <c r="H504" s="3">
        <f t="shared" si="255"/>
        <v>221.47275588995251</v>
      </c>
      <c r="I504">
        <f t="shared" si="240"/>
        <v>2.214727558899525E-4</v>
      </c>
      <c r="J504" s="4">
        <f t="shared" si="256"/>
        <v>2485.6109116774087</v>
      </c>
      <c r="K504" s="40">
        <f t="shared" si="257"/>
        <v>11.223100113101419</v>
      </c>
      <c r="L504" s="40">
        <f t="shared" si="241"/>
        <v>0</v>
      </c>
      <c r="M504" s="10">
        <f t="shared" si="258"/>
        <v>6.3949598923908573</v>
      </c>
      <c r="N504" s="10">
        <f t="shared" si="237"/>
        <v>17.20418640980624</v>
      </c>
      <c r="O504" s="10">
        <f t="shared" si="238"/>
        <v>-0.14810000000000001</v>
      </c>
      <c r="P504" s="10">
        <f t="shared" si="259"/>
        <v>13.070420433398073</v>
      </c>
      <c r="Q504" s="45">
        <f t="shared" si="260"/>
        <v>1.1255569324625228</v>
      </c>
      <c r="R504" s="4">
        <f t="shared" si="261"/>
        <v>672683.7949019298</v>
      </c>
      <c r="S504">
        <f t="shared" si="242"/>
        <v>6.7268379490192974E-4</v>
      </c>
      <c r="T504" s="44">
        <f t="shared" si="243"/>
        <v>1.4037125995800741E-3</v>
      </c>
      <c r="U504" s="45">
        <f t="shared" si="262"/>
        <v>1.2007742080896897</v>
      </c>
      <c r="V504" s="45">
        <f t="shared" si="263"/>
        <v>1.5847119765021778</v>
      </c>
      <c r="W504" s="45">
        <f t="shared" si="264"/>
        <v>1.5680489405264686</v>
      </c>
      <c r="X504" s="45">
        <f t="shared" si="265"/>
        <v>1.6663035975709173E-2</v>
      </c>
      <c r="Y504" s="45">
        <f t="shared" si="239"/>
        <v>2.7746736740603455E-2</v>
      </c>
      <c r="Z504" s="10">
        <f t="shared" si="266"/>
        <v>19.766679268180678</v>
      </c>
      <c r="AA504">
        <f t="shared" si="244"/>
        <v>6394507.979661013</v>
      </c>
      <c r="AB504" s="10">
        <f t="shared" si="245"/>
        <v>6.3945079796610127</v>
      </c>
      <c r="AC504" s="10">
        <f t="shared" si="246"/>
        <v>6.2935079796610127</v>
      </c>
      <c r="AD504" s="3">
        <f t="shared" si="247"/>
        <v>912.76402895736226</v>
      </c>
      <c r="AI504" s="100">
        <f t="shared" si="248"/>
        <v>1.5680489405264686</v>
      </c>
    </row>
    <row r="505" spans="2:35">
      <c r="B505" s="39">
        <f t="shared" si="249"/>
        <v>477</v>
      </c>
      <c r="C505" s="45">
        <f t="shared" si="250"/>
        <v>14.012589928056745</v>
      </c>
      <c r="D505" s="10">
        <f t="shared" si="251"/>
        <v>10.487410071943486</v>
      </c>
      <c r="E505" s="40">
        <f t="shared" si="252"/>
        <v>48.025179856113027</v>
      </c>
      <c r="F505" s="40">
        <f t="shared" si="253"/>
        <v>69</v>
      </c>
      <c r="G505" s="3">
        <f t="shared" si="254"/>
        <v>347.89928057554789</v>
      </c>
      <c r="H505" s="3">
        <f t="shared" si="255"/>
        <v>221.47275588995251</v>
      </c>
      <c r="I505">
        <f t="shared" si="240"/>
        <v>2.214727558899525E-4</v>
      </c>
      <c r="J505" s="4">
        <f t="shared" si="256"/>
        <v>2490.0403960289032</v>
      </c>
      <c r="K505" s="40">
        <f t="shared" si="257"/>
        <v>11.243100245098219</v>
      </c>
      <c r="L505" s="40">
        <f t="shared" si="241"/>
        <v>0</v>
      </c>
      <c r="M505" s="10">
        <f t="shared" si="258"/>
        <v>6.3945079796610127</v>
      </c>
      <c r="N505" s="10">
        <f t="shared" si="237"/>
        <v>17.20418640980624</v>
      </c>
      <c r="O505" s="10">
        <f t="shared" si="238"/>
        <v>-0.14810000000000001</v>
      </c>
      <c r="P505" s="10">
        <f t="shared" si="259"/>
        <v>13.070557231157581</v>
      </c>
      <c r="Q505" s="45">
        <f t="shared" si="260"/>
        <v>1.1278044647047543</v>
      </c>
      <c r="R505" s="4">
        <f t="shared" si="261"/>
        <v>670688.6776812172</v>
      </c>
      <c r="S505">
        <f t="shared" si="242"/>
        <v>6.7068867768121725E-4</v>
      </c>
      <c r="T505" s="44">
        <f t="shared" si="243"/>
        <v>1.4057077168007867E-3</v>
      </c>
      <c r="U505" s="45">
        <f t="shared" si="262"/>
        <v>1.197212824094857</v>
      </c>
      <c r="V505" s="45">
        <f t="shared" si="263"/>
        <v>1.5845752634439412</v>
      </c>
      <c r="W505" s="45">
        <f t="shared" si="264"/>
        <v>1.5679363530156871</v>
      </c>
      <c r="X505" s="45">
        <f t="shared" si="265"/>
        <v>1.663891042825405E-2</v>
      </c>
      <c r="Y505" s="45">
        <f t="shared" si="239"/>
        <v>2.7784133228266557E-2</v>
      </c>
      <c r="Z505" s="10">
        <f t="shared" si="266"/>
        <v>19.765227789671481</v>
      </c>
      <c r="AA505">
        <f t="shared" si="244"/>
        <v>6394045.843788011</v>
      </c>
      <c r="AB505" s="10">
        <f t="shared" si="245"/>
        <v>6.3940458437880112</v>
      </c>
      <c r="AC505" s="10">
        <f t="shared" si="246"/>
        <v>6.2930458437880112</v>
      </c>
      <c r="AD505" s="3">
        <f t="shared" si="247"/>
        <v>912.69700417520096</v>
      </c>
      <c r="AI505" s="100">
        <f t="shared" si="248"/>
        <v>1.5679363530156871</v>
      </c>
    </row>
    <row r="506" spans="2:35">
      <c r="B506" s="39">
        <f t="shared" si="249"/>
        <v>478</v>
      </c>
      <c r="C506" s="45">
        <f t="shared" si="250"/>
        <v>14.041966426857702</v>
      </c>
      <c r="D506" s="10">
        <f t="shared" si="251"/>
        <v>10.458033573142529</v>
      </c>
      <c r="E506" s="40">
        <f t="shared" si="252"/>
        <v>48.083932853714941</v>
      </c>
      <c r="F506" s="40">
        <f t="shared" si="253"/>
        <v>69</v>
      </c>
      <c r="G506" s="3">
        <f t="shared" si="254"/>
        <v>347.66426858514023</v>
      </c>
      <c r="H506" s="3">
        <f t="shared" si="255"/>
        <v>221.47275588995251</v>
      </c>
      <c r="I506">
        <f t="shared" si="240"/>
        <v>2.214727558899525E-4</v>
      </c>
      <c r="J506" s="4">
        <f t="shared" si="256"/>
        <v>2494.4753026353715</v>
      </c>
      <c r="K506" s="40">
        <f t="shared" si="257"/>
        <v>11.26312485981278</v>
      </c>
      <c r="L506" s="40">
        <f t="shared" si="241"/>
        <v>0</v>
      </c>
      <c r="M506" s="10">
        <f t="shared" si="258"/>
        <v>6.3940458437880112</v>
      </c>
      <c r="N506" s="10">
        <f t="shared" si="237"/>
        <v>17.20418640980624</v>
      </c>
      <c r="O506" s="10">
        <f t="shared" si="238"/>
        <v>-0.14810000000000001</v>
      </c>
      <c r="P506" s="10">
        <f t="shared" si="259"/>
        <v>13.070697135027476</v>
      </c>
      <c r="Q506" s="45">
        <f t="shared" si="260"/>
        <v>1.1300519728902383</v>
      </c>
      <c r="R506" s="4">
        <f t="shared" si="261"/>
        <v>668693.75730006292</v>
      </c>
      <c r="S506">
        <f t="shared" si="242"/>
        <v>6.6869375730006287E-4</v>
      </c>
      <c r="T506" s="44">
        <f t="shared" si="243"/>
        <v>1.4077026371819409E-3</v>
      </c>
      <c r="U506" s="45">
        <f t="shared" si="262"/>
        <v>1.1936517914684774</v>
      </c>
      <c r="V506" s="45">
        <f t="shared" si="263"/>
        <v>1.5844358874326478</v>
      </c>
      <c r="W506" s="45">
        <f t="shared" si="264"/>
        <v>1.5678212185568681</v>
      </c>
      <c r="X506" s="45">
        <f t="shared" si="265"/>
        <v>1.6614668875779781E-2</v>
      </c>
      <c r="Y506" s="45">
        <f t="shared" si="239"/>
        <v>2.7821474832563978E-2</v>
      </c>
      <c r="Z506" s="10">
        <f t="shared" si="266"/>
        <v>19.763744201161245</v>
      </c>
      <c r="AA506">
        <f t="shared" si="244"/>
        <v>6393573.4844199549</v>
      </c>
      <c r="AB506" s="10">
        <f t="shared" si="245"/>
        <v>6.3935734844199548</v>
      </c>
      <c r="AC506" s="10">
        <f t="shared" si="246"/>
        <v>6.2925734844199548</v>
      </c>
      <c r="AD506" s="3">
        <f t="shared" si="247"/>
        <v>912.62849665264037</v>
      </c>
      <c r="AI506" s="100">
        <f t="shared" si="248"/>
        <v>1.5678212185568681</v>
      </c>
    </row>
    <row r="507" spans="2:35">
      <c r="B507" s="39">
        <f t="shared" si="249"/>
        <v>479</v>
      </c>
      <c r="C507" s="45">
        <f t="shared" si="250"/>
        <v>14.071342925658659</v>
      </c>
      <c r="D507" s="10">
        <f t="shared" si="251"/>
        <v>10.428657074341572</v>
      </c>
      <c r="E507" s="40">
        <f t="shared" si="252"/>
        <v>48.142685851316855</v>
      </c>
      <c r="F507" s="40">
        <f t="shared" si="253"/>
        <v>69</v>
      </c>
      <c r="G507" s="3">
        <f t="shared" si="254"/>
        <v>347.42925659473258</v>
      </c>
      <c r="H507" s="3">
        <f t="shared" si="255"/>
        <v>221.47275588995251</v>
      </c>
      <c r="I507">
        <f t="shared" si="240"/>
        <v>2.214727558899525E-4</v>
      </c>
      <c r="J507" s="4">
        <f t="shared" si="256"/>
        <v>2498.9156314968136</v>
      </c>
      <c r="K507" s="40">
        <f t="shared" si="257"/>
        <v>11.283173957245101</v>
      </c>
      <c r="L507" s="40">
        <f t="shared" si="241"/>
        <v>0</v>
      </c>
      <c r="M507" s="10">
        <f t="shared" si="258"/>
        <v>6.3935734844199548</v>
      </c>
      <c r="N507" s="10">
        <f t="shared" si="237"/>
        <v>17.20418640980624</v>
      </c>
      <c r="O507" s="10">
        <f t="shared" si="238"/>
        <v>-0.14810000000000001</v>
      </c>
      <c r="P507" s="10">
        <f t="shared" si="259"/>
        <v>13.070840145886521</v>
      </c>
      <c r="Q507" s="45">
        <f t="shared" si="260"/>
        <v>1.1322994564852544</v>
      </c>
      <c r="R507" s="4">
        <f t="shared" si="261"/>
        <v>666699.03758135159</v>
      </c>
      <c r="S507">
        <f t="shared" si="242"/>
        <v>6.6669903758135153E-4</v>
      </c>
      <c r="T507" s="44">
        <f t="shared" si="243"/>
        <v>1.4096973569006524E-3</v>
      </c>
      <c r="U507" s="45">
        <f t="shared" si="262"/>
        <v>1.1900911170345918</v>
      </c>
      <c r="V507" s="45">
        <f t="shared" si="263"/>
        <v>1.5842938483651365</v>
      </c>
      <c r="W507" s="45">
        <f t="shared" si="264"/>
        <v>1.5677035370623411</v>
      </c>
      <c r="X507" s="45">
        <f t="shared" si="265"/>
        <v>1.6590311302795424E-2</v>
      </c>
      <c r="Y507" s="45">
        <f t="shared" si="239"/>
        <v>2.7858761285053223E-2</v>
      </c>
      <c r="Z507" s="10">
        <f t="shared" si="266"/>
        <v>19.762228501515558</v>
      </c>
      <c r="AA507">
        <f t="shared" si="244"/>
        <v>6393090.9011956565</v>
      </c>
      <c r="AB507" s="10">
        <f t="shared" si="245"/>
        <v>6.3930909011956567</v>
      </c>
      <c r="AC507" s="10">
        <f t="shared" si="246"/>
        <v>6.2920909011956567</v>
      </c>
      <c r="AD507" s="3">
        <f t="shared" si="247"/>
        <v>912.55850633729608</v>
      </c>
      <c r="AI507" s="100">
        <f t="shared" si="248"/>
        <v>1.5677035370623411</v>
      </c>
    </row>
    <row r="508" spans="2:35">
      <c r="B508" s="39">
        <f t="shared" si="249"/>
        <v>480</v>
      </c>
      <c r="C508" s="45">
        <f t="shared" si="250"/>
        <v>14.100719424459616</v>
      </c>
      <c r="D508" s="10">
        <f t="shared" si="251"/>
        <v>10.399280575540615</v>
      </c>
      <c r="E508" s="40">
        <f t="shared" si="252"/>
        <v>48.20143884891877</v>
      </c>
      <c r="F508" s="40">
        <f t="shared" si="253"/>
        <v>69</v>
      </c>
      <c r="G508" s="3">
        <f t="shared" si="254"/>
        <v>347.19424460432492</v>
      </c>
      <c r="H508" s="3">
        <f t="shared" si="255"/>
        <v>221.47275588995251</v>
      </c>
      <c r="I508">
        <f t="shared" si="240"/>
        <v>2.214727558899525E-4</v>
      </c>
      <c r="J508" s="4">
        <f t="shared" si="256"/>
        <v>2503.3613826132296</v>
      </c>
      <c r="K508" s="40">
        <f t="shared" si="257"/>
        <v>11.30324753739518</v>
      </c>
      <c r="L508" s="40">
        <f t="shared" si="241"/>
        <v>0</v>
      </c>
      <c r="M508" s="10">
        <f t="shared" si="258"/>
        <v>6.3930909011956567</v>
      </c>
      <c r="N508" s="10">
        <f t="shared" si="237"/>
        <v>17.20418640980624</v>
      </c>
      <c r="O508" s="10">
        <f t="shared" si="238"/>
        <v>-0.14810000000000001</v>
      </c>
      <c r="P508" s="10">
        <f t="shared" si="259"/>
        <v>13.070986264633612</v>
      </c>
      <c r="Q508" s="45">
        <f t="shared" si="260"/>
        <v>1.1345469149559624</v>
      </c>
      <c r="R508" s="4">
        <f t="shared" si="261"/>
        <v>664704.5223479683</v>
      </c>
      <c r="S508">
        <f t="shared" si="242"/>
        <v>6.6470452234796828E-4</v>
      </c>
      <c r="T508" s="44">
        <f t="shared" si="243"/>
        <v>1.4116918721340356E-3</v>
      </c>
      <c r="U508" s="45">
        <f t="shared" si="262"/>
        <v>1.1865308076172407</v>
      </c>
      <c r="V508" s="45">
        <f t="shared" si="263"/>
        <v>1.5841491461373163</v>
      </c>
      <c r="W508" s="45">
        <f t="shared" si="264"/>
        <v>1.5675833084421218</v>
      </c>
      <c r="X508" s="45">
        <f t="shared" si="265"/>
        <v>1.6565837695194485E-2</v>
      </c>
      <c r="Y508" s="45">
        <f t="shared" si="239"/>
        <v>2.7895992317305662E-2</v>
      </c>
      <c r="Z508" s="10">
        <f t="shared" si="266"/>
        <v>19.760680689572624</v>
      </c>
      <c r="AA508">
        <f t="shared" si="244"/>
        <v>6392598.0937452139</v>
      </c>
      <c r="AB508" s="10">
        <f t="shared" si="245"/>
        <v>6.3925980937452138</v>
      </c>
      <c r="AC508" s="10">
        <f t="shared" si="246"/>
        <v>6.2915980937452138</v>
      </c>
      <c r="AD508" s="3">
        <f t="shared" si="247"/>
        <v>912.48703317552054</v>
      </c>
      <c r="AI508" s="100">
        <f t="shared" si="248"/>
        <v>1.5675833084421218</v>
      </c>
    </row>
    <row r="509" spans="2:35">
      <c r="B509" s="39">
        <f t="shared" si="249"/>
        <v>481</v>
      </c>
      <c r="C509" s="45">
        <f t="shared" si="250"/>
        <v>14.130095923260573</v>
      </c>
      <c r="D509" s="10">
        <f t="shared" si="251"/>
        <v>10.369904076739658</v>
      </c>
      <c r="E509" s="40">
        <f t="shared" si="252"/>
        <v>48.260191846520684</v>
      </c>
      <c r="F509" s="40">
        <f t="shared" si="253"/>
        <v>69</v>
      </c>
      <c r="G509" s="3">
        <f t="shared" si="254"/>
        <v>346.95923261391727</v>
      </c>
      <c r="H509" s="3">
        <f t="shared" si="255"/>
        <v>221.47275588995251</v>
      </c>
      <c r="I509">
        <f t="shared" si="240"/>
        <v>2.214727558899525E-4</v>
      </c>
      <c r="J509" s="4">
        <f t="shared" si="256"/>
        <v>2507.8125559846194</v>
      </c>
      <c r="K509" s="40">
        <f t="shared" si="257"/>
        <v>11.32334560026302</v>
      </c>
      <c r="L509" s="40">
        <f t="shared" si="241"/>
        <v>0</v>
      </c>
      <c r="M509" s="10">
        <f t="shared" si="258"/>
        <v>6.3925980937452138</v>
      </c>
      <c r="N509" s="10">
        <f t="shared" si="237"/>
        <v>17.20418640980624</v>
      </c>
      <c r="O509" s="10">
        <f t="shared" si="238"/>
        <v>-0.14810000000000001</v>
      </c>
      <c r="P509" s="10">
        <f t="shared" si="259"/>
        <v>13.071135492187638</v>
      </c>
      <c r="Q509" s="45">
        <f t="shared" si="260"/>
        <v>1.1367943477683997</v>
      </c>
      <c r="R509" s="4">
        <f t="shared" si="261"/>
        <v>662710.21542279748</v>
      </c>
      <c r="S509">
        <f t="shared" si="242"/>
        <v>6.627102154227975E-4</v>
      </c>
      <c r="T509" s="44">
        <f t="shared" si="243"/>
        <v>1.4136861790592062E-3</v>
      </c>
      <c r="U509" s="45">
        <f t="shared" si="262"/>
        <v>1.1829708700404646</v>
      </c>
      <c r="V509" s="45">
        <f t="shared" si="263"/>
        <v>1.5840017806429301</v>
      </c>
      <c r="W509" s="45">
        <f t="shared" si="264"/>
        <v>1.5674605326040549</v>
      </c>
      <c r="X509" s="45">
        <f t="shared" si="265"/>
        <v>1.6541248038875134E-2</v>
      </c>
      <c r="Y509" s="45">
        <f t="shared" si="239"/>
        <v>2.7933167660906894E-2</v>
      </c>
      <c r="Z509" s="10">
        <f t="shared" si="266"/>
        <v>19.759100764142811</v>
      </c>
      <c r="AA509">
        <f t="shared" si="244"/>
        <v>6392095.0616898602</v>
      </c>
      <c r="AB509" s="10">
        <f t="shared" si="245"/>
        <v>6.3920950616898597</v>
      </c>
      <c r="AC509" s="10">
        <f t="shared" si="246"/>
        <v>6.2910950616898598</v>
      </c>
      <c r="AD509" s="3">
        <f t="shared" si="247"/>
        <v>912.41407711238003</v>
      </c>
      <c r="AI509" s="100">
        <f t="shared" si="248"/>
        <v>1.5674605326040549</v>
      </c>
    </row>
    <row r="510" spans="2:35">
      <c r="B510" s="39">
        <f t="shared" si="249"/>
        <v>482</v>
      </c>
      <c r="C510" s="45">
        <f t="shared" si="250"/>
        <v>14.15947242206153</v>
      </c>
      <c r="D510" s="10">
        <f t="shared" si="251"/>
        <v>10.340527577938701</v>
      </c>
      <c r="E510" s="40">
        <f t="shared" si="252"/>
        <v>48.318944844122598</v>
      </c>
      <c r="F510" s="40">
        <f t="shared" si="253"/>
        <v>69</v>
      </c>
      <c r="G510" s="3">
        <f t="shared" si="254"/>
        <v>346.72422062350961</v>
      </c>
      <c r="H510" s="3">
        <f t="shared" si="255"/>
        <v>221.47275588995251</v>
      </c>
      <c r="I510">
        <f t="shared" si="240"/>
        <v>2.214727558899525E-4</v>
      </c>
      <c r="J510" s="4">
        <f t="shared" si="256"/>
        <v>2512.2691516109835</v>
      </c>
      <c r="K510" s="40">
        <f t="shared" si="257"/>
        <v>11.34346814584862</v>
      </c>
      <c r="L510" s="40">
        <f t="shared" si="241"/>
        <v>0</v>
      </c>
      <c r="M510" s="10">
        <f t="shared" si="258"/>
        <v>6.3920950616898597</v>
      </c>
      <c r="N510" s="10">
        <f t="shared" si="237"/>
        <v>17.20418640980624</v>
      </c>
      <c r="O510" s="10">
        <f t="shared" si="238"/>
        <v>-0.14810000000000001</v>
      </c>
      <c r="P510" s="10">
        <f t="shared" si="259"/>
        <v>13.07128782948752</v>
      </c>
      <c r="Q510" s="45">
        <f t="shared" si="260"/>
        <v>1.1390417543884794</v>
      </c>
      <c r="R510" s="4">
        <f t="shared" si="261"/>
        <v>660716.12062872422</v>
      </c>
      <c r="S510">
        <f t="shared" si="242"/>
        <v>6.6071612062872423E-4</v>
      </c>
      <c r="T510" s="44">
        <f t="shared" si="243"/>
        <v>1.4156802738532796E-3</v>
      </c>
      <c r="U510" s="45">
        <f t="shared" si="262"/>
        <v>1.179411311128304</v>
      </c>
      <c r="V510" s="45">
        <f t="shared" si="263"/>
        <v>1.5838517517735098</v>
      </c>
      <c r="W510" s="45">
        <f t="shared" si="264"/>
        <v>1.5673352094537749</v>
      </c>
      <c r="X510" s="45">
        <f t="shared" si="265"/>
        <v>1.6516542319734873E-2</v>
      </c>
      <c r="Y510" s="45">
        <f t="shared" si="239"/>
        <v>2.7970287047457094E-2</v>
      </c>
      <c r="Z510" s="10">
        <f t="shared" si="266"/>
        <v>19.757488724008258</v>
      </c>
      <c r="AA510">
        <f t="shared" si="244"/>
        <v>6391581.80464184</v>
      </c>
      <c r="AB510" s="10">
        <f t="shared" si="245"/>
        <v>6.3915818046418398</v>
      </c>
      <c r="AC510" s="10">
        <f t="shared" si="246"/>
        <v>6.2905818046418398</v>
      </c>
      <c r="AD510" s="3">
        <f t="shared" si="247"/>
        <v>912.33963809163743</v>
      </c>
      <c r="AI510" s="100">
        <f t="shared" si="248"/>
        <v>1.5673352094537749</v>
      </c>
    </row>
    <row r="511" spans="2:35">
      <c r="B511" s="39">
        <f t="shared" si="249"/>
        <v>483</v>
      </c>
      <c r="C511" s="45">
        <f t="shared" si="250"/>
        <v>14.188848920862487</v>
      </c>
      <c r="D511" s="10">
        <f t="shared" si="251"/>
        <v>10.311151079137744</v>
      </c>
      <c r="E511" s="40">
        <f t="shared" si="252"/>
        <v>48.377697841724512</v>
      </c>
      <c r="F511" s="40">
        <f t="shared" si="253"/>
        <v>69</v>
      </c>
      <c r="G511" s="3">
        <f t="shared" si="254"/>
        <v>346.48920863310195</v>
      </c>
      <c r="H511" s="3">
        <f t="shared" si="255"/>
        <v>221.47275588995251</v>
      </c>
      <c r="I511">
        <f t="shared" si="240"/>
        <v>2.214727558899525E-4</v>
      </c>
      <c r="J511" s="4">
        <f t="shared" si="256"/>
        <v>2516.7311694923214</v>
      </c>
      <c r="K511" s="40">
        <f t="shared" si="257"/>
        <v>11.363615174151979</v>
      </c>
      <c r="L511" s="40">
        <f t="shared" si="241"/>
        <v>0</v>
      </c>
      <c r="M511" s="10">
        <f t="shared" si="258"/>
        <v>6.3915818046418398</v>
      </c>
      <c r="N511" s="10">
        <f t="shared" si="237"/>
        <v>17.20418640980624</v>
      </c>
      <c r="O511" s="10">
        <f t="shared" si="238"/>
        <v>-0.14810000000000001</v>
      </c>
      <c r="P511" s="10">
        <f t="shared" si="259"/>
        <v>13.071443277492284</v>
      </c>
      <c r="Q511" s="45">
        <f t="shared" si="260"/>
        <v>1.1412891342819869</v>
      </c>
      <c r="R511" s="4">
        <f t="shared" si="261"/>
        <v>658722.24178863317</v>
      </c>
      <c r="S511">
        <f t="shared" si="242"/>
        <v>6.5872224178863321E-4</v>
      </c>
      <c r="T511" s="44">
        <f t="shared" si="243"/>
        <v>1.4176741526933706E-3</v>
      </c>
      <c r="U511" s="45">
        <f t="shared" si="262"/>
        <v>1.1758521377047997</v>
      </c>
      <c r="V511" s="45">
        <f t="shared" si="263"/>
        <v>1.583699059418745</v>
      </c>
      <c r="W511" s="45">
        <f t="shared" si="264"/>
        <v>1.5672073388946794</v>
      </c>
      <c r="X511" s="45">
        <f t="shared" si="265"/>
        <v>1.6491720524065556E-2</v>
      </c>
      <c r="Y511" s="45">
        <f t="shared" si="239"/>
        <v>2.8007350208572222E-2</v>
      </c>
      <c r="Z511" s="10">
        <f t="shared" si="266"/>
        <v>19.755844567923038</v>
      </c>
      <c r="AA511">
        <f t="shared" si="244"/>
        <v>6391058.3222044641</v>
      </c>
      <c r="AB511" s="10">
        <f t="shared" si="245"/>
        <v>6.3910583222044641</v>
      </c>
      <c r="AC511" s="10">
        <f t="shared" si="246"/>
        <v>6.2900583222044641</v>
      </c>
      <c r="AD511" s="3">
        <f t="shared" si="247"/>
        <v>912.2637160557598</v>
      </c>
      <c r="AI511" s="100">
        <f t="shared" si="248"/>
        <v>1.5672073388946794</v>
      </c>
    </row>
    <row r="512" spans="2:35">
      <c r="B512" s="39">
        <f t="shared" si="249"/>
        <v>484</v>
      </c>
      <c r="C512" s="45">
        <f t="shared" si="250"/>
        <v>14.218225419663444</v>
      </c>
      <c r="D512" s="10">
        <f t="shared" si="251"/>
        <v>10.281774580336787</v>
      </c>
      <c r="E512" s="40">
        <f t="shared" si="252"/>
        <v>48.436450839326426</v>
      </c>
      <c r="F512" s="40">
        <f t="shared" si="253"/>
        <v>69</v>
      </c>
      <c r="G512" s="3">
        <f t="shared" si="254"/>
        <v>346.2541966426943</v>
      </c>
      <c r="H512" s="3">
        <f t="shared" si="255"/>
        <v>221.47275588995251</v>
      </c>
      <c r="I512">
        <f t="shared" si="240"/>
        <v>2.214727558899525E-4</v>
      </c>
      <c r="J512" s="4">
        <f t="shared" si="256"/>
        <v>2521.1986096286332</v>
      </c>
      <c r="K512" s="40">
        <f t="shared" si="257"/>
        <v>11.383786685173098</v>
      </c>
      <c r="L512" s="40">
        <f t="shared" si="241"/>
        <v>0</v>
      </c>
      <c r="M512" s="10">
        <f t="shared" si="258"/>
        <v>6.3910583222044641</v>
      </c>
      <c r="N512" s="10">
        <f t="shared" si="237"/>
        <v>17.20418640980624</v>
      </c>
      <c r="O512" s="10">
        <f t="shared" si="238"/>
        <v>-0.14810000000000001</v>
      </c>
      <c r="P512" s="10">
        <f t="shared" si="259"/>
        <v>13.071601837181058</v>
      </c>
      <c r="Q512" s="45">
        <f t="shared" si="260"/>
        <v>1.143536486914577</v>
      </c>
      <c r="R512" s="4">
        <f t="shared" si="261"/>
        <v>656728.5827254093</v>
      </c>
      <c r="S512">
        <f t="shared" si="242"/>
        <v>6.5672858272540935E-4</v>
      </c>
      <c r="T512" s="44">
        <f t="shared" si="243"/>
        <v>1.4196678117565946E-3</v>
      </c>
      <c r="U512" s="45">
        <f t="shared" si="262"/>
        <v>1.1722933565939919</v>
      </c>
      <c r="V512" s="45">
        <f t="shared" si="263"/>
        <v>1.5835437034668578</v>
      </c>
      <c r="W512" s="45">
        <f t="shared" si="264"/>
        <v>1.5670769208279383</v>
      </c>
      <c r="X512" s="45">
        <f t="shared" si="265"/>
        <v>1.6466782638919542E-2</v>
      </c>
      <c r="Y512" s="45">
        <f t="shared" si="239"/>
        <v>2.8044356875886089E-2</v>
      </c>
      <c r="Z512" s="10">
        <f t="shared" si="266"/>
        <v>19.754168294613951</v>
      </c>
      <c r="AA512">
        <f t="shared" si="244"/>
        <v>6390524.6139723575</v>
      </c>
      <c r="AB512" s="10">
        <f t="shared" si="245"/>
        <v>6.3905246139723575</v>
      </c>
      <c r="AC512" s="10">
        <f t="shared" si="246"/>
        <v>6.2895246139723575</v>
      </c>
      <c r="AD512" s="3">
        <f t="shared" si="247"/>
        <v>912.18631094595469</v>
      </c>
      <c r="AI512" s="100">
        <f t="shared" si="248"/>
        <v>1.5670769208279383</v>
      </c>
    </row>
    <row r="513" spans="2:35">
      <c r="B513" s="39">
        <f t="shared" si="249"/>
        <v>485</v>
      </c>
      <c r="C513" s="45">
        <f t="shared" si="250"/>
        <v>14.247601918464401</v>
      </c>
      <c r="D513" s="10">
        <f t="shared" si="251"/>
        <v>10.25239808153583</v>
      </c>
      <c r="E513" s="40">
        <f t="shared" si="252"/>
        <v>48.49520383692834</v>
      </c>
      <c r="F513" s="40">
        <f t="shared" si="253"/>
        <v>69</v>
      </c>
      <c r="G513" s="3">
        <f t="shared" si="254"/>
        <v>346.01918465228664</v>
      </c>
      <c r="H513" s="3">
        <f t="shared" si="255"/>
        <v>221.47275588995251</v>
      </c>
      <c r="I513">
        <f t="shared" si="240"/>
        <v>2.214727558899525E-4</v>
      </c>
      <c r="J513" s="4">
        <f t="shared" si="256"/>
        <v>2525.6714720199188</v>
      </c>
      <c r="K513" s="40">
        <f t="shared" si="257"/>
        <v>11.403982678911976</v>
      </c>
      <c r="L513" s="40">
        <f t="shared" si="241"/>
        <v>0</v>
      </c>
      <c r="M513" s="10">
        <f t="shared" si="258"/>
        <v>6.3905246139723575</v>
      </c>
      <c r="N513" s="10">
        <f t="shared" si="237"/>
        <v>17.20418640980624</v>
      </c>
      <c r="O513" s="10">
        <f t="shared" si="238"/>
        <v>-0.14810000000000001</v>
      </c>
      <c r="P513" s="10">
        <f t="shared" si="259"/>
        <v>13.071763509553008</v>
      </c>
      <c r="Q513" s="45">
        <f t="shared" si="260"/>
        <v>1.145783811751772</v>
      </c>
      <c r="R513" s="4">
        <f t="shared" si="261"/>
        <v>654735.14726193727</v>
      </c>
      <c r="S513">
        <f t="shared" si="242"/>
        <v>6.5473514726193728E-4</v>
      </c>
      <c r="T513" s="44">
        <f t="shared" si="243"/>
        <v>1.4216612472200665E-3</v>
      </c>
      <c r="U513" s="45">
        <f t="shared" si="262"/>
        <v>1.1687349746199212</v>
      </c>
      <c r="V513" s="45">
        <f t="shared" si="263"/>
        <v>1.5833856838035556</v>
      </c>
      <c r="W513" s="45">
        <f t="shared" si="264"/>
        <v>1.5669439551525584</v>
      </c>
      <c r="X513" s="45">
        <f t="shared" si="265"/>
        <v>1.6441728650997245E-2</v>
      </c>
      <c r="Y513" s="45">
        <f t="shared" si="239"/>
        <v>2.8081306781049895E-2</v>
      </c>
      <c r="Z513" s="10">
        <f t="shared" si="266"/>
        <v>19.752459902779528</v>
      </c>
      <c r="AA513">
        <f t="shared" si="244"/>
        <v>6389980.6795311468</v>
      </c>
      <c r="AB513" s="10">
        <f t="shared" si="245"/>
        <v>6.3899806795311465</v>
      </c>
      <c r="AC513" s="10">
        <f t="shared" si="246"/>
        <v>6.2889806795311465</v>
      </c>
      <c r="AD513" s="3">
        <f t="shared" si="247"/>
        <v>912.10742270212427</v>
      </c>
      <c r="AI513" s="100">
        <f t="shared" si="248"/>
        <v>1.5669439551525584</v>
      </c>
    </row>
    <row r="514" spans="2:35">
      <c r="B514" s="39">
        <f t="shared" si="249"/>
        <v>486</v>
      </c>
      <c r="C514" s="45">
        <f t="shared" si="250"/>
        <v>14.276978417265358</v>
      </c>
      <c r="D514" s="10">
        <f t="shared" si="251"/>
        <v>10.223021582734873</v>
      </c>
      <c r="E514" s="40">
        <f t="shared" si="252"/>
        <v>48.553956834530254</v>
      </c>
      <c r="F514" s="40">
        <f t="shared" si="253"/>
        <v>69</v>
      </c>
      <c r="G514" s="3">
        <f t="shared" si="254"/>
        <v>345.78417266187898</v>
      </c>
      <c r="H514" s="3">
        <f t="shared" si="255"/>
        <v>221.47275588995251</v>
      </c>
      <c r="I514">
        <f t="shared" si="240"/>
        <v>2.214727558899525E-4</v>
      </c>
      <c r="J514" s="4">
        <f t="shared" si="256"/>
        <v>2530.1497566661783</v>
      </c>
      <c r="K514" s="40">
        <f t="shared" si="257"/>
        <v>11.424203155368614</v>
      </c>
      <c r="L514" s="40">
        <f t="shared" si="241"/>
        <v>0</v>
      </c>
      <c r="M514" s="10">
        <f t="shared" si="258"/>
        <v>6.3899806795311465</v>
      </c>
      <c r="N514" s="10">
        <f t="shared" si="237"/>
        <v>17.20418640980624</v>
      </c>
      <c r="O514" s="10">
        <f t="shared" si="238"/>
        <v>-0.14810000000000001</v>
      </c>
      <c r="P514" s="10">
        <f t="shared" si="259"/>
        <v>13.071928295627465</v>
      </c>
      <c r="Q514" s="45">
        <f t="shared" si="260"/>
        <v>1.1480311082589587</v>
      </c>
      <c r="R514" s="4">
        <f t="shared" si="261"/>
        <v>652741.93922110193</v>
      </c>
      <c r="S514">
        <f t="shared" si="242"/>
        <v>6.5274193922110191E-4</v>
      </c>
      <c r="T514" s="44">
        <f t="shared" si="243"/>
        <v>1.4236544552609018E-3</v>
      </c>
      <c r="U514" s="45">
        <f t="shared" si="262"/>
        <v>1.165176998606628</v>
      </c>
      <c r="V514" s="45">
        <f t="shared" si="263"/>
        <v>1.583225000312579</v>
      </c>
      <c r="W514" s="45">
        <f t="shared" si="264"/>
        <v>1.566808441765305</v>
      </c>
      <c r="X514" s="45">
        <f t="shared" si="265"/>
        <v>1.6416558547273974E-2</v>
      </c>
      <c r="Y514" s="45">
        <f t="shared" si="239"/>
        <v>2.8118199655733211E-2</v>
      </c>
      <c r="Z514" s="10">
        <f t="shared" si="266"/>
        <v>19.750719391090033</v>
      </c>
      <c r="AA514">
        <f t="shared" si="244"/>
        <v>6389426.5184574574</v>
      </c>
      <c r="AB514" s="10">
        <f t="shared" si="245"/>
        <v>6.3894265184574577</v>
      </c>
      <c r="AC514" s="10">
        <f t="shared" si="246"/>
        <v>6.2884265184574577</v>
      </c>
      <c r="AD514" s="3">
        <f t="shared" si="247"/>
        <v>912.02705126286548</v>
      </c>
      <c r="AI514" s="100">
        <f t="shared" si="248"/>
        <v>1.566808441765305</v>
      </c>
    </row>
    <row r="515" spans="2:35">
      <c r="B515" s="39">
        <f t="shared" si="249"/>
        <v>487</v>
      </c>
      <c r="C515" s="45">
        <f t="shared" si="250"/>
        <v>14.306354916066315</v>
      </c>
      <c r="D515" s="10">
        <f t="shared" si="251"/>
        <v>10.193645083933916</v>
      </c>
      <c r="E515" s="40">
        <f t="shared" si="252"/>
        <v>48.612709832132168</v>
      </c>
      <c r="F515" s="40">
        <f t="shared" si="253"/>
        <v>69</v>
      </c>
      <c r="G515" s="3">
        <f t="shared" si="254"/>
        <v>345.54916067147133</v>
      </c>
      <c r="H515" s="3">
        <f t="shared" si="255"/>
        <v>221.47275588995251</v>
      </c>
      <c r="I515">
        <f t="shared" si="240"/>
        <v>2.214727558899525E-4</v>
      </c>
      <c r="J515" s="4">
        <f t="shared" si="256"/>
        <v>2534.6334635674116</v>
      </c>
      <c r="K515" s="40">
        <f t="shared" si="257"/>
        <v>11.444448114543011</v>
      </c>
      <c r="L515" s="40">
        <f t="shared" si="241"/>
        <v>0</v>
      </c>
      <c r="M515" s="10">
        <f t="shared" si="258"/>
        <v>6.3894265184574577</v>
      </c>
      <c r="N515" s="10">
        <f t="shared" si="237"/>
        <v>17.20418640980624</v>
      </c>
      <c r="O515" s="10">
        <f t="shared" si="238"/>
        <v>-0.14810000000000001</v>
      </c>
      <c r="P515" s="10">
        <f t="shared" si="259"/>
        <v>13.072096196443932</v>
      </c>
      <c r="Q515" s="45">
        <f t="shared" si="260"/>
        <v>1.1502783759013855</v>
      </c>
      <c r="R515" s="4">
        <f t="shared" si="261"/>
        <v>650748.96242578805</v>
      </c>
      <c r="S515">
        <f t="shared" si="242"/>
        <v>6.5074896242578808E-4</v>
      </c>
      <c r="T515" s="44">
        <f t="shared" si="243"/>
        <v>1.4256474320562158E-3</v>
      </c>
      <c r="U515" s="45">
        <f t="shared" si="262"/>
        <v>1.1616194353781528</v>
      </c>
      <c r="V515" s="45">
        <f t="shared" si="263"/>
        <v>1.5830616528761519</v>
      </c>
      <c r="W515" s="45">
        <f t="shared" si="264"/>
        <v>1.5666703805606998</v>
      </c>
      <c r="X515" s="45">
        <f t="shared" si="265"/>
        <v>1.639127231545201E-2</v>
      </c>
      <c r="Y515" s="45">
        <f t="shared" si="239"/>
        <v>2.8155035231625932E-2</v>
      </c>
      <c r="Z515" s="10">
        <f t="shared" si="266"/>
        <v>19.748946758188197</v>
      </c>
      <c r="AA515">
        <f t="shared" si="244"/>
        <v>6388862.1303191483</v>
      </c>
      <c r="AB515" s="10">
        <f t="shared" si="245"/>
        <v>6.388862130319148</v>
      </c>
      <c r="AC515" s="10">
        <f t="shared" si="246"/>
        <v>6.287862130319148</v>
      </c>
      <c r="AD515" s="3">
        <f t="shared" si="247"/>
        <v>911.94519656550369</v>
      </c>
      <c r="AI515" s="100">
        <f t="shared" si="248"/>
        <v>1.5666703805606998</v>
      </c>
    </row>
    <row r="516" spans="2:35">
      <c r="B516" s="39">
        <f t="shared" si="249"/>
        <v>488</v>
      </c>
      <c r="C516" s="45">
        <f t="shared" si="250"/>
        <v>14.335731414867272</v>
      </c>
      <c r="D516" s="10">
        <f t="shared" si="251"/>
        <v>10.164268585132959</v>
      </c>
      <c r="E516" s="40">
        <f t="shared" si="252"/>
        <v>48.671462829734082</v>
      </c>
      <c r="F516" s="40">
        <f t="shared" si="253"/>
        <v>69</v>
      </c>
      <c r="G516" s="3">
        <f t="shared" si="254"/>
        <v>345.31414868106367</v>
      </c>
      <c r="H516" s="3">
        <f t="shared" si="255"/>
        <v>221.47275588995251</v>
      </c>
      <c r="I516">
        <f t="shared" si="240"/>
        <v>2.214727558899525E-4</v>
      </c>
      <c r="J516" s="4">
        <f t="shared" si="256"/>
        <v>2539.1225927236192</v>
      </c>
      <c r="K516" s="40">
        <f t="shared" si="257"/>
        <v>11.46471755643517</v>
      </c>
      <c r="L516" s="40">
        <f t="shared" si="241"/>
        <v>0</v>
      </c>
      <c r="M516" s="10">
        <f t="shared" si="258"/>
        <v>6.388862130319148</v>
      </c>
      <c r="N516" s="10">
        <f t="shared" si="237"/>
        <v>17.20418640980624</v>
      </c>
      <c r="O516" s="10">
        <f t="shared" si="238"/>
        <v>-0.14810000000000001</v>
      </c>
      <c r="P516" s="10">
        <f t="shared" si="259"/>
        <v>13.072267213062034</v>
      </c>
      <c r="Q516" s="45">
        <f t="shared" si="260"/>
        <v>1.1525256141441598</v>
      </c>
      <c r="R516" s="4">
        <f t="shared" si="261"/>
        <v>648756.22069888038</v>
      </c>
      <c r="S516">
        <f t="shared" si="242"/>
        <v>6.487562206988804E-4</v>
      </c>
      <c r="T516" s="44">
        <f t="shared" si="243"/>
        <v>1.4276401737831233E-3</v>
      </c>
      <c r="U516" s="45">
        <f t="shared" si="262"/>
        <v>1.1580622917585364</v>
      </c>
      <c r="V516" s="45">
        <f t="shared" si="263"/>
        <v>1.5828956413740316</v>
      </c>
      <c r="W516" s="45">
        <f t="shared" si="264"/>
        <v>1.5665297714310815</v>
      </c>
      <c r="X516" s="45">
        <f t="shared" si="265"/>
        <v>1.6365869942950084E-2</v>
      </c>
      <c r="Y516" s="45">
        <f t="shared" si="239"/>
        <v>2.8191813240437999E-2</v>
      </c>
      <c r="Z516" s="10">
        <f t="shared" si="266"/>
        <v>19.747142002688342</v>
      </c>
      <c r="AA516">
        <f t="shared" si="244"/>
        <v>6388287.5146750351</v>
      </c>
      <c r="AB516" s="10">
        <f t="shared" si="245"/>
        <v>6.3882875146750351</v>
      </c>
      <c r="AC516" s="10">
        <f t="shared" si="246"/>
        <v>6.2872875146750351</v>
      </c>
      <c r="AD516" s="3">
        <f t="shared" si="247"/>
        <v>911.86185854605299</v>
      </c>
      <c r="AI516" s="100">
        <f t="shared" si="248"/>
        <v>1.5665297714310815</v>
      </c>
    </row>
    <row r="517" spans="2:35">
      <c r="B517" s="39">
        <f t="shared" si="249"/>
        <v>489</v>
      </c>
      <c r="C517" s="45">
        <f t="shared" si="250"/>
        <v>14.365107913668229</v>
      </c>
      <c r="D517" s="10">
        <f t="shared" si="251"/>
        <v>10.134892086332002</v>
      </c>
      <c r="E517" s="40">
        <f t="shared" si="252"/>
        <v>48.730215827335996</v>
      </c>
      <c r="F517" s="40">
        <f t="shared" si="253"/>
        <v>69</v>
      </c>
      <c r="G517" s="3">
        <f t="shared" si="254"/>
        <v>345.07913669065601</v>
      </c>
      <c r="H517" s="3">
        <f t="shared" si="255"/>
        <v>221.47275588995251</v>
      </c>
      <c r="I517">
        <f t="shared" si="240"/>
        <v>2.214727558899525E-4</v>
      </c>
      <c r="J517" s="4">
        <f t="shared" si="256"/>
        <v>2543.6171441348006</v>
      </c>
      <c r="K517" s="40">
        <f t="shared" si="257"/>
        <v>11.485011481045088</v>
      </c>
      <c r="L517" s="40">
        <f t="shared" si="241"/>
        <v>0</v>
      </c>
      <c r="M517" s="10">
        <f t="shared" si="258"/>
        <v>6.3882875146750351</v>
      </c>
      <c r="N517" s="10">
        <f t="shared" si="237"/>
        <v>17.20418640980624</v>
      </c>
      <c r="O517" s="10">
        <f t="shared" si="238"/>
        <v>-0.14810000000000001</v>
      </c>
      <c r="P517" s="10">
        <f t="shared" si="259"/>
        <v>13.072441346561632</v>
      </c>
      <c r="Q517" s="45">
        <f t="shared" si="260"/>
        <v>1.1547728224522456</v>
      </c>
      <c r="R517" s="4">
        <f t="shared" si="261"/>
        <v>646763.7178632638</v>
      </c>
      <c r="S517">
        <f t="shared" si="242"/>
        <v>6.467637178632638E-4</v>
      </c>
      <c r="T517" s="44">
        <f t="shared" si="243"/>
        <v>1.4296326766187399E-3</v>
      </c>
      <c r="U517" s="45">
        <f t="shared" si="262"/>
        <v>1.1545055745718191</v>
      </c>
      <c r="V517" s="45">
        <f t="shared" si="263"/>
        <v>1.5827269656843375</v>
      </c>
      <c r="W517" s="45">
        <f t="shared" si="264"/>
        <v>1.5663866142665352</v>
      </c>
      <c r="X517" s="45">
        <f t="shared" si="265"/>
        <v>1.6340351417802212E-2</v>
      </c>
      <c r="Y517" s="45">
        <f t="shared" si="239"/>
        <v>2.8228533413901125E-2</v>
      </c>
      <c r="Z517" s="10">
        <f t="shared" si="266"/>
        <v>19.745305123176912</v>
      </c>
      <c r="AA517">
        <f t="shared" si="244"/>
        <v>6387702.6710750544</v>
      </c>
      <c r="AB517" s="10">
        <f t="shared" si="245"/>
        <v>6.3877026710750542</v>
      </c>
      <c r="AC517" s="10">
        <f t="shared" si="246"/>
        <v>6.2867026710750542</v>
      </c>
      <c r="AD517" s="3">
        <f t="shared" si="247"/>
        <v>911.77703713923927</v>
      </c>
      <c r="AI517" s="100">
        <f t="shared" si="248"/>
        <v>1.5663866142665352</v>
      </c>
    </row>
    <row r="518" spans="2:35">
      <c r="B518" s="39">
        <f t="shared" si="249"/>
        <v>490</v>
      </c>
      <c r="C518" s="45">
        <f t="shared" si="250"/>
        <v>14.394484412469186</v>
      </c>
      <c r="D518" s="10">
        <f t="shared" si="251"/>
        <v>10.105515587531045</v>
      </c>
      <c r="E518" s="40">
        <f t="shared" si="252"/>
        <v>48.788968824937911</v>
      </c>
      <c r="F518" s="40">
        <f t="shared" si="253"/>
        <v>69</v>
      </c>
      <c r="G518" s="3">
        <f t="shared" si="254"/>
        <v>344.84412470024836</v>
      </c>
      <c r="H518" s="3">
        <f t="shared" si="255"/>
        <v>221.47275588995251</v>
      </c>
      <c r="I518">
        <f t="shared" si="240"/>
        <v>2.214727558899525E-4</v>
      </c>
      <c r="J518" s="4">
        <f t="shared" si="256"/>
        <v>2548.1171178009554</v>
      </c>
      <c r="K518" s="40">
        <f t="shared" si="257"/>
        <v>11.505329888372762</v>
      </c>
      <c r="L518" s="40">
        <f t="shared" si="241"/>
        <v>0</v>
      </c>
      <c r="M518" s="10">
        <f t="shared" si="258"/>
        <v>6.3877026710750542</v>
      </c>
      <c r="N518" s="10">
        <f t="shared" si="237"/>
        <v>17.20418640980624</v>
      </c>
      <c r="O518" s="10">
        <f t="shared" si="238"/>
        <v>-0.14810000000000001</v>
      </c>
      <c r="P518" s="10">
        <f t="shared" si="259"/>
        <v>13.072618598042789</v>
      </c>
      <c r="Q518" s="45">
        <f t="shared" si="260"/>
        <v>1.1570200002904605</v>
      </c>
      <c r="R518" s="4">
        <f t="shared" si="261"/>
        <v>644771.45774182328</v>
      </c>
      <c r="S518">
        <f t="shared" si="242"/>
        <v>6.4477145774182332E-4</v>
      </c>
      <c r="T518" s="44">
        <f t="shared" si="243"/>
        <v>1.4316249367401805E-3</v>
      </c>
      <c r="U518" s="45">
        <f t="shared" si="262"/>
        <v>1.1509492906420418</v>
      </c>
      <c r="V518" s="45">
        <f t="shared" si="263"/>
        <v>1.5825556256830704</v>
      </c>
      <c r="W518" s="45">
        <f t="shared" si="264"/>
        <v>1.5662409089549347</v>
      </c>
      <c r="X518" s="45">
        <f t="shared" si="265"/>
        <v>1.631471672813567E-2</v>
      </c>
      <c r="Y518" s="45">
        <f t="shared" si="239"/>
        <v>2.8265195483769347E-2</v>
      </c>
      <c r="Z518" s="10">
        <f t="shared" si="266"/>
        <v>19.743436118212209</v>
      </c>
      <c r="AA518">
        <f t="shared" si="244"/>
        <v>6387107.5990601853</v>
      </c>
      <c r="AB518" s="10">
        <f t="shared" si="245"/>
        <v>6.3871075990601849</v>
      </c>
      <c r="AC518" s="10">
        <f t="shared" si="246"/>
        <v>6.2861075990601849</v>
      </c>
      <c r="AD518" s="3">
        <f t="shared" si="247"/>
        <v>911.69073227848958</v>
      </c>
      <c r="AI518" s="100">
        <f t="shared" si="248"/>
        <v>1.5662409089549347</v>
      </c>
    </row>
    <row r="519" spans="2:35">
      <c r="B519" s="39">
        <f t="shared" si="249"/>
        <v>491</v>
      </c>
      <c r="C519" s="45">
        <f t="shared" si="250"/>
        <v>14.423860911270143</v>
      </c>
      <c r="D519" s="10">
        <f t="shared" si="251"/>
        <v>10.076139088730088</v>
      </c>
      <c r="E519" s="40">
        <f t="shared" si="252"/>
        <v>48.847721822539825</v>
      </c>
      <c r="F519" s="40">
        <f t="shared" si="253"/>
        <v>69</v>
      </c>
      <c r="G519" s="3">
        <f t="shared" si="254"/>
        <v>344.6091127098407</v>
      </c>
      <c r="H519" s="3">
        <f t="shared" si="255"/>
        <v>221.47275588995251</v>
      </c>
      <c r="I519">
        <f t="shared" si="240"/>
        <v>2.214727558899525E-4</v>
      </c>
      <c r="J519" s="4">
        <f t="shared" si="256"/>
        <v>2552.6225137220849</v>
      </c>
      <c r="K519" s="40">
        <f t="shared" si="257"/>
        <v>11.525672778418201</v>
      </c>
      <c r="L519" s="40">
        <f t="shared" si="241"/>
        <v>0</v>
      </c>
      <c r="M519" s="10">
        <f t="shared" si="258"/>
        <v>6.3871075990601849</v>
      </c>
      <c r="N519" s="10">
        <f t="shared" si="237"/>
        <v>17.20418640980624</v>
      </c>
      <c r="O519" s="10">
        <f t="shared" si="238"/>
        <v>-0.14810000000000001</v>
      </c>
      <c r="P519" s="10">
        <f t="shared" si="259"/>
        <v>13.072798968625801</v>
      </c>
      <c r="Q519" s="45">
        <f t="shared" si="260"/>
        <v>1.159267147123473</v>
      </c>
      <c r="R519" s="4">
        <f t="shared" si="261"/>
        <v>642779.44415744313</v>
      </c>
      <c r="S519">
        <f t="shared" si="242"/>
        <v>6.4277944415744314E-4</v>
      </c>
      <c r="T519" s="44">
        <f t="shared" si="243"/>
        <v>1.4336169503245608E-3</v>
      </c>
      <c r="U519" s="45">
        <f t="shared" si="262"/>
        <v>1.1473934467932438</v>
      </c>
      <c r="V519" s="45">
        <f t="shared" si="263"/>
        <v>1.5823816212449984</v>
      </c>
      <c r="W519" s="45">
        <f t="shared" si="264"/>
        <v>1.566092655381921</v>
      </c>
      <c r="X519" s="45">
        <f t="shared" si="265"/>
        <v>1.6288965863077376E-2</v>
      </c>
      <c r="Y519" s="45">
        <f t="shared" si="239"/>
        <v>2.8301799181821612E-2</v>
      </c>
      <c r="Z519" s="10">
        <f t="shared" si="266"/>
        <v>19.741534986325522</v>
      </c>
      <c r="AA519">
        <f t="shared" si="244"/>
        <v>6386502.2981628058</v>
      </c>
      <c r="AB519" s="10">
        <f t="shared" si="245"/>
        <v>6.3865022981628057</v>
      </c>
      <c r="AC519" s="10">
        <f t="shared" si="246"/>
        <v>6.2855022981628057</v>
      </c>
      <c r="AD519" s="3">
        <f t="shared" si="247"/>
        <v>911.60294389598346</v>
      </c>
      <c r="AI519" s="100">
        <f t="shared" si="248"/>
        <v>1.566092655381921</v>
      </c>
    </row>
    <row r="520" spans="2:35">
      <c r="B520" s="39">
        <f t="shared" si="249"/>
        <v>492</v>
      </c>
      <c r="C520" s="45">
        <f t="shared" si="250"/>
        <v>14.4532374100711</v>
      </c>
      <c r="D520" s="10">
        <f t="shared" si="251"/>
        <v>10.046762589929131</v>
      </c>
      <c r="E520" s="40">
        <f t="shared" si="252"/>
        <v>48.906474820141739</v>
      </c>
      <c r="F520" s="40">
        <f t="shared" si="253"/>
        <v>69</v>
      </c>
      <c r="G520" s="3">
        <f t="shared" si="254"/>
        <v>344.37410071943305</v>
      </c>
      <c r="H520" s="3">
        <f t="shared" si="255"/>
        <v>221.47275588995251</v>
      </c>
      <c r="I520">
        <f t="shared" si="240"/>
        <v>2.214727558899525E-4</v>
      </c>
      <c r="J520" s="4">
        <f t="shared" si="256"/>
        <v>2557.1333318981879</v>
      </c>
      <c r="K520" s="40">
        <f t="shared" si="257"/>
        <v>11.546040151181396</v>
      </c>
      <c r="L520" s="40">
        <f t="shared" si="241"/>
        <v>0</v>
      </c>
      <c r="M520" s="10">
        <f t="shared" si="258"/>
        <v>6.3865022981628057</v>
      </c>
      <c r="N520" s="10">
        <f t="shared" si="237"/>
        <v>17.20418640980624</v>
      </c>
      <c r="O520" s="10">
        <f t="shared" si="238"/>
        <v>-0.14810000000000001</v>
      </c>
      <c r="P520" s="10">
        <f t="shared" si="259"/>
        <v>13.072982459451129</v>
      </c>
      <c r="Q520" s="45">
        <f t="shared" si="260"/>
        <v>1.1615142624158001</v>
      </c>
      <c r="R520" s="4">
        <f t="shared" si="261"/>
        <v>640787.68093300867</v>
      </c>
      <c r="S520">
        <f t="shared" si="242"/>
        <v>6.4078768093300863E-4</v>
      </c>
      <c r="T520" s="44">
        <f t="shared" si="243"/>
        <v>1.4356087135489952E-3</v>
      </c>
      <c r="U520" s="45">
        <f t="shared" si="262"/>
        <v>1.1438380498494671</v>
      </c>
      <c r="V520" s="45">
        <f t="shared" si="263"/>
        <v>1.5822049522411097</v>
      </c>
      <c r="W520" s="45">
        <f t="shared" si="264"/>
        <v>1.565941853430993</v>
      </c>
      <c r="X520" s="45">
        <f t="shared" si="265"/>
        <v>1.6263098810116672E-2</v>
      </c>
      <c r="Y520" s="45">
        <f t="shared" si="239"/>
        <v>2.8338344239858454E-2</v>
      </c>
      <c r="Z520" s="10">
        <f t="shared" si="266"/>
        <v>19.739601726018158</v>
      </c>
      <c r="AA520">
        <f t="shared" si="244"/>
        <v>6385886.7679057466</v>
      </c>
      <c r="AB520" s="10">
        <f t="shared" si="245"/>
        <v>6.3858867679057463</v>
      </c>
      <c r="AC520" s="10">
        <f t="shared" si="246"/>
        <v>6.2848867679057463</v>
      </c>
      <c r="AD520" s="3">
        <f t="shared" si="247"/>
        <v>911.51367192251587</v>
      </c>
      <c r="AI520" s="100">
        <f t="shared" si="248"/>
        <v>1.565941853430993</v>
      </c>
    </row>
    <row r="521" spans="2:35">
      <c r="B521" s="39">
        <f t="shared" si="249"/>
        <v>493</v>
      </c>
      <c r="C521" s="45">
        <f t="shared" si="250"/>
        <v>14.482613908872057</v>
      </c>
      <c r="D521" s="10">
        <f t="shared" si="251"/>
        <v>10.017386091128174</v>
      </c>
      <c r="E521" s="40">
        <f t="shared" si="252"/>
        <v>48.965227817743653</v>
      </c>
      <c r="F521" s="40">
        <f t="shared" si="253"/>
        <v>69</v>
      </c>
      <c r="G521" s="3">
        <f t="shared" si="254"/>
        <v>344.13908872902539</v>
      </c>
      <c r="H521" s="3">
        <f t="shared" si="255"/>
        <v>221.47275588995251</v>
      </c>
      <c r="I521">
        <f t="shared" si="240"/>
        <v>2.214727558899525E-4</v>
      </c>
      <c r="J521" s="4">
        <f t="shared" si="256"/>
        <v>2561.6495723292646</v>
      </c>
      <c r="K521" s="40">
        <f t="shared" si="257"/>
        <v>11.566432006662351</v>
      </c>
      <c r="L521" s="40">
        <f t="shared" si="241"/>
        <v>0</v>
      </c>
      <c r="M521" s="10">
        <f t="shared" si="258"/>
        <v>6.3858867679057463</v>
      </c>
      <c r="N521" s="10">
        <f t="shared" si="237"/>
        <v>17.20418640980624</v>
      </c>
      <c r="O521" s="10">
        <f t="shared" si="238"/>
        <v>-0.14810000000000001</v>
      </c>
      <c r="P521" s="10">
        <f t="shared" si="259"/>
        <v>13.073169071679697</v>
      </c>
      <c r="Q521" s="45">
        <f t="shared" si="260"/>
        <v>1.1637613456318043</v>
      </c>
      <c r="R521" s="4">
        <f t="shared" si="261"/>
        <v>638796.17189140455</v>
      </c>
      <c r="S521">
        <f t="shared" si="242"/>
        <v>6.387961718914045E-4</v>
      </c>
      <c r="T521" s="44">
        <f t="shared" si="243"/>
        <v>1.4376002225905994E-3</v>
      </c>
      <c r="U521" s="45">
        <f t="shared" si="262"/>
        <v>1.1402831066347516</v>
      </c>
      <c r="V521" s="45">
        <f t="shared" si="263"/>
        <v>1.5820256185424952</v>
      </c>
      <c r="W521" s="45">
        <f t="shared" si="264"/>
        <v>1.5657885029832708</v>
      </c>
      <c r="X521" s="45">
        <f t="shared" si="265"/>
        <v>1.6237115559224469E-2</v>
      </c>
      <c r="Y521" s="45">
        <f t="shared" si="239"/>
        <v>2.8374830389707908E-2</v>
      </c>
      <c r="Z521" s="10">
        <f t="shared" si="266"/>
        <v>19.73763633576489</v>
      </c>
      <c r="AA521">
        <f t="shared" si="244"/>
        <v>6385261.0078033907</v>
      </c>
      <c r="AB521" s="10">
        <f t="shared" si="245"/>
        <v>6.3852610078033907</v>
      </c>
      <c r="AC521" s="10">
        <f t="shared" si="246"/>
        <v>6.2842610078033907</v>
      </c>
      <c r="AD521" s="3">
        <f t="shared" si="247"/>
        <v>911.42291628765634</v>
      </c>
      <c r="AI521" s="100">
        <f t="shared" si="248"/>
        <v>1.5657885029832708</v>
      </c>
    </row>
    <row r="522" spans="2:35">
      <c r="B522" s="39">
        <f t="shared" si="249"/>
        <v>494</v>
      </c>
      <c r="C522" s="45">
        <f t="shared" si="250"/>
        <v>14.511990407673014</v>
      </c>
      <c r="D522" s="10">
        <f t="shared" si="251"/>
        <v>9.9880095923272165</v>
      </c>
      <c r="E522" s="40">
        <f t="shared" si="252"/>
        <v>49.023980815345567</v>
      </c>
      <c r="F522" s="40">
        <f t="shared" si="253"/>
        <v>69</v>
      </c>
      <c r="G522" s="3">
        <f t="shared" si="254"/>
        <v>343.90407673861773</v>
      </c>
      <c r="H522" s="3">
        <f t="shared" si="255"/>
        <v>221.47275588995251</v>
      </c>
      <c r="I522">
        <f t="shared" si="240"/>
        <v>2.214727558899525E-4</v>
      </c>
      <c r="J522" s="4">
        <f t="shared" si="256"/>
        <v>2566.1712350153152</v>
      </c>
      <c r="K522" s="40">
        <f t="shared" si="257"/>
        <v>11.586848344861066</v>
      </c>
      <c r="L522" s="40">
        <f t="shared" si="241"/>
        <v>0</v>
      </c>
      <c r="M522" s="10">
        <f t="shared" si="258"/>
        <v>6.3852610078033907</v>
      </c>
      <c r="N522" s="10">
        <f t="shared" si="237"/>
        <v>17.20418640980624</v>
      </c>
      <c r="O522" s="10">
        <f t="shared" si="238"/>
        <v>-0.14810000000000001</v>
      </c>
      <c r="P522" s="10">
        <f t="shared" si="259"/>
        <v>13.073358806492582</v>
      </c>
      <c r="Q522" s="45">
        <f t="shared" si="260"/>
        <v>1.1660083962356911</v>
      </c>
      <c r="R522" s="4">
        <f t="shared" si="261"/>
        <v>636804.92085551552</v>
      </c>
      <c r="S522">
        <f t="shared" si="242"/>
        <v>6.3680492085551547E-4</v>
      </c>
      <c r="T522" s="44">
        <f t="shared" si="243"/>
        <v>1.4395914736264883E-3</v>
      </c>
      <c r="U522" s="45">
        <f t="shared" si="262"/>
        <v>1.136728623973138</v>
      </c>
      <c r="V522" s="45">
        <f t="shared" si="263"/>
        <v>1.5818436200170114</v>
      </c>
      <c r="W522" s="45">
        <f t="shared" si="264"/>
        <v>1.5656326039177699</v>
      </c>
      <c r="X522" s="45">
        <f t="shared" si="265"/>
        <v>1.6211016099241471E-2</v>
      </c>
      <c r="Y522" s="45">
        <f t="shared" si="239"/>
        <v>2.8411257363223325E-2</v>
      </c>
      <c r="Z522" s="10">
        <f t="shared" si="266"/>
        <v>19.735638814011772</v>
      </c>
      <c r="AA522">
        <f t="shared" si="244"/>
        <v>6384625.0173609778</v>
      </c>
      <c r="AB522" s="10">
        <f t="shared" si="245"/>
        <v>6.3846250173609782</v>
      </c>
      <c r="AC522" s="10">
        <f t="shared" si="246"/>
        <v>6.2836250173609782</v>
      </c>
      <c r="AD522" s="3">
        <f t="shared" si="247"/>
        <v>911.33067691964868</v>
      </c>
      <c r="AI522" s="100">
        <f t="shared" si="248"/>
        <v>1.5656326039177699</v>
      </c>
    </row>
    <row r="523" spans="2:35">
      <c r="B523" s="39">
        <f t="shared" si="249"/>
        <v>495</v>
      </c>
      <c r="C523" s="45">
        <f t="shared" si="250"/>
        <v>14.541366906473971</v>
      </c>
      <c r="D523" s="10">
        <f t="shared" si="251"/>
        <v>9.9586330935262595</v>
      </c>
      <c r="E523" s="40">
        <f t="shared" si="252"/>
        <v>49.082733812947481</v>
      </c>
      <c r="F523" s="40">
        <f t="shared" si="253"/>
        <v>69</v>
      </c>
      <c r="G523" s="3">
        <f t="shared" si="254"/>
        <v>343.66906474821008</v>
      </c>
      <c r="H523" s="3">
        <f t="shared" si="255"/>
        <v>221.47275588995251</v>
      </c>
      <c r="I523">
        <f t="shared" si="240"/>
        <v>2.214727558899525E-4</v>
      </c>
      <c r="J523" s="4">
        <f t="shared" si="256"/>
        <v>2570.6983199563401</v>
      </c>
      <c r="K523" s="40">
        <f t="shared" si="257"/>
        <v>11.607289165777543</v>
      </c>
      <c r="L523" s="40">
        <f t="shared" si="241"/>
        <v>0</v>
      </c>
      <c r="M523" s="10">
        <f t="shared" si="258"/>
        <v>6.3846250173609782</v>
      </c>
      <c r="N523" s="10">
        <f t="shared" si="237"/>
        <v>17.20418640980624</v>
      </c>
      <c r="O523" s="10">
        <f t="shared" si="238"/>
        <v>-0.14810000000000001</v>
      </c>
      <c r="P523" s="10">
        <f t="shared" si="259"/>
        <v>13.073551665091252</v>
      </c>
      <c r="Q523" s="45">
        <f t="shared" si="260"/>
        <v>1.168255413691506</v>
      </c>
      <c r="R523" s="4">
        <f t="shared" si="261"/>
        <v>634813.93164822622</v>
      </c>
      <c r="S523">
        <f t="shared" si="242"/>
        <v>6.3481393164822625E-4</v>
      </c>
      <c r="T523" s="44">
        <f t="shared" si="243"/>
        <v>1.4415824628337777E-3</v>
      </c>
      <c r="U523" s="45">
        <f t="shared" si="262"/>
        <v>1.1331746086886663</v>
      </c>
      <c r="V523" s="45">
        <f t="shared" si="263"/>
        <v>1.5816589565312682</v>
      </c>
      <c r="W523" s="45">
        <f t="shared" si="264"/>
        <v>1.5654741561112282</v>
      </c>
      <c r="X523" s="45">
        <f t="shared" si="265"/>
        <v>1.6184800420040002E-2</v>
      </c>
      <c r="Y523" s="45">
        <f t="shared" si="239"/>
        <v>2.8447624892286034E-2</v>
      </c>
      <c r="Z523" s="10">
        <f t="shared" si="266"/>
        <v>19.73360915917732</v>
      </c>
      <c r="AA523">
        <f t="shared" si="244"/>
        <v>6383978.7960749799</v>
      </c>
      <c r="AB523" s="10">
        <f t="shared" si="245"/>
        <v>6.3839787960749801</v>
      </c>
      <c r="AC523" s="10">
        <f t="shared" si="246"/>
        <v>6.2829787960749801</v>
      </c>
      <c r="AD523" s="3">
        <f t="shared" si="247"/>
        <v>911.2369537454648</v>
      </c>
      <c r="AI523" s="100">
        <f t="shared" si="248"/>
        <v>1.5654741561112282</v>
      </c>
    </row>
    <row r="524" spans="2:35">
      <c r="B524" s="39">
        <f t="shared" si="249"/>
        <v>496</v>
      </c>
      <c r="C524" s="45">
        <f t="shared" si="250"/>
        <v>14.570743405274929</v>
      </c>
      <c r="D524" s="10">
        <f t="shared" si="251"/>
        <v>9.9292565947253024</v>
      </c>
      <c r="E524" s="40">
        <f t="shared" si="252"/>
        <v>49.141486810549395</v>
      </c>
      <c r="F524" s="40">
        <f t="shared" si="253"/>
        <v>69</v>
      </c>
      <c r="G524" s="3">
        <f t="shared" si="254"/>
        <v>343.43405275780242</v>
      </c>
      <c r="H524" s="3">
        <f t="shared" si="255"/>
        <v>221.47275588995251</v>
      </c>
      <c r="I524">
        <f t="shared" si="240"/>
        <v>2.214727558899525E-4</v>
      </c>
      <c r="J524" s="4">
        <f t="shared" si="256"/>
        <v>2575.2308271523389</v>
      </c>
      <c r="K524" s="40">
        <f t="shared" si="257"/>
        <v>11.627754469411778</v>
      </c>
      <c r="L524" s="40">
        <f t="shared" si="241"/>
        <v>0</v>
      </c>
      <c r="M524" s="10">
        <f t="shared" si="258"/>
        <v>6.3839787960749801</v>
      </c>
      <c r="N524" s="10">
        <f t="shared" si="237"/>
        <v>17.20418640980624</v>
      </c>
      <c r="O524" s="10">
        <f t="shared" si="238"/>
        <v>-0.14810000000000001</v>
      </c>
      <c r="P524" s="10">
        <f t="shared" si="259"/>
        <v>13.073747648697463</v>
      </c>
      <c r="Q524" s="45">
        <f t="shared" si="260"/>
        <v>1.1705023974631321</v>
      </c>
      <c r="R524" s="4">
        <f t="shared" si="261"/>
        <v>632823.20809242164</v>
      </c>
      <c r="S524">
        <f t="shared" si="242"/>
        <v>6.3282320809242168E-4</v>
      </c>
      <c r="T524" s="44">
        <f t="shared" si="243"/>
        <v>1.4435731863895822E-3</v>
      </c>
      <c r="U524" s="45">
        <f t="shared" si="262"/>
        <v>1.1296210676053773</v>
      </c>
      <c r="V524" s="45">
        <f t="shared" si="263"/>
        <v>1.5814716279491856</v>
      </c>
      <c r="W524" s="45">
        <f t="shared" si="264"/>
        <v>1.565313159438199</v>
      </c>
      <c r="X524" s="45">
        <f t="shared" si="265"/>
        <v>1.6158468510986568E-2</v>
      </c>
      <c r="Y524" s="45">
        <f t="shared" si="239"/>
        <v>2.8483932708804553E-2</v>
      </c>
      <c r="Z524" s="10">
        <f t="shared" si="266"/>
        <v>19.731547369651331</v>
      </c>
      <c r="AA524">
        <f t="shared" si="244"/>
        <v>6383322.3434327263</v>
      </c>
      <c r="AB524" s="10">
        <f t="shared" si="245"/>
        <v>6.3833223434327264</v>
      </c>
      <c r="AC524" s="10">
        <f t="shared" si="246"/>
        <v>6.2823223434327264</v>
      </c>
      <c r="AD524" s="3">
        <f t="shared" si="247"/>
        <v>911.14174669075078</v>
      </c>
      <c r="AI524" s="100">
        <f t="shared" si="248"/>
        <v>1.565313159438199</v>
      </c>
    </row>
    <row r="525" spans="2:35">
      <c r="B525" s="39">
        <f t="shared" si="249"/>
        <v>497</v>
      </c>
      <c r="C525" s="45">
        <f t="shared" si="250"/>
        <v>14.600119904075886</v>
      </c>
      <c r="D525" s="10">
        <f t="shared" si="251"/>
        <v>9.8998800959243454</v>
      </c>
      <c r="E525" s="40">
        <f t="shared" si="252"/>
        <v>49.200239808151309</v>
      </c>
      <c r="F525" s="40">
        <f t="shared" si="253"/>
        <v>69</v>
      </c>
      <c r="G525" s="3">
        <f t="shared" si="254"/>
        <v>343.19904076739476</v>
      </c>
      <c r="H525" s="3">
        <f t="shared" si="255"/>
        <v>221.47275588995251</v>
      </c>
      <c r="I525">
        <f t="shared" si="240"/>
        <v>2.214727558899525E-4</v>
      </c>
      <c r="J525" s="4">
        <f t="shared" si="256"/>
        <v>2579.7687566033114</v>
      </c>
      <c r="K525" s="40">
        <f t="shared" si="257"/>
        <v>11.648244255763773</v>
      </c>
      <c r="L525" s="40">
        <f t="shared" si="241"/>
        <v>0</v>
      </c>
      <c r="M525" s="10">
        <f t="shared" si="258"/>
        <v>6.3833223434327264</v>
      </c>
      <c r="N525" s="10">
        <f t="shared" si="237"/>
        <v>17.20418640980624</v>
      </c>
      <c r="O525" s="10">
        <f t="shared" si="238"/>
        <v>-0.14810000000000001</v>
      </c>
      <c r="P525" s="10">
        <f t="shared" si="259"/>
        <v>13.07394675855341</v>
      </c>
      <c r="Q525" s="45">
        <f t="shared" si="260"/>
        <v>1.1727493470142873</v>
      </c>
      <c r="R525" s="4">
        <f t="shared" si="261"/>
        <v>630832.75401098665</v>
      </c>
      <c r="S525">
        <f t="shared" si="242"/>
        <v>6.3083275401098668E-4</v>
      </c>
      <c r="T525" s="44">
        <f t="shared" si="243"/>
        <v>1.4455636404710171E-3</v>
      </c>
      <c r="U525" s="45">
        <f t="shared" si="262"/>
        <v>1.1260680075473117</v>
      </c>
      <c r="V525" s="45">
        <f t="shared" si="263"/>
        <v>1.5812816341331759</v>
      </c>
      <c r="W525" s="45">
        <f t="shared" si="264"/>
        <v>1.5651496137709575</v>
      </c>
      <c r="X525" s="45">
        <f t="shared" si="265"/>
        <v>1.6132020362218391E-2</v>
      </c>
      <c r="Y525" s="45">
        <f t="shared" si="239"/>
        <v>2.8520180544716667E-2</v>
      </c>
      <c r="Z525" s="10">
        <f t="shared" si="266"/>
        <v>19.729453443795638</v>
      </c>
      <c r="AA525">
        <f t="shared" si="244"/>
        <v>6382655.6589126391</v>
      </c>
      <c r="AB525" s="10">
        <f t="shared" si="245"/>
        <v>6.3826556589126389</v>
      </c>
      <c r="AC525" s="10">
        <f t="shared" si="246"/>
        <v>6.2816556589126389</v>
      </c>
      <c r="AD525" s="3">
        <f t="shared" si="247"/>
        <v>911.04505567986064</v>
      </c>
      <c r="AI525" s="100">
        <f t="shared" si="248"/>
        <v>1.5651496137709575</v>
      </c>
    </row>
    <row r="526" spans="2:35">
      <c r="B526" s="39">
        <f t="shared" si="249"/>
        <v>498</v>
      </c>
      <c r="C526" s="45">
        <f t="shared" si="250"/>
        <v>14.629496402876843</v>
      </c>
      <c r="D526" s="10">
        <f t="shared" si="251"/>
        <v>9.8705035971233883</v>
      </c>
      <c r="E526" s="40">
        <f t="shared" si="252"/>
        <v>49.258992805753223</v>
      </c>
      <c r="F526" s="40">
        <f t="shared" si="253"/>
        <v>69</v>
      </c>
      <c r="G526" s="3">
        <f t="shared" si="254"/>
        <v>342.96402877698711</v>
      </c>
      <c r="H526" s="3">
        <f t="shared" si="255"/>
        <v>221.47275588995251</v>
      </c>
      <c r="I526">
        <f t="shared" si="240"/>
        <v>2.214727558899525E-4</v>
      </c>
      <c r="J526" s="4">
        <f t="shared" si="256"/>
        <v>2584.3121083092583</v>
      </c>
      <c r="K526" s="40">
        <f t="shared" si="257"/>
        <v>11.668758524833528</v>
      </c>
      <c r="L526" s="40">
        <f t="shared" si="241"/>
        <v>0</v>
      </c>
      <c r="M526" s="10">
        <f t="shared" si="258"/>
        <v>6.3826556589126389</v>
      </c>
      <c r="N526" s="10">
        <f t="shared" si="237"/>
        <v>17.20418640980624</v>
      </c>
      <c r="O526" s="10">
        <f t="shared" si="238"/>
        <v>-0.14810000000000001</v>
      </c>
      <c r="P526" s="10">
        <f t="shared" si="259"/>
        <v>13.074148995921663</v>
      </c>
      <c r="Q526" s="45">
        <f t="shared" si="260"/>
        <v>1.1749962618085215</v>
      </c>
      <c r="R526" s="4">
        <f t="shared" si="261"/>
        <v>628842.57322680589</v>
      </c>
      <c r="S526">
        <f t="shared" si="242"/>
        <v>6.2884257322680587E-4</v>
      </c>
      <c r="T526" s="44">
        <f t="shared" si="243"/>
        <v>1.4475538212551978E-3</v>
      </c>
      <c r="U526" s="45">
        <f t="shared" si="262"/>
        <v>1.1225154353385101</v>
      </c>
      <c r="V526" s="45">
        <f t="shared" si="263"/>
        <v>1.5810889749438015</v>
      </c>
      <c r="W526" s="45">
        <f t="shared" si="264"/>
        <v>1.5649835189795609</v>
      </c>
      <c r="X526" s="45">
        <f t="shared" si="265"/>
        <v>1.6105455964240623E-2</v>
      </c>
      <c r="Y526" s="45">
        <f t="shared" si="239"/>
        <v>2.8556368131990605E-2</v>
      </c>
      <c r="Z526" s="10">
        <f t="shared" si="266"/>
        <v>19.72732737994426</v>
      </c>
      <c r="AA526">
        <f t="shared" si="244"/>
        <v>6381978.7419842882</v>
      </c>
      <c r="AB526" s="10">
        <f t="shared" si="245"/>
        <v>6.3819787419842884</v>
      </c>
      <c r="AC526" s="10">
        <f t="shared" si="246"/>
        <v>6.2809787419842884</v>
      </c>
      <c r="AD526" s="3">
        <f t="shared" si="247"/>
        <v>910.94688063586489</v>
      </c>
      <c r="AI526" s="100">
        <f t="shared" si="248"/>
        <v>1.5649835189795609</v>
      </c>
    </row>
    <row r="527" spans="2:35">
      <c r="B527" s="39">
        <f t="shared" si="249"/>
        <v>499</v>
      </c>
      <c r="C527" s="45">
        <f t="shared" si="250"/>
        <v>14.6588729016778</v>
      </c>
      <c r="D527" s="10">
        <f t="shared" si="251"/>
        <v>9.8411270983224313</v>
      </c>
      <c r="E527" s="40">
        <f t="shared" si="252"/>
        <v>49.317745803355137</v>
      </c>
      <c r="F527" s="40">
        <f t="shared" si="253"/>
        <v>69</v>
      </c>
      <c r="G527" s="3">
        <f t="shared" si="254"/>
        <v>342.72901678657945</v>
      </c>
      <c r="H527" s="3">
        <f t="shared" si="255"/>
        <v>221.47275588995251</v>
      </c>
      <c r="I527">
        <f t="shared" si="240"/>
        <v>2.214727558899525E-4</v>
      </c>
      <c r="J527" s="4">
        <f t="shared" si="256"/>
        <v>2588.8608822701781</v>
      </c>
      <c r="K527" s="40">
        <f t="shared" si="257"/>
        <v>11.689297276621039</v>
      </c>
      <c r="L527" s="40">
        <f t="shared" si="241"/>
        <v>0</v>
      </c>
      <c r="M527" s="10">
        <f t="shared" si="258"/>
        <v>6.3819787419842884</v>
      </c>
      <c r="N527" s="10">
        <f t="shared" si="237"/>
        <v>17.20418640980624</v>
      </c>
      <c r="O527" s="10">
        <f t="shared" si="238"/>
        <v>-0.14810000000000001</v>
      </c>
      <c r="P527" s="10">
        <f t="shared" si="259"/>
        <v>13.074354362085199</v>
      </c>
      <c r="Q527" s="45">
        <f t="shared" si="260"/>
        <v>1.1772431413092139</v>
      </c>
      <c r="R527" s="4">
        <f t="shared" si="261"/>
        <v>626852.66956276435</v>
      </c>
      <c r="S527">
        <f t="shared" si="242"/>
        <v>6.268526695627644E-4</v>
      </c>
      <c r="T527" s="44">
        <f t="shared" si="243"/>
        <v>1.4495437249192394E-3</v>
      </c>
      <c r="U527" s="45">
        <f t="shared" si="262"/>
        <v>1.1189633578030125</v>
      </c>
      <c r="V527" s="45">
        <f t="shared" si="263"/>
        <v>1.5808936502393034</v>
      </c>
      <c r="W527" s="45">
        <f t="shared" si="264"/>
        <v>1.5648148749318587</v>
      </c>
      <c r="X527" s="45">
        <f t="shared" si="265"/>
        <v>1.6078775307444726E-2</v>
      </c>
      <c r="Y527" s="45">
        <f t="shared" si="239"/>
        <v>2.8592495202625141E-2</v>
      </c>
      <c r="Z527" s="10">
        <f t="shared" si="266"/>
        <v>19.725169176402844</v>
      </c>
      <c r="AA527">
        <f t="shared" si="244"/>
        <v>6381291.5921082087</v>
      </c>
      <c r="AB527" s="10">
        <f t="shared" si="245"/>
        <v>6.3812915921082087</v>
      </c>
      <c r="AC527" s="10">
        <f t="shared" si="246"/>
        <v>6.2802915921082088</v>
      </c>
      <c r="AD527" s="3">
        <f t="shared" si="247"/>
        <v>910.84722148052333</v>
      </c>
      <c r="AI527" s="100">
        <f t="shared" si="248"/>
        <v>1.5648148749318587</v>
      </c>
    </row>
    <row r="528" spans="2:35">
      <c r="B528" s="39">
        <f t="shared" si="249"/>
        <v>500</v>
      </c>
      <c r="C528" s="45">
        <f t="shared" si="250"/>
        <v>14.688249400478757</v>
      </c>
      <c r="D528" s="10">
        <f t="shared" si="251"/>
        <v>9.8117505995214742</v>
      </c>
      <c r="E528" s="40">
        <f t="shared" si="252"/>
        <v>49.376498800957052</v>
      </c>
      <c r="F528" s="40">
        <f t="shared" si="253"/>
        <v>69</v>
      </c>
      <c r="G528" s="3">
        <f t="shared" si="254"/>
        <v>342.49400479617179</v>
      </c>
      <c r="H528" s="3">
        <f t="shared" si="255"/>
        <v>221.47275588995251</v>
      </c>
      <c r="I528">
        <f t="shared" si="240"/>
        <v>2.214727558899525E-4</v>
      </c>
      <c r="J528" s="4">
        <f t="shared" si="256"/>
        <v>2593.4150784860726</v>
      </c>
      <c r="K528" s="40">
        <f t="shared" si="257"/>
        <v>11.709860511126314</v>
      </c>
      <c r="L528" s="40">
        <f t="shared" si="241"/>
        <v>0</v>
      </c>
      <c r="M528" s="10">
        <f t="shared" si="258"/>
        <v>6.3812915921082087</v>
      </c>
      <c r="N528" s="10">
        <f t="shared" si="237"/>
        <v>17.20418640980624</v>
      </c>
      <c r="O528" s="10">
        <f t="shared" si="238"/>
        <v>-0.14810000000000001</v>
      </c>
      <c r="P528" s="10">
        <f t="shared" si="259"/>
        <v>13.074562858347447</v>
      </c>
      <c r="Q528" s="45">
        <f t="shared" si="260"/>
        <v>1.1794899849795706</v>
      </c>
      <c r="R528" s="4">
        <f t="shared" si="261"/>
        <v>624863.04684174666</v>
      </c>
      <c r="S528">
        <f t="shared" si="242"/>
        <v>6.2486304684174665E-4</v>
      </c>
      <c r="T528" s="44">
        <f t="shared" si="243"/>
        <v>1.4515333476402572E-3</v>
      </c>
      <c r="U528" s="45">
        <f t="shared" si="262"/>
        <v>1.1154117817648599</v>
      </c>
      <c r="V528" s="45">
        <f t="shared" si="263"/>
        <v>1.5806956598759834</v>
      </c>
      <c r="W528" s="45">
        <f t="shared" si="264"/>
        <v>1.5646436814934526</v>
      </c>
      <c r="X528" s="45">
        <f t="shared" si="265"/>
        <v>1.6051978382530807E-2</v>
      </c>
      <c r="Y528" s="45">
        <f t="shared" si="239"/>
        <v>2.8628561488650634E-2</v>
      </c>
      <c r="Z528" s="10">
        <f t="shared" si="266"/>
        <v>19.722978831448682</v>
      </c>
      <c r="AA528">
        <f t="shared" si="244"/>
        <v>6380594.2087359075</v>
      </c>
      <c r="AB528" s="10">
        <f t="shared" si="245"/>
        <v>6.3805942087359071</v>
      </c>
      <c r="AC528" s="10">
        <f t="shared" si="246"/>
        <v>6.2795942087359071</v>
      </c>
      <c r="AD528" s="3">
        <f t="shared" si="247"/>
        <v>910.74607813428679</v>
      </c>
      <c r="AI528" s="100">
        <f t="shared" si="248"/>
        <v>1.5646436814934526</v>
      </c>
    </row>
    <row r="529" spans="2:35">
      <c r="B529" s="39">
        <f t="shared" si="249"/>
        <v>501</v>
      </c>
      <c r="C529" s="45">
        <f t="shared" si="250"/>
        <v>14.717625899279714</v>
      </c>
      <c r="D529" s="10">
        <f t="shared" si="251"/>
        <v>9.7823741007205172</v>
      </c>
      <c r="E529" s="40">
        <f t="shared" si="252"/>
        <v>49.435251798558966</v>
      </c>
      <c r="F529" s="40">
        <f t="shared" si="253"/>
        <v>69</v>
      </c>
      <c r="G529" s="3">
        <f t="shared" si="254"/>
        <v>342.25899280576414</v>
      </c>
      <c r="H529" s="3">
        <f t="shared" si="255"/>
        <v>221.47275588995251</v>
      </c>
      <c r="I529">
        <f t="shared" si="240"/>
        <v>2.214727558899525E-4</v>
      </c>
      <c r="J529" s="4">
        <f t="shared" si="256"/>
        <v>2597.974696956941</v>
      </c>
      <c r="K529" s="40">
        <f t="shared" si="257"/>
        <v>11.730448228349347</v>
      </c>
      <c r="L529" s="40">
        <f t="shared" si="241"/>
        <v>0</v>
      </c>
      <c r="M529" s="10">
        <f t="shared" si="258"/>
        <v>6.3805942087359071</v>
      </c>
      <c r="N529" s="10">
        <f t="shared" si="237"/>
        <v>17.20418640980624</v>
      </c>
      <c r="O529" s="10">
        <f t="shared" si="238"/>
        <v>-0.14810000000000001</v>
      </c>
      <c r="P529" s="10">
        <f t="shared" si="259"/>
        <v>13.074774486032343</v>
      </c>
      <c r="Q529" s="45">
        <f t="shared" si="260"/>
        <v>1.1817367922826212</v>
      </c>
      <c r="R529" s="4">
        <f t="shared" si="261"/>
        <v>622873.70888663759</v>
      </c>
      <c r="S529">
        <f t="shared" si="242"/>
        <v>6.2287370888663757E-4</v>
      </c>
      <c r="T529" s="44">
        <f t="shared" si="243"/>
        <v>1.4535226855953661E-3</v>
      </c>
      <c r="U529" s="45">
        <f t="shared" si="262"/>
        <v>1.1118607140480925</v>
      </c>
      <c r="V529" s="45">
        <f t="shared" si="263"/>
        <v>1.5804950037085626</v>
      </c>
      <c r="W529" s="45">
        <f t="shared" si="264"/>
        <v>1.5644699385276926</v>
      </c>
      <c r="X529" s="45">
        <f t="shared" si="265"/>
        <v>1.6025065180869991E-2</v>
      </c>
      <c r="Y529" s="45">
        <f t="shared" si="239"/>
        <v>2.8664566722130875E-2</v>
      </c>
      <c r="Z529" s="10">
        <f t="shared" si="266"/>
        <v>19.720756343331377</v>
      </c>
      <c r="AA529">
        <f t="shared" si="244"/>
        <v>6379886.5913100773</v>
      </c>
      <c r="AB529" s="10">
        <f t="shared" si="245"/>
        <v>6.3798865913100773</v>
      </c>
      <c r="AC529" s="10">
        <f t="shared" si="246"/>
        <v>6.2788865913100773</v>
      </c>
      <c r="AD529" s="3">
        <f t="shared" si="247"/>
        <v>910.64345051632733</v>
      </c>
      <c r="AI529" s="100">
        <f t="shared" si="248"/>
        <v>1.5644699385276926</v>
      </c>
    </row>
    <row r="530" spans="2:35">
      <c r="B530" s="39">
        <f t="shared" si="249"/>
        <v>502</v>
      </c>
      <c r="C530" s="45">
        <f t="shared" si="250"/>
        <v>14.747002398080671</v>
      </c>
      <c r="D530" s="10">
        <f t="shared" si="251"/>
        <v>9.7529976019195601</v>
      </c>
      <c r="E530" s="40">
        <f t="shared" si="252"/>
        <v>49.49400479616088</v>
      </c>
      <c r="F530" s="40">
        <f t="shared" si="253"/>
        <v>69</v>
      </c>
      <c r="G530" s="3">
        <f t="shared" si="254"/>
        <v>342.02398081535648</v>
      </c>
      <c r="H530" s="3">
        <f t="shared" si="255"/>
        <v>221.47275588995251</v>
      </c>
      <c r="I530">
        <f t="shared" si="240"/>
        <v>2.214727558899525E-4</v>
      </c>
      <c r="J530" s="4">
        <f t="shared" si="256"/>
        <v>2602.5397376827832</v>
      </c>
      <c r="K530" s="40">
        <f t="shared" si="257"/>
        <v>11.751060428290142</v>
      </c>
      <c r="L530" s="40">
        <f t="shared" si="241"/>
        <v>0</v>
      </c>
      <c r="M530" s="10">
        <f t="shared" si="258"/>
        <v>6.3798865913100773</v>
      </c>
      <c r="N530" s="10">
        <f t="shared" si="237"/>
        <v>17.20418640980624</v>
      </c>
      <c r="O530" s="10">
        <f t="shared" si="238"/>
        <v>-0.14810000000000001</v>
      </c>
      <c r="P530" s="10">
        <f t="shared" si="259"/>
        <v>13.074989246484261</v>
      </c>
      <c r="Q530" s="45">
        <f t="shared" si="260"/>
        <v>1.183983562681217</v>
      </c>
      <c r="R530" s="4">
        <f t="shared" si="261"/>
        <v>620884.65952032211</v>
      </c>
      <c r="S530">
        <f t="shared" si="242"/>
        <v>6.2088465952032208E-4</v>
      </c>
      <c r="T530" s="44">
        <f t="shared" si="243"/>
        <v>1.4555117349616818E-3</v>
      </c>
      <c r="U530" s="45">
        <f t="shared" si="262"/>
        <v>1.108310161476751</v>
      </c>
      <c r="V530" s="45">
        <f t="shared" si="263"/>
        <v>1.5802916815890919</v>
      </c>
      <c r="W530" s="45">
        <f t="shared" si="264"/>
        <v>1.5642936458957344</v>
      </c>
      <c r="X530" s="45">
        <f t="shared" si="265"/>
        <v>1.599803569335756E-2</v>
      </c>
      <c r="Y530" s="45">
        <f t="shared" si="239"/>
        <v>2.870051063516239E-2</v>
      </c>
      <c r="Z530" s="10">
        <f t="shared" si="266"/>
        <v>19.718501710271656</v>
      </c>
      <c r="AA530">
        <f t="shared" si="244"/>
        <v>6379168.7392642153</v>
      </c>
      <c r="AB530" s="10">
        <f t="shared" si="245"/>
        <v>6.3791687392642151</v>
      </c>
      <c r="AC530" s="10">
        <f t="shared" si="246"/>
        <v>6.2781687392642151</v>
      </c>
      <c r="AD530" s="3">
        <f t="shared" si="247"/>
        <v>910.53933854448371</v>
      </c>
      <c r="AI530" s="100">
        <f t="shared" si="248"/>
        <v>1.5642936458957344</v>
      </c>
    </row>
    <row r="531" spans="2:35">
      <c r="B531" s="39">
        <f t="shared" si="249"/>
        <v>503</v>
      </c>
      <c r="C531" s="45">
        <f t="shared" si="250"/>
        <v>14.776378896881628</v>
      </c>
      <c r="D531" s="10">
        <f t="shared" si="251"/>
        <v>9.7236211031186031</v>
      </c>
      <c r="E531" s="40">
        <f t="shared" si="252"/>
        <v>49.552757793762794</v>
      </c>
      <c r="F531" s="40">
        <f t="shared" si="253"/>
        <v>69</v>
      </c>
      <c r="G531" s="3">
        <f t="shared" si="254"/>
        <v>341.78896882494882</v>
      </c>
      <c r="H531" s="3">
        <f t="shared" si="255"/>
        <v>221.47275588995251</v>
      </c>
      <c r="I531">
        <f t="shared" si="240"/>
        <v>2.214727558899525E-4</v>
      </c>
      <c r="J531" s="4">
        <f t="shared" si="256"/>
        <v>2607.1102006635992</v>
      </c>
      <c r="K531" s="40">
        <f t="shared" si="257"/>
        <v>11.771697110948693</v>
      </c>
      <c r="L531" s="40">
        <f t="shared" si="241"/>
        <v>0</v>
      </c>
      <c r="M531" s="10">
        <f t="shared" si="258"/>
        <v>6.3791687392642151</v>
      </c>
      <c r="N531" s="10">
        <f t="shared" si="237"/>
        <v>17.20418640980624</v>
      </c>
      <c r="O531" s="10">
        <f t="shared" si="238"/>
        <v>-0.14810000000000001</v>
      </c>
      <c r="P531" s="10">
        <f t="shared" si="259"/>
        <v>13.075207141068192</v>
      </c>
      <c r="Q531" s="45">
        <f t="shared" si="260"/>
        <v>1.1862302956380271</v>
      </c>
      <c r="R531" s="4">
        <f t="shared" si="261"/>
        <v>618895.90256568487</v>
      </c>
      <c r="S531">
        <f t="shared" si="242"/>
        <v>6.188959025656849E-4</v>
      </c>
      <c r="T531" s="44">
        <f t="shared" si="243"/>
        <v>1.4575004919163189E-3</v>
      </c>
      <c r="U531" s="45">
        <f t="shared" si="262"/>
        <v>1.1047601308748758</v>
      </c>
      <c r="V531" s="45">
        <f t="shared" si="263"/>
        <v>1.5800856933685195</v>
      </c>
      <c r="W531" s="45">
        <f t="shared" si="264"/>
        <v>1.5641148034564407</v>
      </c>
      <c r="X531" s="45">
        <f t="shared" si="265"/>
        <v>1.5970889912078734E-2</v>
      </c>
      <c r="Y531" s="45">
        <f t="shared" si="239"/>
        <v>2.8736392959877444E-2</v>
      </c>
      <c r="Z531" s="10">
        <f t="shared" si="266"/>
        <v>19.716214930462829</v>
      </c>
      <c r="AA531">
        <f t="shared" si="244"/>
        <v>6378440.65202309</v>
      </c>
      <c r="AB531" s="10">
        <f t="shared" si="245"/>
        <v>6.3784406520230901</v>
      </c>
      <c r="AC531" s="10">
        <f t="shared" si="246"/>
        <v>6.2774406520230901</v>
      </c>
      <c r="AD531" s="3">
        <f t="shared" si="247"/>
        <v>910.43374213532854</v>
      </c>
      <c r="AI531" s="100">
        <f t="shared" si="248"/>
        <v>1.5641148034564407</v>
      </c>
    </row>
    <row r="532" spans="2:35">
      <c r="B532" s="39">
        <f t="shared" si="249"/>
        <v>504</v>
      </c>
      <c r="C532" s="45">
        <f t="shared" si="250"/>
        <v>14.805755395682585</v>
      </c>
      <c r="D532" s="10">
        <f t="shared" si="251"/>
        <v>9.694244604317646</v>
      </c>
      <c r="E532" s="40">
        <f t="shared" si="252"/>
        <v>49.611510791364708</v>
      </c>
      <c r="F532" s="40">
        <f t="shared" si="253"/>
        <v>69</v>
      </c>
      <c r="G532" s="3">
        <f t="shared" si="254"/>
        <v>341.55395683454117</v>
      </c>
      <c r="H532" s="3">
        <f t="shared" si="255"/>
        <v>221.47275588995251</v>
      </c>
      <c r="I532">
        <f t="shared" si="240"/>
        <v>2.214727558899525E-4</v>
      </c>
      <c r="J532" s="4">
        <f t="shared" si="256"/>
        <v>2611.6860858993891</v>
      </c>
      <c r="K532" s="40">
        <f t="shared" si="257"/>
        <v>11.792358276325006</v>
      </c>
      <c r="L532" s="40">
        <f t="shared" si="241"/>
        <v>0</v>
      </c>
      <c r="M532" s="10">
        <f t="shared" si="258"/>
        <v>6.3784406520230901</v>
      </c>
      <c r="N532" s="10">
        <f t="shared" si="237"/>
        <v>17.20418640980624</v>
      </c>
      <c r="O532" s="10">
        <f t="shared" si="238"/>
        <v>-0.14810000000000001</v>
      </c>
      <c r="P532" s="10">
        <f t="shared" si="259"/>
        <v>13.075428171169584</v>
      </c>
      <c r="Q532" s="45">
        <f t="shared" si="260"/>
        <v>1.188476990615537</v>
      </c>
      <c r="R532" s="4">
        <f t="shared" si="261"/>
        <v>616907.44184561062</v>
      </c>
      <c r="S532">
        <f t="shared" si="242"/>
        <v>6.1690744184561064E-4</v>
      </c>
      <c r="T532" s="44">
        <f t="shared" si="243"/>
        <v>1.4594889526363931E-3</v>
      </c>
      <c r="U532" s="45">
        <f t="shared" si="262"/>
        <v>1.1012106290665074</v>
      </c>
      <c r="V532" s="45">
        <f t="shared" si="263"/>
        <v>1.5798770388948848</v>
      </c>
      <c r="W532" s="45">
        <f t="shared" si="264"/>
        <v>1.5639334110665026</v>
      </c>
      <c r="X532" s="45">
        <f t="shared" si="265"/>
        <v>1.5943627828382212E-2</v>
      </c>
      <c r="Y532" s="45">
        <f t="shared" si="239"/>
        <v>2.8772213428442758E-2</v>
      </c>
      <c r="Z532" s="10">
        <f t="shared" si="266"/>
        <v>19.713896002069205</v>
      </c>
      <c r="AA532">
        <f t="shared" si="244"/>
        <v>6377702.3290022369</v>
      </c>
      <c r="AB532" s="10">
        <f t="shared" si="245"/>
        <v>6.3777023290022372</v>
      </c>
      <c r="AC532" s="10">
        <f t="shared" si="246"/>
        <v>6.2767023290022372</v>
      </c>
      <c r="AD532" s="3">
        <f t="shared" si="247"/>
        <v>910.32666120409533</v>
      </c>
      <c r="AI532" s="100">
        <f t="shared" si="248"/>
        <v>1.5639334110665026</v>
      </c>
    </row>
    <row r="533" spans="2:35">
      <c r="B533" s="39">
        <f t="shared" si="249"/>
        <v>505</v>
      </c>
      <c r="C533" s="45">
        <f t="shared" si="250"/>
        <v>14.835131894483542</v>
      </c>
      <c r="D533" s="10">
        <f t="shared" si="251"/>
        <v>9.664868105516689</v>
      </c>
      <c r="E533" s="40">
        <f t="shared" si="252"/>
        <v>49.670263788966622</v>
      </c>
      <c r="F533" s="40">
        <f t="shared" si="253"/>
        <v>69</v>
      </c>
      <c r="G533" s="3">
        <f t="shared" si="254"/>
        <v>341.31894484413351</v>
      </c>
      <c r="H533" s="3">
        <f t="shared" si="255"/>
        <v>221.47275588995251</v>
      </c>
      <c r="I533">
        <f t="shared" si="240"/>
        <v>2.214727558899525E-4</v>
      </c>
      <c r="J533" s="4">
        <f t="shared" si="256"/>
        <v>2616.2673933901528</v>
      </c>
      <c r="K533" s="40">
        <f t="shared" si="257"/>
        <v>11.813043924419077</v>
      </c>
      <c r="L533" s="40">
        <f t="shared" si="241"/>
        <v>0</v>
      </c>
      <c r="M533" s="10">
        <f t="shared" si="258"/>
        <v>6.3777023290022372</v>
      </c>
      <c r="N533" s="10">
        <f t="shared" si="237"/>
        <v>17.20418640980624</v>
      </c>
      <c r="O533" s="10">
        <f t="shared" si="238"/>
        <v>-0.14810000000000001</v>
      </c>
      <c r="P533" s="10">
        <f t="shared" si="259"/>
        <v>13.075652338194553</v>
      </c>
      <c r="Q533" s="45">
        <f t="shared" si="260"/>
        <v>1.1907236470760447</v>
      </c>
      <c r="R533" s="4">
        <f t="shared" si="261"/>
        <v>614919.28118298447</v>
      </c>
      <c r="S533">
        <f t="shared" si="242"/>
        <v>6.1491928118298446E-4</v>
      </c>
      <c r="T533" s="44">
        <f t="shared" si="243"/>
        <v>1.4614771132990193E-3</v>
      </c>
      <c r="U533" s="45">
        <f t="shared" si="262"/>
        <v>1.0976616628756866</v>
      </c>
      <c r="V533" s="45">
        <f t="shared" si="263"/>
        <v>1.5796657180149352</v>
      </c>
      <c r="W533" s="45">
        <f t="shared" si="264"/>
        <v>1.5637494685803082</v>
      </c>
      <c r="X533" s="45">
        <f t="shared" si="265"/>
        <v>1.5916249434626994E-2</v>
      </c>
      <c r="Y533" s="45">
        <f t="shared" si="239"/>
        <v>2.8807971773062116E-2</v>
      </c>
      <c r="Z533" s="10">
        <f t="shared" si="266"/>
        <v>19.711544923227262</v>
      </c>
      <c r="AA533">
        <f t="shared" si="244"/>
        <v>6376953.7696083272</v>
      </c>
      <c r="AB533" s="10">
        <f t="shared" si="245"/>
        <v>6.3769537696083276</v>
      </c>
      <c r="AC533" s="10">
        <f t="shared" si="246"/>
        <v>6.2759537696083276</v>
      </c>
      <c r="AD533" s="3">
        <f t="shared" si="247"/>
        <v>910.218095664732</v>
      </c>
      <c r="AI533" s="100">
        <f t="shared" si="248"/>
        <v>1.5637494685803082</v>
      </c>
    </row>
    <row r="534" spans="2:35">
      <c r="B534" s="39">
        <f t="shared" si="249"/>
        <v>506</v>
      </c>
      <c r="C534" s="45">
        <f t="shared" si="250"/>
        <v>14.864508393284499</v>
      </c>
      <c r="D534" s="10">
        <f t="shared" si="251"/>
        <v>9.6354916067157319</v>
      </c>
      <c r="E534" s="40">
        <f t="shared" si="252"/>
        <v>49.729016786568536</v>
      </c>
      <c r="F534" s="40">
        <f t="shared" si="253"/>
        <v>69</v>
      </c>
      <c r="G534" s="3">
        <f t="shared" si="254"/>
        <v>341.08393285372586</v>
      </c>
      <c r="H534" s="3">
        <f t="shared" si="255"/>
        <v>221.47275588995251</v>
      </c>
      <c r="I534">
        <f t="shared" si="240"/>
        <v>2.214727558899525E-4</v>
      </c>
      <c r="J534" s="4">
        <f t="shared" si="256"/>
        <v>2620.8541231358904</v>
      </c>
      <c r="K534" s="40">
        <f t="shared" si="257"/>
        <v>11.833754055230907</v>
      </c>
      <c r="L534" s="40">
        <f t="shared" si="241"/>
        <v>0</v>
      </c>
      <c r="M534" s="10">
        <f t="shared" si="258"/>
        <v>6.3769537696083276</v>
      </c>
      <c r="N534" s="10">
        <f t="shared" si="237"/>
        <v>17.20418640980624</v>
      </c>
      <c r="O534" s="10">
        <f t="shared" si="238"/>
        <v>-0.14810000000000001</v>
      </c>
      <c r="P534" s="10">
        <f t="shared" si="259"/>
        <v>13.075879643569781</v>
      </c>
      <c r="Q534" s="45">
        <f t="shared" si="260"/>
        <v>1.1929702644816587</v>
      </c>
      <c r="R534" s="4">
        <f t="shared" si="261"/>
        <v>612931.42440069106</v>
      </c>
      <c r="S534">
        <f t="shared" si="242"/>
        <v>6.1293142440069107E-4</v>
      </c>
      <c r="T534" s="44">
        <f t="shared" si="243"/>
        <v>1.4634649700813128E-3</v>
      </c>
      <c r="U534" s="45">
        <f t="shared" si="262"/>
        <v>1.0941132391264536</v>
      </c>
      <c r="V534" s="45">
        <f t="shared" si="263"/>
        <v>1.5794517305732507</v>
      </c>
      <c r="W534" s="45">
        <f t="shared" si="264"/>
        <v>1.5635629758500382</v>
      </c>
      <c r="X534" s="45">
        <f t="shared" si="265"/>
        <v>1.5888754723212495E-2</v>
      </c>
      <c r="Y534" s="45">
        <f t="shared" si="239"/>
        <v>2.8843667725976817E-2</v>
      </c>
      <c r="Z534" s="10">
        <f t="shared" si="266"/>
        <v>19.709161692045289</v>
      </c>
      <c r="AA534">
        <f t="shared" si="244"/>
        <v>6376194.9732390624</v>
      </c>
      <c r="AB534" s="10">
        <f t="shared" si="245"/>
        <v>6.3761949732390626</v>
      </c>
      <c r="AC534" s="10">
        <f t="shared" si="246"/>
        <v>6.2751949732390626</v>
      </c>
      <c r="AD534" s="3">
        <f t="shared" si="247"/>
        <v>910.10804542988581</v>
      </c>
      <c r="AI534" s="100">
        <f t="shared" si="248"/>
        <v>1.5635629758500382</v>
      </c>
    </row>
    <row r="535" spans="2:35">
      <c r="B535" s="39">
        <f t="shared" si="249"/>
        <v>507</v>
      </c>
      <c r="C535" s="45">
        <f t="shared" si="250"/>
        <v>14.893884892085456</v>
      </c>
      <c r="D535" s="10">
        <f t="shared" si="251"/>
        <v>9.6061151079147749</v>
      </c>
      <c r="E535" s="40">
        <f t="shared" si="252"/>
        <v>49.78776978417045</v>
      </c>
      <c r="F535" s="40">
        <f t="shared" si="253"/>
        <v>69</v>
      </c>
      <c r="G535" s="3">
        <f t="shared" si="254"/>
        <v>340.8489208633182</v>
      </c>
      <c r="H535" s="3">
        <f t="shared" si="255"/>
        <v>221.47275588995251</v>
      </c>
      <c r="I535">
        <f t="shared" si="240"/>
        <v>2.214727558899525E-4</v>
      </c>
      <c r="J535" s="4">
        <f t="shared" si="256"/>
        <v>2625.4462751366027</v>
      </c>
      <c r="K535" s="40">
        <f t="shared" si="257"/>
        <v>11.854488668760501</v>
      </c>
      <c r="L535" s="40">
        <f t="shared" si="241"/>
        <v>0</v>
      </c>
      <c r="M535" s="10">
        <f t="shared" si="258"/>
        <v>6.3761949732390626</v>
      </c>
      <c r="N535" s="10">
        <f t="shared" si="237"/>
        <v>17.20418640980624</v>
      </c>
      <c r="O535" s="10">
        <f t="shared" si="238"/>
        <v>-0.14810000000000001</v>
      </c>
      <c r="P535" s="10">
        <f t="shared" si="259"/>
        <v>13.076110088742587</v>
      </c>
      <c r="Q535" s="45">
        <f t="shared" si="260"/>
        <v>1.1952168422942948</v>
      </c>
      <c r="R535" s="4">
        <f t="shared" si="261"/>
        <v>610943.87532161491</v>
      </c>
      <c r="S535">
        <f t="shared" si="242"/>
        <v>6.1094387532161485E-4</v>
      </c>
      <c r="T535" s="44">
        <f t="shared" si="243"/>
        <v>1.4654525191603891E-3</v>
      </c>
      <c r="U535" s="45">
        <f t="shared" si="262"/>
        <v>1.0905653646428488</v>
      </c>
      <c r="V535" s="45">
        <f t="shared" si="263"/>
        <v>1.5792350764123879</v>
      </c>
      <c r="W535" s="45">
        <f t="shared" si="264"/>
        <v>1.5633739327256388</v>
      </c>
      <c r="X535" s="45">
        <f t="shared" si="265"/>
        <v>1.5861143686749068E-2</v>
      </c>
      <c r="Y535" s="45">
        <f t="shared" si="239"/>
        <v>2.8879301019466501E-2</v>
      </c>
      <c r="Z535" s="10">
        <f t="shared" si="266"/>
        <v>19.7067463066033</v>
      </c>
      <c r="AA535">
        <f t="shared" si="244"/>
        <v>6375425.9392831372</v>
      </c>
      <c r="AB535" s="10">
        <f t="shared" si="245"/>
        <v>6.3754259392831374</v>
      </c>
      <c r="AC535" s="10">
        <f t="shared" si="246"/>
        <v>6.2744259392831374</v>
      </c>
      <c r="AD535" s="3">
        <f t="shared" si="247"/>
        <v>909.99651041089737</v>
      </c>
      <c r="AI535" s="100">
        <f t="shared" si="248"/>
        <v>1.5633739327256388</v>
      </c>
    </row>
    <row r="536" spans="2:35">
      <c r="B536" s="39">
        <f t="shared" si="249"/>
        <v>508</v>
      </c>
      <c r="C536" s="45">
        <f t="shared" si="250"/>
        <v>14.923261390886413</v>
      </c>
      <c r="D536" s="10">
        <f t="shared" si="251"/>
        <v>9.5767386091138178</v>
      </c>
      <c r="E536" s="40">
        <f t="shared" si="252"/>
        <v>49.846522781772364</v>
      </c>
      <c r="F536" s="40">
        <f t="shared" si="253"/>
        <v>69</v>
      </c>
      <c r="G536" s="3">
        <f t="shared" si="254"/>
        <v>340.61390887291054</v>
      </c>
      <c r="H536" s="3">
        <f t="shared" si="255"/>
        <v>221.47275588995251</v>
      </c>
      <c r="I536">
        <f t="shared" si="240"/>
        <v>2.214727558899525E-4</v>
      </c>
      <c r="J536" s="4">
        <f t="shared" si="256"/>
        <v>2630.0438493922884</v>
      </c>
      <c r="K536" s="40">
        <f t="shared" si="257"/>
        <v>11.875247765007853</v>
      </c>
      <c r="L536" s="40">
        <f t="shared" si="241"/>
        <v>0</v>
      </c>
      <c r="M536" s="10">
        <f t="shared" si="258"/>
        <v>6.3754259392831374</v>
      </c>
      <c r="N536" s="10">
        <f t="shared" si="237"/>
        <v>17.20418640980624</v>
      </c>
      <c r="O536" s="10">
        <f t="shared" si="238"/>
        <v>-0.14810000000000001</v>
      </c>
      <c r="P536" s="10">
        <f t="shared" si="259"/>
        <v>13.076343675180953</v>
      </c>
      <c r="Q536" s="45">
        <f t="shared" si="260"/>
        <v>1.197463379975674</v>
      </c>
      <c r="R536" s="4">
        <f t="shared" si="261"/>
        <v>608956.63776864123</v>
      </c>
      <c r="S536">
        <f t="shared" si="242"/>
        <v>6.0895663776864119E-4</v>
      </c>
      <c r="T536" s="44">
        <f t="shared" si="243"/>
        <v>1.4674397567133626E-3</v>
      </c>
      <c r="U536" s="45">
        <f t="shared" si="262"/>
        <v>1.087018046248913</v>
      </c>
      <c r="V536" s="45">
        <f t="shared" si="263"/>
        <v>1.5790157553725614</v>
      </c>
      <c r="W536" s="45">
        <f t="shared" si="264"/>
        <v>1.5631823390548123</v>
      </c>
      <c r="X536" s="45">
        <f t="shared" si="265"/>
        <v>1.5833416317749149E-2</v>
      </c>
      <c r="Y536" s="45">
        <f t="shared" si="239"/>
        <v>2.8914871385849288E-2</v>
      </c>
      <c r="Z536" s="10">
        <f t="shared" si="266"/>
        <v>19.704298764952487</v>
      </c>
      <c r="AA536">
        <f t="shared" si="244"/>
        <v>6374646.6671200711</v>
      </c>
      <c r="AB536" s="10">
        <f t="shared" si="245"/>
        <v>6.3746466671200714</v>
      </c>
      <c r="AC536" s="10">
        <f t="shared" si="246"/>
        <v>6.2736466671200715</v>
      </c>
      <c r="AD536" s="3">
        <f t="shared" si="247"/>
        <v>909.88349051777686</v>
      </c>
      <c r="AI536" s="100">
        <f t="shared" si="248"/>
        <v>1.5631823390548123</v>
      </c>
    </row>
    <row r="537" spans="2:35">
      <c r="B537" s="39">
        <f t="shared" si="249"/>
        <v>509</v>
      </c>
      <c r="C537" s="45">
        <f t="shared" si="250"/>
        <v>14.95263788968737</v>
      </c>
      <c r="D537" s="10">
        <f t="shared" si="251"/>
        <v>9.5473621103128608</v>
      </c>
      <c r="E537" s="40">
        <f t="shared" si="252"/>
        <v>49.905275779374278</v>
      </c>
      <c r="F537" s="40">
        <f t="shared" si="253"/>
        <v>69</v>
      </c>
      <c r="G537" s="3">
        <f t="shared" si="254"/>
        <v>340.37889688250289</v>
      </c>
      <c r="H537" s="3">
        <f t="shared" si="255"/>
        <v>221.47275588995251</v>
      </c>
      <c r="I537">
        <f t="shared" si="240"/>
        <v>2.214727558899525E-4</v>
      </c>
      <c r="J537" s="4">
        <f t="shared" si="256"/>
        <v>2634.6468459029475</v>
      </c>
      <c r="K537" s="40">
        <f t="shared" si="257"/>
        <v>11.896031343972961</v>
      </c>
      <c r="L537" s="40">
        <f t="shared" si="241"/>
        <v>0</v>
      </c>
      <c r="M537" s="10">
        <f t="shared" si="258"/>
        <v>6.3746466671200714</v>
      </c>
      <c r="N537" s="10">
        <f t="shared" si="237"/>
        <v>17.20418640980624</v>
      </c>
      <c r="O537" s="10">
        <f t="shared" si="238"/>
        <v>-0.14810000000000001</v>
      </c>
      <c r="P537" s="10">
        <f t="shared" si="259"/>
        <v>13.076580404373615</v>
      </c>
      <c r="Q537" s="45">
        <f t="shared" si="260"/>
        <v>1.1997098769873187</v>
      </c>
      <c r="R537" s="4">
        <f t="shared" si="261"/>
        <v>606969.71556465467</v>
      </c>
      <c r="S537">
        <f t="shared" si="242"/>
        <v>6.0696971556465468E-4</v>
      </c>
      <c r="T537" s="44">
        <f t="shared" si="243"/>
        <v>1.4694266789173492E-3</v>
      </c>
      <c r="U537" s="45">
        <f t="shared" si="262"/>
        <v>1.083471290768687</v>
      </c>
      <c r="V537" s="45">
        <f t="shared" si="263"/>
        <v>1.5787937672925467</v>
      </c>
      <c r="W537" s="45">
        <f t="shared" si="264"/>
        <v>1.5629881946829749</v>
      </c>
      <c r="X537" s="45">
        <f t="shared" si="265"/>
        <v>1.5805572609571827E-2</v>
      </c>
      <c r="Y537" s="45">
        <f t="shared" si="239"/>
        <v>2.8950378557484023E-2</v>
      </c>
      <c r="Z537" s="10">
        <f t="shared" si="266"/>
        <v>19.701819065116073</v>
      </c>
      <c r="AA537">
        <f t="shared" si="244"/>
        <v>6373857.1561204791</v>
      </c>
      <c r="AB537" s="10">
        <f t="shared" si="245"/>
        <v>6.3738571561204793</v>
      </c>
      <c r="AC537" s="10">
        <f t="shared" si="246"/>
        <v>6.2728571561204793</v>
      </c>
      <c r="AD537" s="3">
        <f t="shared" si="247"/>
        <v>909.76898565924284</v>
      </c>
      <c r="AI537" s="100">
        <f t="shared" si="248"/>
        <v>1.5629881946829749</v>
      </c>
    </row>
    <row r="538" spans="2:35">
      <c r="B538" s="39">
        <f t="shared" si="249"/>
        <v>510</v>
      </c>
      <c r="C538" s="45">
        <f t="shared" si="250"/>
        <v>14.982014388488327</v>
      </c>
      <c r="D538" s="10">
        <f t="shared" si="251"/>
        <v>9.5179856115119037</v>
      </c>
      <c r="E538" s="40">
        <f t="shared" si="252"/>
        <v>49.964028776976193</v>
      </c>
      <c r="F538" s="40">
        <f t="shared" si="253"/>
        <v>69</v>
      </c>
      <c r="G538" s="3">
        <f t="shared" si="254"/>
        <v>340.14388489209523</v>
      </c>
      <c r="H538" s="3">
        <f t="shared" si="255"/>
        <v>221.47275588995251</v>
      </c>
      <c r="I538">
        <f t="shared" si="240"/>
        <v>2.214727558899525E-4</v>
      </c>
      <c r="J538" s="4">
        <f t="shared" si="256"/>
        <v>2639.2552646685808</v>
      </c>
      <c r="K538" s="40">
        <f t="shared" si="257"/>
        <v>11.916839405655832</v>
      </c>
      <c r="L538" s="40">
        <f t="shared" si="241"/>
        <v>0</v>
      </c>
      <c r="M538" s="10">
        <f t="shared" si="258"/>
        <v>6.3738571561204793</v>
      </c>
      <c r="N538" s="10">
        <f t="shared" si="237"/>
        <v>17.20418640980624</v>
      </c>
      <c r="O538" s="10">
        <f t="shared" si="238"/>
        <v>-0.14810000000000001</v>
      </c>
      <c r="P538" s="10">
        <f t="shared" si="259"/>
        <v>13.076820277830004</v>
      </c>
      <c r="Q538" s="45">
        <f t="shared" si="260"/>
        <v>1.2019563327905511</v>
      </c>
      <c r="R538" s="4">
        <f t="shared" si="261"/>
        <v>604983.11253254011</v>
      </c>
      <c r="S538">
        <f t="shared" si="242"/>
        <v>6.0498311253254016E-4</v>
      </c>
      <c r="T538" s="44">
        <f t="shared" si="243"/>
        <v>1.4714132819494638E-3</v>
      </c>
      <c r="U538" s="45">
        <f t="shared" si="262"/>
        <v>1.0799251050262106</v>
      </c>
      <c r="V538" s="45">
        <f t="shared" si="263"/>
        <v>1.5785691120090921</v>
      </c>
      <c r="W538" s="45">
        <f t="shared" si="264"/>
        <v>1.5627914994533245</v>
      </c>
      <c r="X538" s="45">
        <f t="shared" si="265"/>
        <v>1.5777612555767595E-2</v>
      </c>
      <c r="Y538" s="45">
        <f t="shared" si="239"/>
        <v>2.8985822266771079E-2</v>
      </c>
      <c r="Z538" s="10">
        <f t="shared" si="266"/>
        <v>19.699307205089241</v>
      </c>
      <c r="AA538">
        <f t="shared" si="244"/>
        <v>6373057.4056460476</v>
      </c>
      <c r="AB538" s="10">
        <f t="shared" si="245"/>
        <v>6.3730574056460476</v>
      </c>
      <c r="AC538" s="10">
        <f t="shared" si="246"/>
        <v>6.2720574056460476</v>
      </c>
      <c r="AD538" s="3">
        <f t="shared" si="247"/>
        <v>909.65299574271899</v>
      </c>
      <c r="AI538" s="100">
        <f t="shared" si="248"/>
        <v>1.5627914994533245</v>
      </c>
    </row>
    <row r="539" spans="2:35">
      <c r="B539" s="39">
        <f t="shared" si="249"/>
        <v>511</v>
      </c>
      <c r="C539" s="45">
        <f t="shared" si="250"/>
        <v>15.011390887289284</v>
      </c>
      <c r="D539" s="10">
        <f t="shared" si="251"/>
        <v>9.4886091127109466</v>
      </c>
      <c r="E539" s="40">
        <f t="shared" si="252"/>
        <v>50.022781774578107</v>
      </c>
      <c r="F539" s="40">
        <f t="shared" si="253"/>
        <v>69</v>
      </c>
      <c r="G539" s="3">
        <f t="shared" si="254"/>
        <v>339.90887290168757</v>
      </c>
      <c r="H539" s="3">
        <f t="shared" si="255"/>
        <v>221.47275588995251</v>
      </c>
      <c r="I539">
        <f t="shared" si="240"/>
        <v>2.214727558899525E-4</v>
      </c>
      <c r="J539" s="4">
        <f t="shared" si="256"/>
        <v>2643.8691056891885</v>
      </c>
      <c r="K539" s="40">
        <f t="shared" si="257"/>
        <v>11.937671950056464</v>
      </c>
      <c r="L539" s="40">
        <f t="shared" si="241"/>
        <v>0</v>
      </c>
      <c r="M539" s="10">
        <f t="shared" si="258"/>
        <v>6.3730574056460476</v>
      </c>
      <c r="N539" s="10">
        <f t="shared" si="237"/>
        <v>17.20418640980624</v>
      </c>
      <c r="O539" s="10">
        <f t="shared" si="238"/>
        <v>-0.14810000000000001</v>
      </c>
      <c r="P539" s="10">
        <f t="shared" si="259"/>
        <v>13.077063297080272</v>
      </c>
      <c r="Q539" s="45">
        <f t="shared" si="260"/>
        <v>1.2042027468464895</v>
      </c>
      <c r="R539" s="4">
        <f t="shared" si="261"/>
        <v>602996.83249518217</v>
      </c>
      <c r="S539">
        <f t="shared" si="242"/>
        <v>6.0299683249518212E-4</v>
      </c>
      <c r="T539" s="44">
        <f t="shared" si="243"/>
        <v>1.4733995619868217E-3</v>
      </c>
      <c r="U539" s="45">
        <f t="shared" si="262"/>
        <v>1.0763794958455251</v>
      </c>
      <c r="V539" s="45">
        <f t="shared" si="263"/>
        <v>1.5783417893565819</v>
      </c>
      <c r="W539" s="45">
        <f t="shared" si="264"/>
        <v>1.5625922532068348</v>
      </c>
      <c r="X539" s="45">
        <f t="shared" si="265"/>
        <v>1.5749536149747057E-2</v>
      </c>
      <c r="Y539" s="45">
        <f t="shared" si="239"/>
        <v>2.9021202246152379E-2</v>
      </c>
      <c r="Z539" s="10">
        <f t="shared" si="266"/>
        <v>19.696763182838485</v>
      </c>
      <c r="AA539">
        <f t="shared" si="244"/>
        <v>6372247.4150493294</v>
      </c>
      <c r="AB539" s="10">
        <f t="shared" si="245"/>
        <v>6.3722474150493298</v>
      </c>
      <c r="AC539" s="10">
        <f t="shared" si="246"/>
        <v>6.2712474150493298</v>
      </c>
      <c r="AD539" s="3">
        <f t="shared" si="247"/>
        <v>909.53552067430451</v>
      </c>
      <c r="AI539" s="100">
        <f t="shared" si="248"/>
        <v>1.5625922532068348</v>
      </c>
    </row>
    <row r="540" spans="2:35">
      <c r="B540" s="39">
        <f t="shared" si="249"/>
        <v>512</v>
      </c>
      <c r="C540" s="45">
        <f t="shared" si="250"/>
        <v>15.040767386090241</v>
      </c>
      <c r="D540" s="10">
        <f t="shared" si="251"/>
        <v>9.4592326139099896</v>
      </c>
      <c r="E540" s="40">
        <f t="shared" si="252"/>
        <v>50.081534772180021</v>
      </c>
      <c r="F540" s="40">
        <f t="shared" si="253"/>
        <v>69</v>
      </c>
      <c r="G540" s="3">
        <f t="shared" si="254"/>
        <v>339.67386091127992</v>
      </c>
      <c r="H540" s="3">
        <f t="shared" si="255"/>
        <v>221.47275588995251</v>
      </c>
      <c r="I540">
        <f t="shared" si="240"/>
        <v>2.214727558899525E-4</v>
      </c>
      <c r="J540" s="4">
        <f t="shared" si="256"/>
        <v>2648.4883689647695</v>
      </c>
      <c r="K540" s="40">
        <f t="shared" si="257"/>
        <v>11.958528977174852</v>
      </c>
      <c r="L540" s="40">
        <f t="shared" si="241"/>
        <v>0</v>
      </c>
      <c r="M540" s="10">
        <f t="shared" si="258"/>
        <v>6.3722474150493298</v>
      </c>
      <c r="N540" s="10">
        <f t="shared" ref="N540:N603" si="267">IF(fueltype=1,VLOOKUP($M540,kndxbn_,4),IF(fueltype=2,VLOOKUP($M540,knsobn_,4),IF(fueltype=3,VLOOKUP($M540,knsbcobn_,4),IF(fueltype=4,VLOOKUP($M540,knsubn_,4),IF(fueltype=5,am_1,IF(fueltype=6,am_0,IF(fueltype=7,am_3,am_4)))))))</f>
        <v>17.20418640980624</v>
      </c>
      <c r="O540" s="10">
        <f t="shared" ref="O540:O603" si="268">IF(fueltype=1,VLOOKUP($M540,kndxbn_,5),IF(fueltype=2,VLOOKUP($M540,knsobn_,5),IF(fueltype=3,VLOOKUP($M540,knsbcobn_,5),IF(fueltype=4,VLOOKUP($M540,knsubn_,5),IF(fueltype=5,nm_1,IF(fueltype=6,an_0,IF(fueltype=7,nm_3,nm_4)))))))</f>
        <v>-0.14810000000000001</v>
      </c>
      <c r="P540" s="10">
        <f t="shared" si="259"/>
        <v>13.077309463675403</v>
      </c>
      <c r="Q540" s="45">
        <f t="shared" si="260"/>
        <v>1.2064491186160462</v>
      </c>
      <c r="R540" s="4">
        <f t="shared" si="261"/>
        <v>601010.87927546573</v>
      </c>
      <c r="S540">
        <f t="shared" si="242"/>
        <v>6.0101087927546572E-4</v>
      </c>
      <c r="T540" s="44">
        <f t="shared" si="243"/>
        <v>1.4753855152065381E-3</v>
      </c>
      <c r="U540" s="45">
        <f t="shared" si="262"/>
        <v>1.0728344700506702</v>
      </c>
      <c r="V540" s="45">
        <f t="shared" si="263"/>
        <v>1.578111799167802</v>
      </c>
      <c r="W540" s="45">
        <f t="shared" si="264"/>
        <v>1.5623904557822028</v>
      </c>
      <c r="X540" s="45">
        <f t="shared" si="265"/>
        <v>1.5721343385599162E-2</v>
      </c>
      <c r="Y540" s="45">
        <f t="shared" si="239"/>
        <v>2.9056518228113296E-2</v>
      </c>
      <c r="Z540" s="10">
        <f t="shared" si="266"/>
        <v>19.69418699630225</v>
      </c>
      <c r="AA540">
        <f t="shared" si="244"/>
        <v>6371427.1836739471</v>
      </c>
      <c r="AB540" s="10">
        <f t="shared" si="245"/>
        <v>6.3714271836739469</v>
      </c>
      <c r="AC540" s="10">
        <f t="shared" si="246"/>
        <v>6.2704271836739469</v>
      </c>
      <c r="AD540" s="3">
        <f t="shared" si="247"/>
        <v>909.41656035880305</v>
      </c>
      <c r="AI540" s="100">
        <f t="shared" si="248"/>
        <v>1.5623904557822028</v>
      </c>
    </row>
    <row r="541" spans="2:35">
      <c r="B541" s="39">
        <f t="shared" si="249"/>
        <v>513</v>
      </c>
      <c r="C541" s="45">
        <f t="shared" si="250"/>
        <v>15.070143884891198</v>
      </c>
      <c r="D541" s="10">
        <f t="shared" si="251"/>
        <v>9.4298561151090325</v>
      </c>
      <c r="E541" s="40">
        <f t="shared" si="252"/>
        <v>50.140287769781935</v>
      </c>
      <c r="F541" s="40">
        <f t="shared" si="253"/>
        <v>69</v>
      </c>
      <c r="G541" s="3">
        <f t="shared" si="254"/>
        <v>339.43884892087226</v>
      </c>
      <c r="H541" s="3">
        <f t="shared" si="255"/>
        <v>221.47275588995251</v>
      </c>
      <c r="I541">
        <f t="shared" si="240"/>
        <v>2.214727558899525E-4</v>
      </c>
      <c r="J541" s="4">
        <f t="shared" si="256"/>
        <v>2653.1130544953248</v>
      </c>
      <c r="K541" s="40">
        <f t="shared" si="257"/>
        <v>11.979410487011002</v>
      </c>
      <c r="L541" s="40">
        <f t="shared" si="241"/>
        <v>0</v>
      </c>
      <c r="M541" s="10">
        <f t="shared" si="258"/>
        <v>6.3714271836739469</v>
      </c>
      <c r="N541" s="10">
        <f t="shared" si="267"/>
        <v>17.20418640980624</v>
      </c>
      <c r="O541" s="10">
        <f t="shared" si="268"/>
        <v>-0.14810000000000001</v>
      </c>
      <c r="P541" s="10">
        <f t="shared" si="259"/>
        <v>13.077558779187166</v>
      </c>
      <c r="Q541" s="45">
        <f t="shared" si="260"/>
        <v>1.2086954475599245</v>
      </c>
      <c r="R541" s="4">
        <f t="shared" si="261"/>
        <v>599025.25669627567</v>
      </c>
      <c r="S541">
        <f t="shared" si="242"/>
        <v>5.9902525669627566E-4</v>
      </c>
      <c r="T541" s="44">
        <f t="shared" si="243"/>
        <v>1.477371137785728E-3</v>
      </c>
      <c r="U541" s="45">
        <f t="shared" si="262"/>
        <v>1.0692900344656868</v>
      </c>
      <c r="V541" s="45">
        <f t="shared" si="263"/>
        <v>1.5778791412729936</v>
      </c>
      <c r="W541" s="45">
        <f t="shared" si="264"/>
        <v>1.5621861070159024</v>
      </c>
      <c r="X541" s="45">
        <f t="shared" si="265"/>
        <v>1.5693034257091121E-2</v>
      </c>
      <c r="Y541" s="45">
        <f t="shared" si="239"/>
        <v>2.9091769945182273E-2</v>
      </c>
      <c r="Z541" s="10">
        <f t="shared" si="266"/>
        <v>19.691578643390031</v>
      </c>
      <c r="AA541">
        <f t="shared" si="244"/>
        <v>6370596.710854304</v>
      </c>
      <c r="AB541" s="10">
        <f t="shared" si="245"/>
        <v>6.3705967108543042</v>
      </c>
      <c r="AC541" s="10">
        <f t="shared" si="246"/>
        <v>6.2695967108543043</v>
      </c>
      <c r="AD541" s="3">
        <f t="shared" si="247"/>
        <v>909.29611469968154</v>
      </c>
      <c r="AI541" s="100">
        <f t="shared" si="248"/>
        <v>1.5621861070159024</v>
      </c>
    </row>
    <row r="542" spans="2:35">
      <c r="B542" s="39">
        <f t="shared" si="249"/>
        <v>514</v>
      </c>
      <c r="C542" s="45">
        <f t="shared" si="250"/>
        <v>15.099520383692155</v>
      </c>
      <c r="D542" s="10">
        <f t="shared" si="251"/>
        <v>9.4004796163080755</v>
      </c>
      <c r="E542" s="40">
        <f t="shared" si="252"/>
        <v>50.199040767383849</v>
      </c>
      <c r="F542" s="40">
        <f t="shared" si="253"/>
        <v>69</v>
      </c>
      <c r="G542" s="3">
        <f t="shared" si="254"/>
        <v>339.2038369304646</v>
      </c>
      <c r="H542" s="3">
        <f t="shared" si="255"/>
        <v>221.47275588995251</v>
      </c>
      <c r="I542">
        <f t="shared" si="240"/>
        <v>2.214727558899525E-4</v>
      </c>
      <c r="J542" s="4">
        <f t="shared" si="256"/>
        <v>2657.7431622808535</v>
      </c>
      <c r="K542" s="40">
        <f t="shared" si="257"/>
        <v>12.00031647956491</v>
      </c>
      <c r="L542" s="40">
        <f t="shared" si="241"/>
        <v>0</v>
      </c>
      <c r="M542" s="10">
        <f t="shared" si="258"/>
        <v>6.3705967108543042</v>
      </c>
      <c r="N542" s="10">
        <f t="shared" si="267"/>
        <v>17.20418640980624</v>
      </c>
      <c r="O542" s="10">
        <f t="shared" si="268"/>
        <v>-0.14810000000000001</v>
      </c>
      <c r="P542" s="10">
        <f t="shared" si="259"/>
        <v>13.077811245208231</v>
      </c>
      <c r="Q542" s="45">
        <f t="shared" si="260"/>
        <v>1.2109417331386159</v>
      </c>
      <c r="R542" s="4">
        <f t="shared" si="261"/>
        <v>597039.96858049685</v>
      </c>
      <c r="S542">
        <f t="shared" si="242"/>
        <v>5.970399685804969E-4</v>
      </c>
      <c r="T542" s="44">
        <f t="shared" si="243"/>
        <v>1.479356425901507E-3</v>
      </c>
      <c r="U542" s="45">
        <f t="shared" si="262"/>
        <v>1.0657461959146159</v>
      </c>
      <c r="V542" s="45">
        <f t="shared" si="263"/>
        <v>1.5776438155007386</v>
      </c>
      <c r="W542" s="45">
        <f t="shared" si="264"/>
        <v>1.5619792067421094</v>
      </c>
      <c r="X542" s="45">
        <f t="shared" si="265"/>
        <v>1.5664608758629184E-2</v>
      </c>
      <c r="Y542" s="45">
        <f t="shared" ref="Y542:Y605" si="269">IF((X542*(Q542-Q541)+Y541)&lt;0,0,X542*(Q542-Q541)+Y541)</f>
        <v>2.9126957129932622E-2</v>
      </c>
      <c r="Z542" s="10">
        <f t="shared" si="266"/>
        <v>19.688938121982947</v>
      </c>
      <c r="AA542">
        <f t="shared" si="244"/>
        <v>6369755.9959157705</v>
      </c>
      <c r="AB542" s="10">
        <f t="shared" si="245"/>
        <v>6.3697559959157708</v>
      </c>
      <c r="AC542" s="10">
        <f t="shared" si="246"/>
        <v>6.2687559959157708</v>
      </c>
      <c r="AD542" s="3">
        <f t="shared" si="247"/>
        <v>909.17418359909652</v>
      </c>
      <c r="AI542" s="100">
        <f t="shared" si="248"/>
        <v>1.5619792067421094</v>
      </c>
    </row>
    <row r="543" spans="2:35">
      <c r="B543" s="39">
        <f t="shared" si="249"/>
        <v>515</v>
      </c>
      <c r="C543" s="45">
        <f t="shared" si="250"/>
        <v>15.128896882493112</v>
      </c>
      <c r="D543" s="10">
        <f t="shared" si="251"/>
        <v>9.3711031175071184</v>
      </c>
      <c r="E543" s="40">
        <f t="shared" si="252"/>
        <v>50.257793764985763</v>
      </c>
      <c r="F543" s="40">
        <f t="shared" si="253"/>
        <v>69</v>
      </c>
      <c r="G543" s="3">
        <f t="shared" si="254"/>
        <v>338.96882494005695</v>
      </c>
      <c r="H543" s="3">
        <f t="shared" si="255"/>
        <v>221.47275588995251</v>
      </c>
      <c r="I543">
        <f t="shared" si="240"/>
        <v>2.214727558899525E-4</v>
      </c>
      <c r="J543" s="4">
        <f t="shared" si="256"/>
        <v>2662.378692321357</v>
      </c>
      <c r="K543" s="40">
        <f t="shared" si="257"/>
        <v>12.021246954836581</v>
      </c>
      <c r="L543" s="40">
        <f t="shared" si="241"/>
        <v>0</v>
      </c>
      <c r="M543" s="10">
        <f t="shared" si="258"/>
        <v>6.3697559959157708</v>
      </c>
      <c r="N543" s="10">
        <f t="shared" si="267"/>
        <v>17.20418640980624</v>
      </c>
      <c r="O543" s="10">
        <f t="shared" si="268"/>
        <v>-0.14810000000000001</v>
      </c>
      <c r="P543" s="10">
        <f t="shared" si="259"/>
        <v>13.078066863352163</v>
      </c>
      <c r="Q543" s="45">
        <f t="shared" si="260"/>
        <v>1.213187974812397</v>
      </c>
      <c r="R543" s="4">
        <f t="shared" si="261"/>
        <v>595055.01875101367</v>
      </c>
      <c r="S543">
        <f t="shared" si="242"/>
        <v>5.950550187510137E-4</v>
      </c>
      <c r="T543" s="44">
        <f t="shared" si="243"/>
        <v>1.4813413757309901E-3</v>
      </c>
      <c r="U543" s="45">
        <f t="shared" si="262"/>
        <v>1.0622029612214969</v>
      </c>
      <c r="V543" s="45">
        <f t="shared" si="263"/>
        <v>1.5774058216783762</v>
      </c>
      <c r="W543" s="45">
        <f t="shared" si="264"/>
        <v>1.56176975479275</v>
      </c>
      <c r="X543" s="45">
        <f t="shared" si="265"/>
        <v>1.5636066885626132E-2</v>
      </c>
      <c r="Y543" s="45">
        <f t="shared" si="269"/>
        <v>2.9162079514985145E-2</v>
      </c>
      <c r="Z543" s="10">
        <f t="shared" si="266"/>
        <v>19.686265429934867</v>
      </c>
      <c r="AA543">
        <f t="shared" si="244"/>
        <v>6368905.0381750418</v>
      </c>
      <c r="AB543" s="10">
        <f t="shared" si="245"/>
        <v>6.3689050381750416</v>
      </c>
      <c r="AC543" s="10">
        <f t="shared" si="246"/>
        <v>6.2679050381750416</v>
      </c>
      <c r="AD543" s="3">
        <f t="shared" si="247"/>
        <v>909.05076695794662</v>
      </c>
      <c r="AI543" s="100">
        <f t="shared" si="248"/>
        <v>1.56176975479275</v>
      </c>
    </row>
    <row r="544" spans="2:35">
      <c r="B544" s="39">
        <f t="shared" si="249"/>
        <v>516</v>
      </c>
      <c r="C544" s="45">
        <f t="shared" si="250"/>
        <v>15.15827338129407</v>
      </c>
      <c r="D544" s="10">
        <f t="shared" si="251"/>
        <v>9.3417266187061614</v>
      </c>
      <c r="E544" s="40">
        <f t="shared" si="252"/>
        <v>50.316546762587677</v>
      </c>
      <c r="F544" s="40">
        <f t="shared" si="253"/>
        <v>69</v>
      </c>
      <c r="G544" s="3">
        <f t="shared" si="254"/>
        <v>338.73381294964929</v>
      </c>
      <c r="H544" s="3">
        <f t="shared" si="255"/>
        <v>221.47275588995251</v>
      </c>
      <c r="I544">
        <f t="shared" si="240"/>
        <v>2.214727558899525E-4</v>
      </c>
      <c r="J544" s="4">
        <f t="shared" si="256"/>
        <v>2667.0196446168338</v>
      </c>
      <c r="K544" s="40">
        <f t="shared" si="257"/>
        <v>12.042201912826009</v>
      </c>
      <c r="L544" s="40">
        <f t="shared" si="241"/>
        <v>0</v>
      </c>
      <c r="M544" s="10">
        <f t="shared" si="258"/>
        <v>6.3689050381750416</v>
      </c>
      <c r="N544" s="10">
        <f t="shared" si="267"/>
        <v>17.20418640980624</v>
      </c>
      <c r="O544" s="10">
        <f t="shared" si="268"/>
        <v>-0.14810000000000001</v>
      </c>
      <c r="P544" s="10">
        <f t="shared" si="259"/>
        <v>13.078325635253309</v>
      </c>
      <c r="Q544" s="45">
        <f t="shared" si="260"/>
        <v>1.2154341720413275</v>
      </c>
      <c r="R544" s="4">
        <f t="shared" si="261"/>
        <v>593070.41103071137</v>
      </c>
      <c r="S544">
        <f t="shared" si="242"/>
        <v>5.9307041103071132E-4</v>
      </c>
      <c r="T544" s="44">
        <f t="shared" si="243"/>
        <v>1.4833259834512924E-3</v>
      </c>
      <c r="U544" s="45">
        <f t="shared" si="262"/>
        <v>1.0586603372103713</v>
      </c>
      <c r="V544" s="45">
        <f t="shared" si="263"/>
        <v>1.5771651596295428</v>
      </c>
      <c r="W544" s="45">
        <f t="shared" si="264"/>
        <v>1.561557750997588</v>
      </c>
      <c r="X544" s="45">
        <f t="shared" si="265"/>
        <v>1.5607408631954867E-2</v>
      </c>
      <c r="Y544" s="45">
        <f t="shared" si="269"/>
        <v>2.9197136833005028E-2</v>
      </c>
      <c r="Z544" s="10">
        <f t="shared" si="266"/>
        <v>19.683560565069659</v>
      </c>
      <c r="AA544">
        <f t="shared" si="244"/>
        <v>6368043.8369392585</v>
      </c>
      <c r="AB544" s="10">
        <f t="shared" si="245"/>
        <v>6.3680438369392585</v>
      </c>
      <c r="AC544" s="10">
        <f t="shared" si="246"/>
        <v>6.2670438369392585</v>
      </c>
      <c r="AD544" s="3">
        <f t="shared" si="247"/>
        <v>908.92586467574449</v>
      </c>
      <c r="AI544" s="100">
        <f t="shared" si="248"/>
        <v>1.561557750997588</v>
      </c>
    </row>
    <row r="545" spans="2:35">
      <c r="B545" s="39">
        <f t="shared" si="249"/>
        <v>517</v>
      </c>
      <c r="C545" s="45">
        <f t="shared" si="250"/>
        <v>15.187649880095027</v>
      </c>
      <c r="D545" s="10">
        <f t="shared" si="251"/>
        <v>9.3123501199052043</v>
      </c>
      <c r="E545" s="40">
        <f t="shared" si="252"/>
        <v>50.375299760189591</v>
      </c>
      <c r="F545" s="40">
        <f t="shared" si="253"/>
        <v>69</v>
      </c>
      <c r="G545" s="3">
        <f t="shared" si="254"/>
        <v>338.49880095924163</v>
      </c>
      <c r="H545" s="3">
        <f t="shared" si="255"/>
        <v>221.47275588995251</v>
      </c>
      <c r="I545">
        <f t="shared" si="240"/>
        <v>2.214727558899525E-4</v>
      </c>
      <c r="J545" s="4">
        <f t="shared" si="256"/>
        <v>2671.6660191672845</v>
      </c>
      <c r="K545" s="40">
        <f t="shared" si="257"/>
        <v>12.063181353533196</v>
      </c>
      <c r="L545" s="40">
        <f t="shared" si="241"/>
        <v>0</v>
      </c>
      <c r="M545" s="10">
        <f t="shared" si="258"/>
        <v>6.3680438369392585</v>
      </c>
      <c r="N545" s="10">
        <f t="shared" si="267"/>
        <v>17.20418640980624</v>
      </c>
      <c r="O545" s="10">
        <f t="shared" si="268"/>
        <v>-0.14810000000000001</v>
      </c>
      <c r="P545" s="10">
        <f t="shared" si="259"/>
        <v>13.078587562567135</v>
      </c>
      <c r="Q545" s="45">
        <f t="shared" si="260"/>
        <v>1.217680324285247</v>
      </c>
      <c r="R545" s="4">
        <f t="shared" si="261"/>
        <v>591086.1492424747</v>
      </c>
      <c r="S545">
        <f t="shared" si="242"/>
        <v>5.9108614924247471E-4</v>
      </c>
      <c r="T545" s="44">
        <f t="shared" si="243"/>
        <v>1.4853102452395291E-3</v>
      </c>
      <c r="U545" s="45">
        <f t="shared" si="262"/>
        <v>1.0551183307052794</v>
      </c>
      <c r="V545" s="45">
        <f t="shared" si="263"/>
        <v>1.5769218291772165</v>
      </c>
      <c r="W545" s="45">
        <f t="shared" si="264"/>
        <v>1.5613431951840087</v>
      </c>
      <c r="X545" s="45">
        <f t="shared" si="265"/>
        <v>1.5578633993207802E-2</v>
      </c>
      <c r="Y545" s="45">
        <f t="shared" si="269"/>
        <v>2.923212881670607E-2</v>
      </c>
      <c r="Z545" s="10">
        <f t="shared" si="266"/>
        <v>19.680823525183413</v>
      </c>
      <c r="AA545">
        <f t="shared" si="244"/>
        <v>6367172.3915067185</v>
      </c>
      <c r="AB545" s="10">
        <f t="shared" si="245"/>
        <v>6.3671723915067187</v>
      </c>
      <c r="AC545" s="10">
        <f t="shared" si="246"/>
        <v>6.2661723915067187</v>
      </c>
      <c r="AD545" s="3">
        <f t="shared" si="247"/>
        <v>908.79947665072064</v>
      </c>
      <c r="AI545" s="100">
        <f t="shared" si="248"/>
        <v>1.5613431951840087</v>
      </c>
    </row>
    <row r="546" spans="2:35">
      <c r="B546" s="39">
        <f t="shared" si="249"/>
        <v>518</v>
      </c>
      <c r="C546" s="45">
        <f t="shared" si="250"/>
        <v>15.217026378895984</v>
      </c>
      <c r="D546" s="10">
        <f t="shared" si="251"/>
        <v>9.2829736211042473</v>
      </c>
      <c r="E546" s="40">
        <f t="shared" si="252"/>
        <v>50.434052757791505</v>
      </c>
      <c r="F546" s="40">
        <f t="shared" si="253"/>
        <v>69</v>
      </c>
      <c r="G546" s="3">
        <f t="shared" si="254"/>
        <v>338.26378896883398</v>
      </c>
      <c r="H546" s="3">
        <f t="shared" si="255"/>
        <v>221.47275588995251</v>
      </c>
      <c r="I546">
        <f t="shared" si="240"/>
        <v>2.214727558899525E-4</v>
      </c>
      <c r="J546" s="4">
        <f t="shared" si="256"/>
        <v>2676.3178159727095</v>
      </c>
      <c r="K546" s="40">
        <f t="shared" si="257"/>
        <v>12.084185276958145</v>
      </c>
      <c r="L546" s="40">
        <f t="shared" si="241"/>
        <v>0</v>
      </c>
      <c r="M546" s="10">
        <f t="shared" si="258"/>
        <v>6.3671723915067187</v>
      </c>
      <c r="N546" s="10">
        <f t="shared" si="267"/>
        <v>17.20418640980624</v>
      </c>
      <c r="O546" s="10">
        <f t="shared" si="268"/>
        <v>-0.14810000000000001</v>
      </c>
      <c r="P546" s="10">
        <f t="shared" si="259"/>
        <v>13.078852646970006</v>
      </c>
      <c r="Q546" s="45">
        <f t="shared" si="260"/>
        <v>1.2199264310037721</v>
      </c>
      <c r="R546" s="4">
        <f t="shared" si="261"/>
        <v>589102.23720918829</v>
      </c>
      <c r="S546">
        <f t="shared" si="242"/>
        <v>5.8910223720918826E-4</v>
      </c>
      <c r="T546" s="44">
        <f t="shared" si="243"/>
        <v>1.4872941572728155E-3</v>
      </c>
      <c r="U546" s="45">
        <f t="shared" si="262"/>
        <v>1.0515769485302617</v>
      </c>
      <c r="V546" s="45">
        <f t="shared" si="263"/>
        <v>1.5766758301418069</v>
      </c>
      <c r="W546" s="45">
        <f t="shared" si="264"/>
        <v>1.5611260871771917</v>
      </c>
      <c r="X546" s="45">
        <f t="shared" si="265"/>
        <v>1.5549742964615199E-2</v>
      </c>
      <c r="Y546" s="45">
        <f t="shared" si="269"/>
        <v>2.9267055198850232E-2</v>
      </c>
      <c r="Z546" s="10">
        <f t="shared" si="266"/>
        <v>19.678054308043485</v>
      </c>
      <c r="AA546">
        <f t="shared" si="244"/>
        <v>6366290.7011665711</v>
      </c>
      <c r="AB546" s="10">
        <f t="shared" si="245"/>
        <v>6.3662907011665713</v>
      </c>
      <c r="AC546" s="10">
        <f t="shared" si="246"/>
        <v>6.2652907011665713</v>
      </c>
      <c r="AD546" s="3">
        <f t="shared" si="247"/>
        <v>908.67160277977825</v>
      </c>
      <c r="AI546" s="100">
        <f t="shared" si="248"/>
        <v>1.5611260871771917</v>
      </c>
    </row>
    <row r="547" spans="2:35">
      <c r="B547" s="39">
        <f t="shared" si="249"/>
        <v>519</v>
      </c>
      <c r="C547" s="45">
        <f t="shared" si="250"/>
        <v>15.246402877696941</v>
      </c>
      <c r="D547" s="10">
        <f t="shared" si="251"/>
        <v>9.2535971223032902</v>
      </c>
      <c r="E547" s="40">
        <f t="shared" si="252"/>
        <v>50.49280575539342</v>
      </c>
      <c r="F547" s="40">
        <f t="shared" si="253"/>
        <v>69</v>
      </c>
      <c r="G547" s="3">
        <f t="shared" si="254"/>
        <v>338.02877697842632</v>
      </c>
      <c r="H547" s="3">
        <f t="shared" si="255"/>
        <v>221.47275588995251</v>
      </c>
      <c r="I547">
        <f t="shared" si="240"/>
        <v>2.214727558899525E-4</v>
      </c>
      <c r="J547" s="4">
        <f t="shared" si="256"/>
        <v>2680.9750350331078</v>
      </c>
      <c r="K547" s="40">
        <f t="shared" si="257"/>
        <v>12.105213683100851</v>
      </c>
      <c r="L547" s="40">
        <f t="shared" si="241"/>
        <v>0</v>
      </c>
      <c r="M547" s="10">
        <f t="shared" si="258"/>
        <v>6.3662907011665713</v>
      </c>
      <c r="N547" s="10">
        <f t="shared" si="267"/>
        <v>17.20418640980624</v>
      </c>
      <c r="O547" s="10">
        <f t="shared" si="268"/>
        <v>-0.14810000000000001</v>
      </c>
      <c r="P547" s="10">
        <f t="shared" si="259"/>
        <v>13.07912089015934</v>
      </c>
      <c r="Q547" s="45">
        <f t="shared" si="260"/>
        <v>1.2221724916562935</v>
      </c>
      <c r="R547" s="4">
        <f t="shared" si="261"/>
        <v>587118.67875373701</v>
      </c>
      <c r="S547">
        <f t="shared" si="242"/>
        <v>5.87118678753737E-4</v>
      </c>
      <c r="T547" s="44">
        <f t="shared" si="243"/>
        <v>1.4892777157282668E-3</v>
      </c>
      <c r="U547" s="45">
        <f t="shared" si="262"/>
        <v>1.0480361975093584</v>
      </c>
      <c r="V547" s="45">
        <f t="shared" si="263"/>
        <v>1.5764271623424364</v>
      </c>
      <c r="W547" s="45">
        <f t="shared" si="264"/>
        <v>1.5609064268000401</v>
      </c>
      <c r="X547" s="45">
        <f t="shared" si="265"/>
        <v>1.5520735542396302E-2</v>
      </c>
      <c r="Y547" s="45">
        <f t="shared" si="269"/>
        <v>2.9301915712250198E-2</v>
      </c>
      <c r="Z547" s="10">
        <f t="shared" si="266"/>
        <v>19.675252911389574</v>
      </c>
      <c r="AA547">
        <f t="shared" si="244"/>
        <v>6365398.7651991593</v>
      </c>
      <c r="AB547" s="10">
        <f t="shared" si="245"/>
        <v>6.365398765199159</v>
      </c>
      <c r="AC547" s="10">
        <f t="shared" si="246"/>
        <v>6.2643987651991591</v>
      </c>
      <c r="AD547" s="3">
        <f t="shared" si="247"/>
        <v>908.54224295854374</v>
      </c>
      <c r="AI547" s="100">
        <f t="shared" si="248"/>
        <v>1.5609064268000401</v>
      </c>
    </row>
    <row r="548" spans="2:35">
      <c r="B548" s="39">
        <f t="shared" si="249"/>
        <v>520</v>
      </c>
      <c r="C548" s="45">
        <f t="shared" si="250"/>
        <v>15.275779376497898</v>
      </c>
      <c r="D548" s="10">
        <f t="shared" si="251"/>
        <v>9.2242206235023332</v>
      </c>
      <c r="E548" s="40">
        <f t="shared" si="252"/>
        <v>50.551558752995334</v>
      </c>
      <c r="F548" s="40">
        <f t="shared" si="253"/>
        <v>69</v>
      </c>
      <c r="G548" s="3">
        <f t="shared" si="254"/>
        <v>337.79376498801867</v>
      </c>
      <c r="H548" s="3">
        <f t="shared" si="255"/>
        <v>221.47275588995251</v>
      </c>
      <c r="I548">
        <f t="shared" si="240"/>
        <v>2.214727558899525E-4</v>
      </c>
      <c r="J548" s="4">
        <f t="shared" si="256"/>
        <v>2685.6376763484805</v>
      </c>
      <c r="K548" s="40">
        <f t="shared" si="257"/>
        <v>12.126266571961319</v>
      </c>
      <c r="L548" s="40">
        <f t="shared" si="241"/>
        <v>0</v>
      </c>
      <c r="M548" s="10">
        <f t="shared" si="258"/>
        <v>6.365398765199159</v>
      </c>
      <c r="N548" s="10">
        <f t="shared" si="267"/>
        <v>17.20418640980624</v>
      </c>
      <c r="O548" s="10">
        <f t="shared" si="268"/>
        <v>-0.14810000000000001</v>
      </c>
      <c r="P548" s="10">
        <f t="shared" si="259"/>
        <v>13.079392293853518</v>
      </c>
      <c r="Q548" s="45">
        <f t="shared" si="260"/>
        <v>1.2244185057019739</v>
      </c>
      <c r="R548" s="4">
        <f t="shared" si="261"/>
        <v>585135.47769900563</v>
      </c>
      <c r="S548">
        <f t="shared" si="242"/>
        <v>5.8513547769900565E-4</v>
      </c>
      <c r="T548" s="44">
        <f t="shared" si="243"/>
        <v>1.4912609167829982E-3</v>
      </c>
      <c r="U548" s="45">
        <f t="shared" si="262"/>
        <v>1.04449608446661</v>
      </c>
      <c r="V548" s="45">
        <f t="shared" si="263"/>
        <v>1.5761758255950684</v>
      </c>
      <c r="W548" s="45">
        <f t="shared" si="264"/>
        <v>1.5606842138732611</v>
      </c>
      <c r="X548" s="45">
        <f t="shared" si="265"/>
        <v>1.5491611721807352E-2</v>
      </c>
      <c r="Y548" s="45">
        <f t="shared" si="269"/>
        <v>2.9336710089767605E-2</v>
      </c>
      <c r="Z548" s="10">
        <f t="shared" si="266"/>
        <v>19.672419332931902</v>
      </c>
      <c r="AA548">
        <f t="shared" si="244"/>
        <v>6364496.5828754418</v>
      </c>
      <c r="AB548" s="10">
        <f t="shared" si="245"/>
        <v>6.3644965828754421</v>
      </c>
      <c r="AC548" s="10">
        <f t="shared" si="246"/>
        <v>6.2634965828754421</v>
      </c>
      <c r="AD548" s="3">
        <f t="shared" si="247"/>
        <v>908.4113970812823</v>
      </c>
      <c r="AI548" s="100">
        <f t="shared" si="248"/>
        <v>1.5606842138732611</v>
      </c>
    </row>
    <row r="549" spans="2:35">
      <c r="B549" s="39">
        <f t="shared" si="249"/>
        <v>521</v>
      </c>
      <c r="C549" s="45">
        <f t="shared" si="250"/>
        <v>15.305155875298855</v>
      </c>
      <c r="D549" s="10">
        <f t="shared" si="251"/>
        <v>9.1948441247013761</v>
      </c>
      <c r="E549" s="40">
        <f t="shared" si="252"/>
        <v>50.610311750597248</v>
      </c>
      <c r="F549" s="40">
        <f t="shared" si="253"/>
        <v>69</v>
      </c>
      <c r="G549" s="3">
        <f t="shared" si="254"/>
        <v>337.55875299761101</v>
      </c>
      <c r="H549" s="3">
        <f t="shared" si="255"/>
        <v>221.47275588995251</v>
      </c>
      <c r="I549">
        <f t="shared" si="240"/>
        <v>2.214727558899525E-4</v>
      </c>
      <c r="J549" s="4">
        <f t="shared" si="256"/>
        <v>2690.3057399188269</v>
      </c>
      <c r="K549" s="40">
        <f t="shared" si="257"/>
        <v>12.147343943539546</v>
      </c>
      <c r="L549" s="40">
        <f t="shared" si="241"/>
        <v>0</v>
      </c>
      <c r="M549" s="10">
        <f t="shared" si="258"/>
        <v>6.3644965828754421</v>
      </c>
      <c r="N549" s="10">
        <f t="shared" si="267"/>
        <v>17.20418640980624</v>
      </c>
      <c r="O549" s="10">
        <f t="shared" si="268"/>
        <v>-0.14810000000000001</v>
      </c>
      <c r="P549" s="10">
        <f t="shared" si="259"/>
        <v>13.079666859792102</v>
      </c>
      <c r="Q549" s="45">
        <f t="shared" si="260"/>
        <v>1.2266644725997442</v>
      </c>
      <c r="R549" s="4">
        <f t="shared" si="261"/>
        <v>583152.63786787889</v>
      </c>
      <c r="S549">
        <f t="shared" si="242"/>
        <v>5.8315263786787894E-4</v>
      </c>
      <c r="T549" s="44">
        <f t="shared" si="243"/>
        <v>1.4932437566141249E-3</v>
      </c>
      <c r="U549" s="45">
        <f t="shared" si="262"/>
        <v>1.0409566162260571</v>
      </c>
      <c r="V549" s="45">
        <f t="shared" si="263"/>
        <v>1.575921819714581</v>
      </c>
      <c r="W549" s="45">
        <f t="shared" si="264"/>
        <v>1.5604594482152248</v>
      </c>
      <c r="X549" s="45">
        <f t="shared" si="265"/>
        <v>1.5462371499356253E-2</v>
      </c>
      <c r="Y549" s="45">
        <f t="shared" si="269"/>
        <v>2.9371438064316188E-2</v>
      </c>
      <c r="Z549" s="10">
        <f t="shared" si="266"/>
        <v>19.669553570352665</v>
      </c>
      <c r="AA549">
        <f t="shared" si="244"/>
        <v>6363584.1534574516</v>
      </c>
      <c r="AB549" s="10">
        <f t="shared" si="245"/>
        <v>6.3635841534574515</v>
      </c>
      <c r="AC549" s="10">
        <f t="shared" si="246"/>
        <v>6.2625841534574516</v>
      </c>
      <c r="AD549" s="3">
        <f t="shared" si="247"/>
        <v>908.27906504096472</v>
      </c>
      <c r="AI549" s="100">
        <f t="shared" si="248"/>
        <v>1.5604594482152248</v>
      </c>
    </row>
    <row r="550" spans="2:35">
      <c r="B550" s="39">
        <f t="shared" si="249"/>
        <v>522</v>
      </c>
      <c r="C550" s="45">
        <f t="shared" si="250"/>
        <v>15.334532374099812</v>
      </c>
      <c r="D550" s="10">
        <f t="shared" si="251"/>
        <v>9.1654676259004191</v>
      </c>
      <c r="E550" s="40">
        <f t="shared" si="252"/>
        <v>50.669064748199162</v>
      </c>
      <c r="F550" s="40">
        <f t="shared" si="253"/>
        <v>69</v>
      </c>
      <c r="G550" s="3">
        <f t="shared" si="254"/>
        <v>337.32374100720335</v>
      </c>
      <c r="H550" s="3">
        <f t="shared" si="255"/>
        <v>221.47275588995251</v>
      </c>
      <c r="I550">
        <f t="shared" si="240"/>
        <v>2.214727558899525E-4</v>
      </c>
      <c r="J550" s="4">
        <f t="shared" si="256"/>
        <v>2694.9792257441472</v>
      </c>
      <c r="K550" s="40">
        <f t="shared" si="257"/>
        <v>12.168445797835533</v>
      </c>
      <c r="L550" s="40">
        <f t="shared" si="241"/>
        <v>0</v>
      </c>
      <c r="M550" s="10">
        <f t="shared" si="258"/>
        <v>6.3635841534574515</v>
      </c>
      <c r="N550" s="10">
        <f t="shared" si="267"/>
        <v>17.20418640980624</v>
      </c>
      <c r="O550" s="10">
        <f t="shared" si="268"/>
        <v>-0.14810000000000001</v>
      </c>
      <c r="P550" s="10">
        <f t="shared" si="259"/>
        <v>13.07994458973571</v>
      </c>
      <c r="Q550" s="45">
        <f t="shared" si="260"/>
        <v>1.228910391808302</v>
      </c>
      <c r="R550" s="4">
        <f t="shared" si="261"/>
        <v>581170.1630832419</v>
      </c>
      <c r="S550">
        <f t="shared" si="242"/>
        <v>5.8117016308324189E-4</v>
      </c>
      <c r="T550" s="44">
        <f t="shared" si="243"/>
        <v>1.4952262313987618E-3</v>
      </c>
      <c r="U550" s="45">
        <f t="shared" si="262"/>
        <v>1.0374177996117411</v>
      </c>
      <c r="V550" s="45">
        <f t="shared" si="263"/>
        <v>1.5756651445126839</v>
      </c>
      <c r="W550" s="45">
        <f t="shared" si="264"/>
        <v>1.5602321296420776</v>
      </c>
      <c r="X550" s="45">
        <f t="shared" si="265"/>
        <v>1.5433014870606332E-2</v>
      </c>
      <c r="Y550" s="45">
        <f t="shared" si="269"/>
        <v>2.9406099368860041E-2</v>
      </c>
      <c r="Z550" s="10">
        <f t="shared" si="266"/>
        <v>19.666655621304258</v>
      </c>
      <c r="AA550">
        <f t="shared" si="244"/>
        <v>6362661.4761977391</v>
      </c>
      <c r="AB550" s="10">
        <f t="shared" si="245"/>
        <v>6.3626614761977391</v>
      </c>
      <c r="AC550" s="10">
        <f t="shared" si="246"/>
        <v>6.2616614761977392</v>
      </c>
      <c r="AD550" s="3">
        <f t="shared" si="247"/>
        <v>908.14524672918628</v>
      </c>
      <c r="AI550" s="100">
        <f t="shared" si="248"/>
        <v>1.5602321296420776</v>
      </c>
    </row>
    <row r="551" spans="2:35">
      <c r="B551" s="39">
        <f t="shared" si="249"/>
        <v>523</v>
      </c>
      <c r="C551" s="45">
        <f t="shared" si="250"/>
        <v>15.363908872900769</v>
      </c>
      <c r="D551" s="10">
        <f t="shared" si="251"/>
        <v>9.136091127099462</v>
      </c>
      <c r="E551" s="40">
        <f t="shared" si="252"/>
        <v>50.727817745801076</v>
      </c>
      <c r="F551" s="40">
        <f t="shared" si="253"/>
        <v>69</v>
      </c>
      <c r="G551" s="3">
        <f t="shared" si="254"/>
        <v>337.0887290167957</v>
      </c>
      <c r="H551" s="3">
        <f t="shared" si="255"/>
        <v>221.47275588995251</v>
      </c>
      <c r="I551">
        <f t="shared" ref="I551:I614" si="270">H551/1000^2</f>
        <v>2.214727558899525E-4</v>
      </c>
      <c r="J551" s="4">
        <f t="shared" si="256"/>
        <v>2699.6581338244414</v>
      </c>
      <c r="K551" s="40">
        <f t="shared" si="257"/>
        <v>12.189572134849278</v>
      </c>
      <c r="L551" s="40">
        <f t="shared" ref="L551:L614" si="271">IF((gstar-K551)&lt;0,0,gstar-K551)</f>
        <v>0</v>
      </c>
      <c r="M551" s="10">
        <f t="shared" si="258"/>
        <v>6.3626614761977391</v>
      </c>
      <c r="N551" s="10">
        <f t="shared" si="267"/>
        <v>17.20418640980624</v>
      </c>
      <c r="O551" s="10">
        <f t="shared" si="268"/>
        <v>-0.14810000000000001</v>
      </c>
      <c r="P551" s="10">
        <f t="shared" si="259"/>
        <v>13.080225485466258</v>
      </c>
      <c r="Q551" s="45">
        <f t="shared" si="260"/>
        <v>1.2311562627861072</v>
      </c>
      <c r="R551" s="4">
        <f t="shared" si="261"/>
        <v>579188.05716797907</v>
      </c>
      <c r="S551">
        <f t="shared" ref="S551:S614" si="272">R551/1000^3</f>
        <v>5.7918805716797902E-4</v>
      </c>
      <c r="T551" s="44">
        <f t="shared" ref="T551:T614" si="273">(vc/1000^3-S551)</f>
        <v>1.4972083373140247E-3</v>
      </c>
      <c r="U551" s="45">
        <f t="shared" si="262"/>
        <v>1.0338796414477009</v>
      </c>
      <c r="V551" s="45">
        <f t="shared" si="263"/>
        <v>1.5754057998014328</v>
      </c>
      <c r="W551" s="45">
        <f t="shared" si="264"/>
        <v>1.5600022579676029</v>
      </c>
      <c r="X551" s="45">
        <f t="shared" si="265"/>
        <v>1.5403541833829859E-2</v>
      </c>
      <c r="Y551" s="45">
        <f t="shared" si="269"/>
        <v>2.944069373642005E-2</v>
      </c>
      <c r="Z551" s="10">
        <f t="shared" si="266"/>
        <v>19.663725483412904</v>
      </c>
      <c r="AA551">
        <f t="shared" ref="AA551:AA614" si="274">Z551*rat*to+patm*1000000</f>
        <v>6361728.5503405146</v>
      </c>
      <c r="AB551" s="10">
        <f t="shared" ref="AB551:AB614" si="275">AA551/1000000</f>
        <v>6.3617285503405148</v>
      </c>
      <c r="AC551" s="10">
        <f t="shared" ref="AC551:AC614" si="276">AB551-patm</f>
        <v>6.2607285503405148</v>
      </c>
      <c r="AD551" s="3">
        <f t="shared" ref="AD551:AD614" si="277">AC551*1000000/6895</f>
        <v>908.00994203633275</v>
      </c>
      <c r="AI551" s="100">
        <f t="shared" ref="AI551:AI614" si="278">($M551-patm)*1000000*$I551/SQRT(rat*to)*SQRT(k)*(2/(k+1))^((k+1)/2/(k-1))</f>
        <v>1.5600022579676029</v>
      </c>
    </row>
    <row r="552" spans="2:35">
      <c r="B552" s="39">
        <f t="shared" ref="B552:B615" si="279">1+B551</f>
        <v>524</v>
      </c>
      <c r="C552" s="45">
        <f t="shared" ref="C552:C615" si="280">xincp+C551</f>
        <v>15.393285371701726</v>
      </c>
      <c r="D552" s="10">
        <f t="shared" ref="D552:D615" si="281">(F552-E552)/2</f>
        <v>9.106714628298505</v>
      </c>
      <c r="E552" s="40">
        <f t="shared" ref="E552:E615" si="282">E551+ci*2*xincp</f>
        <v>50.78657074340299</v>
      </c>
      <c r="F552" s="40">
        <f t="shared" ref="F552:F615" si="283">F551-osi*2*xincp</f>
        <v>69</v>
      </c>
      <c r="G552" s="3">
        <f t="shared" ref="G552:G615" si="284">G551-ei*n*2*xincp</f>
        <v>336.85371702638804</v>
      </c>
      <c r="H552" s="3">
        <f t="shared" ref="H552:H615" si="285">PI()/4*(dto+erate*(two-D552)/two)^2</f>
        <v>221.47275588995251</v>
      </c>
      <c r="I552">
        <f t="shared" si="270"/>
        <v>2.214727558899525E-4</v>
      </c>
      <c r="J552" s="4">
        <f t="shared" ref="J552:J615" si="286">PI()/4*dc^2-PI()/4*(F552^2-E552^2)</f>
        <v>2704.3424641597098</v>
      </c>
      <c r="K552" s="40">
        <f t="shared" ref="K552:K615" si="287">J552/H552</f>
        <v>12.210722954580785</v>
      </c>
      <c r="L552" s="40">
        <f t="shared" si="271"/>
        <v>0</v>
      </c>
      <c r="M552" s="10">
        <f t="shared" ref="M552:M615" si="288">AB551</f>
        <v>6.3617285503405148</v>
      </c>
      <c r="N552" s="10">
        <f t="shared" si="267"/>
        <v>17.20418640980624</v>
      </c>
      <c r="O552" s="10">
        <f t="shared" si="268"/>
        <v>-0.14810000000000001</v>
      </c>
      <c r="P552" s="10">
        <f t="shared" ref="P552:P615" si="289">(1+kv*L552)*N552*M552^O552</f>
        <v>13.080509548786599</v>
      </c>
      <c r="Q552" s="45">
        <f t="shared" ref="Q552:Q615" si="290">xincp/P552+Q551</f>
        <v>1.2334020849913807</v>
      </c>
      <c r="R552" s="4">
        <f t="shared" ref="R552:R615" si="291">PI()/4*(F552^2-E552^2)*G552</f>
        <v>577206.32394497539</v>
      </c>
      <c r="S552">
        <f t="shared" si="272"/>
        <v>5.7720632394497537E-4</v>
      </c>
      <c r="T552" s="44">
        <f t="shared" si="273"/>
        <v>1.4991900705370285E-3</v>
      </c>
      <c r="U552" s="45">
        <f t="shared" ref="U552:U615" si="292">rhopgrain*R552/1000^2</f>
        <v>1.0303421485579782</v>
      </c>
      <c r="V552" s="45">
        <f t="shared" ref="V552:V615" si="293">(U551-U552)/(Q552-Q551)</f>
        <v>1.5751437853879247</v>
      </c>
      <c r="W552" s="45">
        <f t="shared" ref="W552:W615" si="294">IF(V552&lt;AI552,IF(AB551&gt;pbd,AI552,0),AI552)</f>
        <v>1.5597698330035068</v>
      </c>
      <c r="X552" s="45">
        <f t="shared" ref="X552:X615" si="295">V552-W552</f>
        <v>1.5373952384417855E-2</v>
      </c>
      <c r="Y552" s="45">
        <f t="shared" si="269"/>
        <v>2.9475220900067794E-2</v>
      </c>
      <c r="Z552" s="10">
        <f t="shared" ref="Z552:Z615" si="296">Y552/T552</f>
        <v>19.660763154273962</v>
      </c>
      <c r="AA552">
        <f t="shared" si="274"/>
        <v>6360785.3751201667</v>
      </c>
      <c r="AB552" s="10">
        <f t="shared" si="275"/>
        <v>6.3607853751201668</v>
      </c>
      <c r="AC552" s="10">
        <f t="shared" si="276"/>
        <v>6.2597853751201669</v>
      </c>
      <c r="AD552" s="3">
        <f t="shared" si="277"/>
        <v>907.87315085136572</v>
      </c>
      <c r="AI552" s="100">
        <f t="shared" si="278"/>
        <v>1.5597698330035068</v>
      </c>
    </row>
    <row r="553" spans="2:35">
      <c r="B553" s="39">
        <f t="shared" si="279"/>
        <v>525</v>
      </c>
      <c r="C553" s="45">
        <f t="shared" si="280"/>
        <v>15.422661870502683</v>
      </c>
      <c r="D553" s="10">
        <f t="shared" si="281"/>
        <v>9.0773381294975479</v>
      </c>
      <c r="E553" s="40">
        <f t="shared" si="282"/>
        <v>50.845323741004904</v>
      </c>
      <c r="F553" s="40">
        <f t="shared" si="283"/>
        <v>69</v>
      </c>
      <c r="G553" s="3">
        <f t="shared" si="284"/>
        <v>336.61870503598038</v>
      </c>
      <c r="H553" s="3">
        <f t="shared" si="285"/>
        <v>221.47275588995251</v>
      </c>
      <c r="I553">
        <f t="shared" si="270"/>
        <v>2.214727558899525E-4</v>
      </c>
      <c r="J553" s="4">
        <f t="shared" si="286"/>
        <v>2709.0322167499517</v>
      </c>
      <c r="K553" s="40">
        <f t="shared" si="287"/>
        <v>12.23189825703005</v>
      </c>
      <c r="L553" s="40">
        <f t="shared" si="271"/>
        <v>0</v>
      </c>
      <c r="M553" s="10">
        <f t="shared" si="288"/>
        <v>6.3607853751201668</v>
      </c>
      <c r="N553" s="10">
        <f t="shared" si="267"/>
        <v>17.20418640980624</v>
      </c>
      <c r="O553" s="10">
        <f t="shared" si="268"/>
        <v>-0.14810000000000001</v>
      </c>
      <c r="P553" s="10">
        <f t="shared" si="289"/>
        <v>13.080796781521041</v>
      </c>
      <c r="Q553" s="45">
        <f t="shared" si="290"/>
        <v>1.2356478578821009</v>
      </c>
      <c r="R553" s="4">
        <f t="shared" si="291"/>
        <v>575224.96723711584</v>
      </c>
      <c r="S553">
        <f t="shared" si="272"/>
        <v>5.7522496723711586E-4</v>
      </c>
      <c r="T553" s="44">
        <f t="shared" si="273"/>
        <v>1.5011714272448878E-3</v>
      </c>
      <c r="U553" s="45">
        <f t="shared" si="292"/>
        <v>1.0268053277666136</v>
      </c>
      <c r="V553" s="45">
        <f t="shared" si="293"/>
        <v>1.5748791010788707</v>
      </c>
      <c r="W553" s="45">
        <f t="shared" si="294"/>
        <v>1.5595348545590484</v>
      </c>
      <c r="X553" s="45">
        <f t="shared" si="295"/>
        <v>1.5344246519822358E-2</v>
      </c>
      <c r="Y553" s="45">
        <f t="shared" si="269"/>
        <v>2.9509680592930538E-2</v>
      </c>
      <c r="Z553" s="10">
        <f t="shared" si="296"/>
        <v>19.657768631454633</v>
      </c>
      <c r="AA553">
        <f t="shared" si="274"/>
        <v>6359831.9497621171</v>
      </c>
      <c r="AB553" s="10">
        <f t="shared" si="275"/>
        <v>6.3598319497621167</v>
      </c>
      <c r="AC553" s="10">
        <f t="shared" si="276"/>
        <v>6.2588319497621168</v>
      </c>
      <c r="AD553" s="3">
        <f t="shared" si="277"/>
        <v>907.7348730619459</v>
      </c>
      <c r="AI553" s="100">
        <f t="shared" si="278"/>
        <v>1.5595348545590484</v>
      </c>
    </row>
    <row r="554" spans="2:35">
      <c r="B554" s="39">
        <f t="shared" si="279"/>
        <v>526</v>
      </c>
      <c r="C554" s="45">
        <f t="shared" si="280"/>
        <v>15.45203836930364</v>
      </c>
      <c r="D554" s="10">
        <f t="shared" si="281"/>
        <v>9.0479616306965909</v>
      </c>
      <c r="E554" s="40">
        <f t="shared" si="282"/>
        <v>50.904076738606818</v>
      </c>
      <c r="F554" s="40">
        <f t="shared" si="283"/>
        <v>69</v>
      </c>
      <c r="G554" s="3">
        <f t="shared" si="284"/>
        <v>336.38369304557273</v>
      </c>
      <c r="H554" s="3">
        <f t="shared" si="285"/>
        <v>221.47275588995251</v>
      </c>
      <c r="I554">
        <f t="shared" si="270"/>
        <v>2.214727558899525E-4</v>
      </c>
      <c r="J554" s="4">
        <f t="shared" si="286"/>
        <v>2713.7273915951678</v>
      </c>
      <c r="K554" s="40">
        <f t="shared" si="287"/>
        <v>12.253098042197076</v>
      </c>
      <c r="L554" s="40">
        <f t="shared" si="271"/>
        <v>0</v>
      </c>
      <c r="M554" s="10">
        <f t="shared" si="288"/>
        <v>6.3598319497621167</v>
      </c>
      <c r="N554" s="10">
        <f t="shared" si="267"/>
        <v>17.20418640980624</v>
      </c>
      <c r="O554" s="10">
        <f t="shared" si="268"/>
        <v>-0.14810000000000001</v>
      </c>
      <c r="P554" s="10">
        <f t="shared" si="289"/>
        <v>13.081087185515115</v>
      </c>
      <c r="Q554" s="45">
        <f t="shared" si="290"/>
        <v>1.2378935809160003</v>
      </c>
      <c r="R554" s="4">
        <f t="shared" si="291"/>
        <v>573243.99086728494</v>
      </c>
      <c r="S554">
        <f t="shared" si="272"/>
        <v>5.732439908672849E-4</v>
      </c>
      <c r="T554" s="44">
        <f t="shared" si="273"/>
        <v>1.5031524036147189E-3</v>
      </c>
      <c r="U554" s="45">
        <f t="shared" si="292"/>
        <v>1.023269185897647</v>
      </c>
      <c r="V554" s="45">
        <f t="shared" si="293"/>
        <v>1.5746117466793776</v>
      </c>
      <c r="W554" s="45">
        <f t="shared" si="294"/>
        <v>1.5592973224412527</v>
      </c>
      <c r="X554" s="45">
        <f t="shared" si="295"/>
        <v>1.5314424238124902E-2</v>
      </c>
      <c r="Y554" s="45">
        <f t="shared" si="269"/>
        <v>2.9544072548193002E-2</v>
      </c>
      <c r="Z554" s="10">
        <f t="shared" si="296"/>
        <v>19.654741912494458</v>
      </c>
      <c r="AA554">
        <f t="shared" si="274"/>
        <v>6358868.2734829802</v>
      </c>
      <c r="AB554" s="10">
        <f t="shared" si="275"/>
        <v>6.3588682734829804</v>
      </c>
      <c r="AC554" s="10">
        <f t="shared" si="276"/>
        <v>6.2578682734829805</v>
      </c>
      <c r="AD554" s="3">
        <f t="shared" si="277"/>
        <v>907.59510855445683</v>
      </c>
      <c r="AI554" s="100">
        <f t="shared" si="278"/>
        <v>1.5592973224412527</v>
      </c>
    </row>
    <row r="555" spans="2:35">
      <c r="B555" s="39">
        <f t="shared" si="279"/>
        <v>527</v>
      </c>
      <c r="C555" s="45">
        <f t="shared" si="280"/>
        <v>15.481414868104597</v>
      </c>
      <c r="D555" s="10">
        <f t="shared" si="281"/>
        <v>9.0185851318956338</v>
      </c>
      <c r="E555" s="40">
        <f t="shared" si="282"/>
        <v>50.962829736208732</v>
      </c>
      <c r="F555" s="40">
        <f t="shared" si="283"/>
        <v>69</v>
      </c>
      <c r="G555" s="3">
        <f t="shared" si="284"/>
        <v>336.14868105516507</v>
      </c>
      <c r="H555" s="3">
        <f t="shared" si="285"/>
        <v>221.47275588995251</v>
      </c>
      <c r="I555">
        <f t="shared" si="270"/>
        <v>2.214727558899525E-4</v>
      </c>
      <c r="J555" s="4">
        <f t="shared" si="286"/>
        <v>2718.4279886953582</v>
      </c>
      <c r="K555" s="40">
        <f t="shared" si="287"/>
        <v>12.274322310081862</v>
      </c>
      <c r="L555" s="40">
        <f t="shared" si="271"/>
        <v>0</v>
      </c>
      <c r="M555" s="10">
        <f t="shared" si="288"/>
        <v>6.3588682734829804</v>
      </c>
      <c r="N555" s="10">
        <f t="shared" si="267"/>
        <v>17.20418640980624</v>
      </c>
      <c r="O555" s="10">
        <f t="shared" si="268"/>
        <v>-0.14810000000000001</v>
      </c>
      <c r="P555" s="10">
        <f t="shared" si="289"/>
        <v>13.081380762635552</v>
      </c>
      <c r="Q555" s="45">
        <f t="shared" si="290"/>
        <v>1.240139253550564</v>
      </c>
      <c r="R555" s="4">
        <f t="shared" si="291"/>
        <v>571263.39865836746</v>
      </c>
      <c r="S555">
        <f t="shared" si="272"/>
        <v>5.7126339865836741E-4</v>
      </c>
      <c r="T555" s="44">
        <f t="shared" si="273"/>
        <v>1.5051329958236364E-3</v>
      </c>
      <c r="U555" s="45">
        <f t="shared" si="292"/>
        <v>1.0197337297751188</v>
      </c>
      <c r="V555" s="45">
        <f t="shared" si="293"/>
        <v>1.574341721991555</v>
      </c>
      <c r="W555" s="45">
        <f t="shared" si="294"/>
        <v>1.5590572364549509</v>
      </c>
      <c r="X555" s="45">
        <f t="shared" si="295"/>
        <v>1.5284485536604109E-2</v>
      </c>
      <c r="Y555" s="45">
        <f t="shared" si="269"/>
        <v>2.9578396499095938E-2</v>
      </c>
      <c r="Z555" s="10">
        <f t="shared" si="296"/>
        <v>19.65168299490378</v>
      </c>
      <c r="AA555">
        <f t="shared" si="274"/>
        <v>6357894.3454900747</v>
      </c>
      <c r="AB555" s="10">
        <f t="shared" si="275"/>
        <v>6.3578943454900747</v>
      </c>
      <c r="AC555" s="10">
        <f t="shared" si="276"/>
        <v>6.2568943454900747</v>
      </c>
      <c r="AD555" s="3">
        <f t="shared" si="277"/>
        <v>907.45385721393393</v>
      </c>
      <c r="AI555" s="100">
        <f t="shared" si="278"/>
        <v>1.5590572364549509</v>
      </c>
    </row>
    <row r="556" spans="2:35">
      <c r="B556" s="39">
        <f t="shared" si="279"/>
        <v>528</v>
      </c>
      <c r="C556" s="45">
        <f t="shared" si="280"/>
        <v>15.510791366905554</v>
      </c>
      <c r="D556" s="10">
        <f t="shared" si="281"/>
        <v>8.9892086330946768</v>
      </c>
      <c r="E556" s="40">
        <f t="shared" si="282"/>
        <v>51.021582733810646</v>
      </c>
      <c r="F556" s="40">
        <f t="shared" si="283"/>
        <v>69</v>
      </c>
      <c r="G556" s="3">
        <f t="shared" si="284"/>
        <v>335.91366906475741</v>
      </c>
      <c r="H556" s="3">
        <f t="shared" si="285"/>
        <v>221.47275588995251</v>
      </c>
      <c r="I556">
        <f t="shared" si="270"/>
        <v>2.214727558899525E-4</v>
      </c>
      <c r="J556" s="4">
        <f t="shared" si="286"/>
        <v>2723.1340080505215</v>
      </c>
      <c r="K556" s="40">
        <f t="shared" si="287"/>
        <v>12.295571060684404</v>
      </c>
      <c r="L556" s="40">
        <f t="shared" si="271"/>
        <v>0</v>
      </c>
      <c r="M556" s="10">
        <f t="shared" si="288"/>
        <v>6.3578943454900747</v>
      </c>
      <c r="N556" s="10">
        <f t="shared" si="267"/>
        <v>17.20418640980624</v>
      </c>
      <c r="O556" s="10">
        <f t="shared" si="268"/>
        <v>-0.14810000000000001</v>
      </c>
      <c r="P556" s="10">
        <f t="shared" si="289"/>
        <v>13.081677514770472</v>
      </c>
      <c r="Q556" s="45">
        <f t="shared" si="290"/>
        <v>1.2423848752430258</v>
      </c>
      <c r="R556" s="4">
        <f t="shared" si="291"/>
        <v>569283.19443324849</v>
      </c>
      <c r="S556">
        <f t="shared" si="272"/>
        <v>5.6928319443324844E-4</v>
      </c>
      <c r="T556" s="44">
        <f t="shared" si="273"/>
        <v>1.5071132000487554E-3</v>
      </c>
      <c r="U556" s="45">
        <f t="shared" si="292"/>
        <v>1.0161989662230704</v>
      </c>
      <c r="V556" s="45">
        <f t="shared" si="293"/>
        <v>1.5740690268151902</v>
      </c>
      <c r="W556" s="45">
        <f t="shared" si="294"/>
        <v>1.5588145964026567</v>
      </c>
      <c r="X556" s="45">
        <f t="shared" si="295"/>
        <v>1.5254430412533493E-2</v>
      </c>
      <c r="Y556" s="45">
        <f t="shared" si="269"/>
        <v>2.9612652178936473E-2</v>
      </c>
      <c r="Z556" s="10">
        <f t="shared" si="296"/>
        <v>19.648591876163316</v>
      </c>
      <c r="AA556">
        <f t="shared" si="274"/>
        <v>6356910.1649812879</v>
      </c>
      <c r="AB556" s="10">
        <f t="shared" si="275"/>
        <v>6.3569101649812882</v>
      </c>
      <c r="AC556" s="10">
        <f t="shared" si="276"/>
        <v>6.2559101649812883</v>
      </c>
      <c r="AD556" s="3">
        <f t="shared" si="277"/>
        <v>907.31111892404465</v>
      </c>
      <c r="AI556" s="100">
        <f t="shared" si="278"/>
        <v>1.5588145964026567</v>
      </c>
    </row>
    <row r="557" spans="2:35">
      <c r="B557" s="39">
        <f t="shared" si="279"/>
        <v>529</v>
      </c>
      <c r="C557" s="45">
        <f t="shared" si="280"/>
        <v>15.540167865706511</v>
      </c>
      <c r="D557" s="10">
        <f t="shared" si="281"/>
        <v>8.9598321342937197</v>
      </c>
      <c r="E557" s="40">
        <f t="shared" si="282"/>
        <v>51.080335731412561</v>
      </c>
      <c r="F557" s="40">
        <f t="shared" si="283"/>
        <v>69</v>
      </c>
      <c r="G557" s="3">
        <f t="shared" si="284"/>
        <v>335.67865707434976</v>
      </c>
      <c r="H557" s="3">
        <f t="shared" si="285"/>
        <v>221.47275588995251</v>
      </c>
      <c r="I557">
        <f t="shared" si="270"/>
        <v>2.214727558899525E-4</v>
      </c>
      <c r="J557" s="4">
        <f t="shared" si="286"/>
        <v>2727.8454496606591</v>
      </c>
      <c r="K557" s="40">
        <f t="shared" si="287"/>
        <v>12.316844294004708</v>
      </c>
      <c r="L557" s="40">
        <f t="shared" si="271"/>
        <v>0</v>
      </c>
      <c r="M557" s="10">
        <f t="shared" si="288"/>
        <v>6.3569101649812882</v>
      </c>
      <c r="N557" s="10">
        <f t="shared" si="267"/>
        <v>17.20418640980624</v>
      </c>
      <c r="O557" s="10">
        <f t="shared" si="268"/>
        <v>-0.14810000000000001</v>
      </c>
      <c r="P557" s="10">
        <f t="shared" si="289"/>
        <v>13.081977443829475</v>
      </c>
      <c r="Q557" s="45">
        <f t="shared" si="290"/>
        <v>1.2446304454503658</v>
      </c>
      <c r="R557" s="4">
        <f t="shared" si="291"/>
        <v>567303.38201481267</v>
      </c>
      <c r="S557">
        <f t="shared" si="272"/>
        <v>5.673033820148127E-4</v>
      </c>
      <c r="T557" s="44">
        <f t="shared" si="273"/>
        <v>1.5090930124671911E-3</v>
      </c>
      <c r="U557" s="45">
        <f t="shared" si="292"/>
        <v>1.0126649020655414</v>
      </c>
      <c r="V557" s="45">
        <f t="shared" si="293"/>
        <v>1.5737936609495651</v>
      </c>
      <c r="W557" s="45">
        <f t="shared" si="294"/>
        <v>1.5585694020845369</v>
      </c>
      <c r="X557" s="45">
        <f t="shared" si="295"/>
        <v>1.5224258865028206E-2</v>
      </c>
      <c r="Y557" s="45">
        <f t="shared" si="269"/>
        <v>2.9646839321072614E-2</v>
      </c>
      <c r="Z557" s="10">
        <f t="shared" si="296"/>
        <v>19.645468553726513</v>
      </c>
      <c r="AA557">
        <f t="shared" si="274"/>
        <v>6355915.7311458215</v>
      </c>
      <c r="AB557" s="10">
        <f t="shared" si="275"/>
        <v>6.3559157311458216</v>
      </c>
      <c r="AC557" s="10">
        <f t="shared" si="276"/>
        <v>6.2549157311458217</v>
      </c>
      <c r="AD557" s="3">
        <f t="shared" si="277"/>
        <v>907.16689356719678</v>
      </c>
      <c r="AI557" s="100">
        <f t="shared" si="278"/>
        <v>1.5585694020845369</v>
      </c>
    </row>
    <row r="558" spans="2:35">
      <c r="B558" s="39">
        <f t="shared" si="279"/>
        <v>530</v>
      </c>
      <c r="C558" s="45">
        <f t="shared" si="280"/>
        <v>15.569544364507468</v>
      </c>
      <c r="D558" s="10">
        <f t="shared" si="281"/>
        <v>8.9304556354927627</v>
      </c>
      <c r="E558" s="40">
        <f t="shared" si="282"/>
        <v>51.139088729014475</v>
      </c>
      <c r="F558" s="40">
        <f t="shared" si="283"/>
        <v>69</v>
      </c>
      <c r="G558" s="3">
        <f t="shared" si="284"/>
        <v>335.4436450839421</v>
      </c>
      <c r="H558" s="3">
        <f t="shared" si="285"/>
        <v>221.47275588995251</v>
      </c>
      <c r="I558">
        <f t="shared" si="270"/>
        <v>2.214727558899525E-4</v>
      </c>
      <c r="J558" s="4">
        <f t="shared" si="286"/>
        <v>2732.5623135257711</v>
      </c>
      <c r="K558" s="40">
        <f t="shared" si="287"/>
        <v>12.338142010042773</v>
      </c>
      <c r="L558" s="40">
        <f t="shared" si="271"/>
        <v>0</v>
      </c>
      <c r="M558" s="10">
        <f t="shared" si="288"/>
        <v>6.3559157311458216</v>
      </c>
      <c r="N558" s="10">
        <f t="shared" si="267"/>
        <v>17.20418640980624</v>
      </c>
      <c r="O558" s="10">
        <f t="shared" si="268"/>
        <v>-0.14810000000000001</v>
      </c>
      <c r="P558" s="10">
        <f t="shared" si="289"/>
        <v>13.082280551743423</v>
      </c>
      <c r="Q558" s="45">
        <f t="shared" si="290"/>
        <v>1.2468759636293076</v>
      </c>
      <c r="R558" s="4">
        <f t="shared" si="291"/>
        <v>565323.96522594476</v>
      </c>
      <c r="S558">
        <f t="shared" si="272"/>
        <v>5.6532396522594481E-4</v>
      </c>
      <c r="T558" s="44">
        <f t="shared" si="273"/>
        <v>1.5110724292560591E-3</v>
      </c>
      <c r="U558" s="45">
        <f t="shared" si="292"/>
        <v>1.0091315441265727</v>
      </c>
      <c r="V558" s="45">
        <f t="shared" si="293"/>
        <v>1.5735156241904831</v>
      </c>
      <c r="W558" s="45">
        <f t="shared" si="294"/>
        <v>1.558321653298592</v>
      </c>
      <c r="X558" s="45">
        <f t="shared" si="295"/>
        <v>1.5193970891891118E-2</v>
      </c>
      <c r="Y558" s="45">
        <f t="shared" si="269"/>
        <v>2.9680957658920669E-2</v>
      </c>
      <c r="Z558" s="10">
        <f t="shared" si="296"/>
        <v>19.642313025017199</v>
      </c>
      <c r="AA558">
        <f t="shared" si="274"/>
        <v>6354911.0431634514</v>
      </c>
      <c r="AB558" s="10">
        <f t="shared" si="275"/>
        <v>6.354911043163451</v>
      </c>
      <c r="AC558" s="10">
        <f t="shared" si="276"/>
        <v>6.253911043163451</v>
      </c>
      <c r="AD558" s="3">
        <f t="shared" si="277"/>
        <v>907.02118102443092</v>
      </c>
      <c r="AI558" s="100">
        <f t="shared" si="278"/>
        <v>1.558321653298592</v>
      </c>
    </row>
    <row r="559" spans="2:35">
      <c r="B559" s="39">
        <f t="shared" si="279"/>
        <v>531</v>
      </c>
      <c r="C559" s="45">
        <f t="shared" si="280"/>
        <v>15.598920863308425</v>
      </c>
      <c r="D559" s="10">
        <f t="shared" si="281"/>
        <v>8.9010791366918056</v>
      </c>
      <c r="E559" s="40">
        <f t="shared" si="282"/>
        <v>51.197841726616389</v>
      </c>
      <c r="F559" s="40">
        <f t="shared" si="283"/>
        <v>69</v>
      </c>
      <c r="G559" s="3">
        <f t="shared" si="284"/>
        <v>335.20863309353444</v>
      </c>
      <c r="H559" s="3">
        <f t="shared" si="285"/>
        <v>221.47275588995251</v>
      </c>
      <c r="I559">
        <f t="shared" si="270"/>
        <v>2.214727558899525E-4</v>
      </c>
      <c r="J559" s="4">
        <f t="shared" si="286"/>
        <v>2737.2845996458564</v>
      </c>
      <c r="K559" s="40">
        <f t="shared" si="287"/>
        <v>12.359464208798595</v>
      </c>
      <c r="L559" s="40">
        <f t="shared" si="271"/>
        <v>0</v>
      </c>
      <c r="M559" s="10">
        <f t="shared" si="288"/>
        <v>6.354911043163451</v>
      </c>
      <c r="N559" s="10">
        <f t="shared" si="267"/>
        <v>17.20418640980624</v>
      </c>
      <c r="O559" s="10">
        <f t="shared" si="268"/>
        <v>-0.14810000000000001</v>
      </c>
      <c r="P559" s="10">
        <f t="shared" si="289"/>
        <v>13.08258684046473</v>
      </c>
      <c r="Q559" s="45">
        <f t="shared" si="290"/>
        <v>1.2491214292363155</v>
      </c>
      <c r="R559" s="4">
        <f t="shared" si="291"/>
        <v>563344.94788952952</v>
      </c>
      <c r="S559">
        <f t="shared" si="272"/>
        <v>5.6334494788952947E-4</v>
      </c>
      <c r="T559" s="44">
        <f t="shared" si="273"/>
        <v>1.5130514465924744E-3</v>
      </c>
      <c r="U559" s="45">
        <f t="shared" si="292"/>
        <v>1.0055988992302047</v>
      </c>
      <c r="V559" s="45">
        <f t="shared" si="293"/>
        <v>1.5732349163322277</v>
      </c>
      <c r="W559" s="45">
        <f t="shared" si="294"/>
        <v>1.5580713498404748</v>
      </c>
      <c r="X559" s="45">
        <f t="shared" si="295"/>
        <v>1.5163566491752878E-2</v>
      </c>
      <c r="Y559" s="45">
        <f t="shared" si="269"/>
        <v>2.9715006925957476E-2</v>
      </c>
      <c r="Z559" s="10">
        <f t="shared" si="296"/>
        <v>19.639125287430442</v>
      </c>
      <c r="AA559">
        <f t="shared" si="274"/>
        <v>6353896.1002047919</v>
      </c>
      <c r="AB559" s="10">
        <f t="shared" si="275"/>
        <v>6.3538961002047918</v>
      </c>
      <c r="AC559" s="10">
        <f t="shared" si="276"/>
        <v>6.2528961002047918</v>
      </c>
      <c r="AD559" s="3">
        <f t="shared" si="277"/>
        <v>906.87398117545933</v>
      </c>
      <c r="AI559" s="100">
        <f t="shared" si="278"/>
        <v>1.5580713498404748</v>
      </c>
    </row>
    <row r="560" spans="2:35">
      <c r="B560" s="39">
        <f t="shared" si="279"/>
        <v>532</v>
      </c>
      <c r="C560" s="45">
        <f t="shared" si="280"/>
        <v>15.628297362109382</v>
      </c>
      <c r="D560" s="10">
        <f t="shared" si="281"/>
        <v>8.8717026378908486</v>
      </c>
      <c r="E560" s="40">
        <f t="shared" si="282"/>
        <v>51.256594724218303</v>
      </c>
      <c r="F560" s="40">
        <f t="shared" si="283"/>
        <v>69</v>
      </c>
      <c r="G560" s="3">
        <f t="shared" si="284"/>
        <v>334.97362110312679</v>
      </c>
      <c r="H560" s="3">
        <f t="shared" si="285"/>
        <v>221.47275588995251</v>
      </c>
      <c r="I560">
        <f t="shared" si="270"/>
        <v>2.214727558899525E-4</v>
      </c>
      <c r="J560" s="4">
        <f t="shared" si="286"/>
        <v>2742.012308020916</v>
      </c>
      <c r="K560" s="40">
        <f t="shared" si="287"/>
        <v>12.38081089027218</v>
      </c>
      <c r="L560" s="40">
        <f t="shared" si="271"/>
        <v>0</v>
      </c>
      <c r="M560" s="10">
        <f t="shared" si="288"/>
        <v>6.3538961002047918</v>
      </c>
      <c r="N560" s="10">
        <f t="shared" si="267"/>
        <v>17.20418640980624</v>
      </c>
      <c r="O560" s="10">
        <f t="shared" si="268"/>
        <v>-0.14810000000000001</v>
      </c>
      <c r="P560" s="10">
        <f t="shared" si="289"/>
        <v>13.0828963119673</v>
      </c>
      <c r="Q560" s="45">
        <f t="shared" si="290"/>
        <v>1.2513668417275914</v>
      </c>
      <c r="R560" s="4">
        <f t="shared" si="291"/>
        <v>561366.33382845193</v>
      </c>
      <c r="S560">
        <f t="shared" si="272"/>
        <v>5.6136633382845196E-4</v>
      </c>
      <c r="T560" s="44">
        <f t="shared" si="273"/>
        <v>1.5150300606535517E-3</v>
      </c>
      <c r="U560" s="45">
        <f t="shared" si="292"/>
        <v>1.0020669742004782</v>
      </c>
      <c r="V560" s="45">
        <f t="shared" si="293"/>
        <v>1.5729515371670917</v>
      </c>
      <c r="W560" s="45">
        <f t="shared" si="294"/>
        <v>1.557818491503556</v>
      </c>
      <c r="X560" s="45">
        <f t="shared" si="295"/>
        <v>1.5133045663535682E-2</v>
      </c>
      <c r="Y560" s="45">
        <f t="shared" si="269"/>
        <v>2.9748986855721426E-2</v>
      </c>
      <c r="Z560" s="10">
        <f t="shared" si="296"/>
        <v>19.635905338332591</v>
      </c>
      <c r="AA560">
        <f t="shared" si="274"/>
        <v>6352870.9014313156</v>
      </c>
      <c r="AB560" s="10">
        <f t="shared" si="275"/>
        <v>6.3528709014313156</v>
      </c>
      <c r="AC560" s="10">
        <f t="shared" si="276"/>
        <v>6.2518709014313156</v>
      </c>
      <c r="AD560" s="3">
        <f t="shared" si="277"/>
        <v>906.72529389866793</v>
      </c>
      <c r="AI560" s="100">
        <f t="shared" si="278"/>
        <v>1.557818491503556</v>
      </c>
    </row>
    <row r="561" spans="2:35">
      <c r="B561" s="39">
        <f t="shared" si="279"/>
        <v>533</v>
      </c>
      <c r="C561" s="45">
        <f t="shared" si="280"/>
        <v>15.657673860910339</v>
      </c>
      <c r="D561" s="10">
        <f t="shared" si="281"/>
        <v>8.8423261390898915</v>
      </c>
      <c r="E561" s="40">
        <f t="shared" si="282"/>
        <v>51.315347721820217</v>
      </c>
      <c r="F561" s="40">
        <f t="shared" si="283"/>
        <v>69</v>
      </c>
      <c r="G561" s="3">
        <f t="shared" si="284"/>
        <v>334.73860911271913</v>
      </c>
      <c r="H561" s="3">
        <f t="shared" si="285"/>
        <v>221.47275588995251</v>
      </c>
      <c r="I561">
        <f t="shared" si="270"/>
        <v>2.214727558899525E-4</v>
      </c>
      <c r="J561" s="4">
        <f t="shared" si="286"/>
        <v>2746.7454386509498</v>
      </c>
      <c r="K561" s="40">
        <f t="shared" si="287"/>
        <v>12.402182054463525</v>
      </c>
      <c r="L561" s="40">
        <f t="shared" si="271"/>
        <v>0</v>
      </c>
      <c r="M561" s="10">
        <f t="shared" si="288"/>
        <v>6.3528709014313156</v>
      </c>
      <c r="N561" s="10">
        <f t="shared" si="267"/>
        <v>17.20418640980624</v>
      </c>
      <c r="O561" s="10">
        <f t="shared" si="268"/>
        <v>-0.14810000000000001</v>
      </c>
      <c r="P561" s="10">
        <f t="shared" si="289"/>
        <v>13.083208968246566</v>
      </c>
      <c r="Q561" s="45">
        <f t="shared" si="290"/>
        <v>1.253612200559072</v>
      </c>
      <c r="R561" s="4">
        <f t="shared" si="291"/>
        <v>559388.12686559663</v>
      </c>
      <c r="S561">
        <f t="shared" si="272"/>
        <v>5.5938812686559666E-4</v>
      </c>
      <c r="T561" s="44">
        <f t="shared" si="273"/>
        <v>1.5170082676164071E-3</v>
      </c>
      <c r="U561" s="45">
        <f t="shared" si="292"/>
        <v>0.99853577586143327</v>
      </c>
      <c r="V561" s="45">
        <f t="shared" si="293"/>
        <v>1.5726654864854972</v>
      </c>
      <c r="W561" s="45">
        <f t="shared" si="294"/>
        <v>1.5575630780789296</v>
      </c>
      <c r="X561" s="45">
        <f t="shared" si="295"/>
        <v>1.5102408406567625E-2</v>
      </c>
      <c r="Y561" s="45">
        <f t="shared" si="269"/>
        <v>2.978289718181374E-2</v>
      </c>
      <c r="Z561" s="10">
        <f t="shared" si="296"/>
        <v>19.63265317506146</v>
      </c>
      <c r="AA561">
        <f t="shared" si="274"/>
        <v>6351835.4459954109</v>
      </c>
      <c r="AB561" s="10">
        <f t="shared" si="275"/>
        <v>6.3518354459954107</v>
      </c>
      <c r="AC561" s="10">
        <f t="shared" si="276"/>
        <v>6.2508354459954107</v>
      </c>
      <c r="AD561" s="3">
        <f t="shared" si="277"/>
        <v>906.57511907112553</v>
      </c>
      <c r="AI561" s="100">
        <f t="shared" si="278"/>
        <v>1.5575630780789296</v>
      </c>
    </row>
    <row r="562" spans="2:35">
      <c r="B562" s="39">
        <f t="shared" si="279"/>
        <v>534</v>
      </c>
      <c r="C562" s="45">
        <f t="shared" si="280"/>
        <v>15.687050359711296</v>
      </c>
      <c r="D562" s="10">
        <f t="shared" si="281"/>
        <v>8.8129496402889345</v>
      </c>
      <c r="E562" s="40">
        <f t="shared" si="282"/>
        <v>51.374100719422131</v>
      </c>
      <c r="F562" s="40">
        <f t="shared" si="283"/>
        <v>69</v>
      </c>
      <c r="G562" s="3">
        <f t="shared" si="284"/>
        <v>334.50359712231148</v>
      </c>
      <c r="H562" s="3">
        <f t="shared" si="285"/>
        <v>221.47275588995251</v>
      </c>
      <c r="I562">
        <f t="shared" si="270"/>
        <v>2.214727558899525E-4</v>
      </c>
      <c r="J562" s="4">
        <f t="shared" si="286"/>
        <v>2751.4839915359566</v>
      </c>
      <c r="K562" s="40">
        <f t="shared" si="287"/>
        <v>12.423577701372626</v>
      </c>
      <c r="L562" s="40">
        <f t="shared" si="271"/>
        <v>0</v>
      </c>
      <c r="M562" s="10">
        <f t="shared" si="288"/>
        <v>6.3518354459954107</v>
      </c>
      <c r="N562" s="10">
        <f t="shared" si="267"/>
        <v>17.20418640980624</v>
      </c>
      <c r="O562" s="10">
        <f t="shared" si="268"/>
        <v>-0.14810000000000001</v>
      </c>
      <c r="P562" s="10">
        <f t="shared" si="289"/>
        <v>13.083524811319514</v>
      </c>
      <c r="Q562" s="45">
        <f t="shared" si="290"/>
        <v>1.255857505186426</v>
      </c>
      <c r="R562" s="4">
        <f t="shared" si="291"/>
        <v>557410.33082384861</v>
      </c>
      <c r="S562">
        <f t="shared" si="272"/>
        <v>5.5741033082384861E-4</v>
      </c>
      <c r="T562" s="44">
        <f t="shared" si="273"/>
        <v>1.5189860636581551E-3</v>
      </c>
      <c r="U562" s="45">
        <f t="shared" si="292"/>
        <v>0.99500531103711098</v>
      </c>
      <c r="V562" s="45">
        <f t="shared" si="293"/>
        <v>1.5723767640753055</v>
      </c>
      <c r="W562" s="45">
        <f t="shared" si="294"/>
        <v>1.5573051093554244</v>
      </c>
      <c r="X562" s="45">
        <f t="shared" si="295"/>
        <v>1.5071654719881034E-2</v>
      </c>
      <c r="Y562" s="45">
        <f t="shared" si="269"/>
        <v>2.9816737637898171E-2</v>
      </c>
      <c r="Z562" s="10">
        <f t="shared" si="296"/>
        <v>19.62936879492554</v>
      </c>
      <c r="AA562">
        <f t="shared" si="274"/>
        <v>6350789.7330401288</v>
      </c>
      <c r="AB562" s="10">
        <f t="shared" si="275"/>
        <v>6.3507897330401288</v>
      </c>
      <c r="AC562" s="10">
        <f t="shared" si="276"/>
        <v>6.2497897330401289</v>
      </c>
      <c r="AD562" s="3">
        <f t="shared" si="277"/>
        <v>906.42345656854661</v>
      </c>
      <c r="AI562" s="100">
        <f t="shared" si="278"/>
        <v>1.5573051093554244</v>
      </c>
    </row>
    <row r="563" spans="2:35">
      <c r="B563" s="39">
        <f t="shared" si="279"/>
        <v>535</v>
      </c>
      <c r="C563" s="45">
        <f t="shared" si="280"/>
        <v>15.716426858512254</v>
      </c>
      <c r="D563" s="10">
        <f t="shared" si="281"/>
        <v>8.7835731414879774</v>
      </c>
      <c r="E563" s="40">
        <f t="shared" si="282"/>
        <v>51.432853717024045</v>
      </c>
      <c r="F563" s="40">
        <f t="shared" si="283"/>
        <v>69</v>
      </c>
      <c r="G563" s="3">
        <f t="shared" si="284"/>
        <v>334.26858513190382</v>
      </c>
      <c r="H563" s="3">
        <f t="shared" si="285"/>
        <v>221.47275588995251</v>
      </c>
      <c r="I563">
        <f t="shared" si="270"/>
        <v>2.214727558899525E-4</v>
      </c>
      <c r="J563" s="4">
        <f t="shared" si="286"/>
        <v>2756.2279666759382</v>
      </c>
      <c r="K563" s="40">
        <f t="shared" si="287"/>
        <v>12.444997830999489</v>
      </c>
      <c r="L563" s="40">
        <f t="shared" si="271"/>
        <v>0</v>
      </c>
      <c r="M563" s="10">
        <f t="shared" si="288"/>
        <v>6.3507897330401288</v>
      </c>
      <c r="N563" s="10">
        <f t="shared" si="267"/>
        <v>17.20418640980624</v>
      </c>
      <c r="O563" s="10">
        <f t="shared" si="268"/>
        <v>-0.14810000000000001</v>
      </c>
      <c r="P563" s="10">
        <f t="shared" si="289"/>
        <v>13.083843843224797</v>
      </c>
      <c r="Q563" s="45">
        <f t="shared" si="290"/>
        <v>1.2581027550650516</v>
      </c>
      <c r="R563" s="4">
        <f t="shared" si="291"/>
        <v>555432.94952609239</v>
      </c>
      <c r="S563">
        <f t="shared" si="272"/>
        <v>5.5543294952609243E-4</v>
      </c>
      <c r="T563" s="44">
        <f t="shared" si="273"/>
        <v>1.5209634449559113E-3</v>
      </c>
      <c r="U563" s="45">
        <f t="shared" si="292"/>
        <v>0.99147558655155121</v>
      </c>
      <c r="V563" s="45">
        <f t="shared" si="293"/>
        <v>1.5720853697230401</v>
      </c>
      <c r="W563" s="45">
        <f t="shared" si="294"/>
        <v>1.5570445851195445</v>
      </c>
      <c r="X563" s="45">
        <f t="shared" si="295"/>
        <v>1.5040784603495672E-2</v>
      </c>
      <c r="Y563" s="45">
        <f t="shared" si="269"/>
        <v>2.9850507957703602E-2</v>
      </c>
      <c r="Z563" s="10">
        <f t="shared" si="296"/>
        <v>19.626052195205052</v>
      </c>
      <c r="AA563">
        <f t="shared" si="274"/>
        <v>6349733.7616995182</v>
      </c>
      <c r="AB563" s="10">
        <f t="shared" si="275"/>
        <v>6.3497337616995182</v>
      </c>
      <c r="AC563" s="10">
        <f t="shared" si="276"/>
        <v>6.2487337616995182</v>
      </c>
      <c r="AD563" s="3">
        <f t="shared" si="277"/>
        <v>906.27030626533985</v>
      </c>
      <c r="AI563" s="100">
        <f t="shared" si="278"/>
        <v>1.5570445851195445</v>
      </c>
    </row>
    <row r="564" spans="2:35">
      <c r="B564" s="39">
        <f t="shared" si="279"/>
        <v>536</v>
      </c>
      <c r="C564" s="45">
        <f t="shared" si="280"/>
        <v>15.745803357313211</v>
      </c>
      <c r="D564" s="10">
        <f t="shared" si="281"/>
        <v>8.7541966426870204</v>
      </c>
      <c r="E564" s="40">
        <f t="shared" si="282"/>
        <v>51.491606714625959</v>
      </c>
      <c r="F564" s="40">
        <f t="shared" si="283"/>
        <v>69</v>
      </c>
      <c r="G564" s="3">
        <f t="shared" si="284"/>
        <v>334.03357314149616</v>
      </c>
      <c r="H564" s="3">
        <f t="shared" si="285"/>
        <v>221.47275588995251</v>
      </c>
      <c r="I564">
        <f t="shared" si="270"/>
        <v>2.214727558899525E-4</v>
      </c>
      <c r="J564" s="4">
        <f t="shared" si="286"/>
        <v>2760.9773640708931</v>
      </c>
      <c r="K564" s="40">
        <f t="shared" si="287"/>
        <v>12.466442443344111</v>
      </c>
      <c r="L564" s="40">
        <f t="shared" si="271"/>
        <v>0</v>
      </c>
      <c r="M564" s="10">
        <f t="shared" si="288"/>
        <v>6.3497337616995182</v>
      </c>
      <c r="N564" s="10">
        <f t="shared" si="267"/>
        <v>17.20418640980624</v>
      </c>
      <c r="O564" s="10">
        <f t="shared" si="268"/>
        <v>-0.14810000000000001</v>
      </c>
      <c r="P564" s="10">
        <f t="shared" si="289"/>
        <v>13.084166066022661</v>
      </c>
      <c r="Q564" s="45">
        <f t="shared" si="290"/>
        <v>1.2603479496500734</v>
      </c>
      <c r="R564" s="4">
        <f t="shared" si="291"/>
        <v>553455.98679521307</v>
      </c>
      <c r="S564">
        <f t="shared" si="272"/>
        <v>5.5345598679521304E-4</v>
      </c>
      <c r="T564" s="44">
        <f t="shared" si="273"/>
        <v>1.5229404076867908E-3</v>
      </c>
      <c r="U564" s="45">
        <f t="shared" si="292"/>
        <v>0.98794660922879518</v>
      </c>
      <c r="V564" s="45">
        <f t="shared" si="293"/>
        <v>1.5717913032121085</v>
      </c>
      <c r="W564" s="45">
        <f t="shared" si="294"/>
        <v>1.5567815051555505</v>
      </c>
      <c r="X564" s="45">
        <f t="shared" si="295"/>
        <v>1.5009798056557999E-2</v>
      </c>
      <c r="Y564" s="45">
        <f t="shared" si="269"/>
        <v>2.9884207875022457E-2</v>
      </c>
      <c r="Z564" s="10">
        <f t="shared" si="296"/>
        <v>19.622703373150284</v>
      </c>
      <c r="AA564">
        <f t="shared" si="274"/>
        <v>6348667.5310981004</v>
      </c>
      <c r="AB564" s="10">
        <f t="shared" si="275"/>
        <v>6.3486675310981004</v>
      </c>
      <c r="AC564" s="10">
        <f t="shared" si="276"/>
        <v>6.2476675310981005</v>
      </c>
      <c r="AD564" s="3">
        <f t="shared" si="277"/>
        <v>906.11566803453229</v>
      </c>
      <c r="AI564" s="100">
        <f t="shared" si="278"/>
        <v>1.5567815051555505</v>
      </c>
    </row>
    <row r="565" spans="2:35">
      <c r="B565" s="39">
        <f t="shared" si="279"/>
        <v>537</v>
      </c>
      <c r="C565" s="45">
        <f t="shared" si="280"/>
        <v>15.775179856114168</v>
      </c>
      <c r="D565" s="10">
        <f t="shared" si="281"/>
        <v>8.7248201438860633</v>
      </c>
      <c r="E565" s="40">
        <f t="shared" si="282"/>
        <v>51.550359712227873</v>
      </c>
      <c r="F565" s="40">
        <f t="shared" si="283"/>
        <v>69</v>
      </c>
      <c r="G565" s="3">
        <f t="shared" si="284"/>
        <v>333.79856115108851</v>
      </c>
      <c r="H565" s="3">
        <f t="shared" si="285"/>
        <v>221.47275588995251</v>
      </c>
      <c r="I565">
        <f t="shared" si="270"/>
        <v>2.214727558899525E-4</v>
      </c>
      <c r="J565" s="4">
        <f t="shared" si="286"/>
        <v>2765.7321837208219</v>
      </c>
      <c r="K565" s="40">
        <f t="shared" si="287"/>
        <v>12.48791153840649</v>
      </c>
      <c r="L565" s="40">
        <f t="shared" si="271"/>
        <v>0</v>
      </c>
      <c r="M565" s="10">
        <f t="shared" si="288"/>
        <v>6.3486675310981004</v>
      </c>
      <c r="N565" s="10">
        <f t="shared" si="267"/>
        <v>17.20418640980624</v>
      </c>
      <c r="O565" s="10">
        <f t="shared" si="268"/>
        <v>-0.14810000000000001</v>
      </c>
      <c r="P565" s="10">
        <f t="shared" si="289"/>
        <v>13.084491481795162</v>
      </c>
      <c r="Q565" s="45">
        <f t="shared" si="290"/>
        <v>1.2625930883963388</v>
      </c>
      <c r="R565" s="4">
        <f t="shared" si="291"/>
        <v>551479.4464540953</v>
      </c>
      <c r="S565">
        <f t="shared" si="272"/>
        <v>5.5147944645409527E-4</v>
      </c>
      <c r="T565" s="44">
        <f t="shared" si="273"/>
        <v>1.5249169480279086E-3</v>
      </c>
      <c r="U565" s="45">
        <f t="shared" si="292"/>
        <v>0.98441838589288277</v>
      </c>
      <c r="V565" s="45">
        <f t="shared" si="293"/>
        <v>1.5714945643253813</v>
      </c>
      <c r="W565" s="45">
        <f t="shared" si="294"/>
        <v>1.5565158692453291</v>
      </c>
      <c r="X565" s="45">
        <f t="shared" si="295"/>
        <v>1.4978695080052118E-2</v>
      </c>
      <c r="Y565" s="45">
        <f t="shared" si="269"/>
        <v>2.9917837123715176E-2</v>
      </c>
      <c r="Z565" s="10">
        <f t="shared" si="296"/>
        <v>19.619322325983898</v>
      </c>
      <c r="AA565">
        <f t="shared" si="274"/>
        <v>6347591.0403515995</v>
      </c>
      <c r="AB565" s="10">
        <f t="shared" si="275"/>
        <v>6.3475910403515998</v>
      </c>
      <c r="AC565" s="10">
        <f t="shared" si="276"/>
        <v>6.2465910403515998</v>
      </c>
      <c r="AD565" s="3">
        <f t="shared" si="277"/>
        <v>905.95954174787516</v>
      </c>
      <c r="AI565" s="100">
        <f t="shared" si="278"/>
        <v>1.5565158692453291</v>
      </c>
    </row>
    <row r="566" spans="2:35">
      <c r="B566" s="39">
        <f t="shared" si="279"/>
        <v>538</v>
      </c>
      <c r="C566" s="45">
        <f t="shared" si="280"/>
        <v>15.804556354915125</v>
      </c>
      <c r="D566" s="10">
        <f t="shared" si="281"/>
        <v>8.6954436450851063</v>
      </c>
      <c r="E566" s="40">
        <f t="shared" si="282"/>
        <v>51.609112709829787</v>
      </c>
      <c r="F566" s="40">
        <f t="shared" si="283"/>
        <v>69</v>
      </c>
      <c r="G566" s="3">
        <f t="shared" si="284"/>
        <v>333.56354916068085</v>
      </c>
      <c r="H566" s="3">
        <f t="shared" si="285"/>
        <v>221.47275588995251</v>
      </c>
      <c r="I566">
        <f t="shared" si="270"/>
        <v>2.214727558899525E-4</v>
      </c>
      <c r="J566" s="4">
        <f t="shared" si="286"/>
        <v>2770.4924256257254</v>
      </c>
      <c r="K566" s="40">
        <f t="shared" si="287"/>
        <v>12.509405116186635</v>
      </c>
      <c r="L566" s="40">
        <f t="shared" si="271"/>
        <v>0</v>
      </c>
      <c r="M566" s="10">
        <f t="shared" si="288"/>
        <v>6.3475910403515998</v>
      </c>
      <c r="N566" s="10">
        <f t="shared" si="267"/>
        <v>17.20418640980624</v>
      </c>
      <c r="O566" s="10">
        <f t="shared" si="268"/>
        <v>-0.14810000000000001</v>
      </c>
      <c r="P566" s="10">
        <f t="shared" si="289"/>
        <v>13.084820092645971</v>
      </c>
      <c r="Q566" s="45">
        <f t="shared" si="290"/>
        <v>1.2648381707584164</v>
      </c>
      <c r="R566" s="4">
        <f t="shared" si="291"/>
        <v>549503.33232562372</v>
      </c>
      <c r="S566">
        <f t="shared" si="272"/>
        <v>5.4950333232562374E-4</v>
      </c>
      <c r="T566" s="44">
        <f t="shared" si="273"/>
        <v>1.52689306215638E-3</v>
      </c>
      <c r="U566" s="45">
        <f t="shared" si="292"/>
        <v>0.98089092336785466</v>
      </c>
      <c r="V566" s="45">
        <f t="shared" si="293"/>
        <v>1.5711951528422823</v>
      </c>
      <c r="W566" s="45">
        <f t="shared" si="294"/>
        <v>1.5562476771685765</v>
      </c>
      <c r="X566" s="45">
        <f t="shared" si="295"/>
        <v>1.4947475673705801E-2</v>
      </c>
      <c r="Y566" s="45">
        <f t="shared" si="269"/>
        <v>2.9951395437707799E-2</v>
      </c>
      <c r="Z566" s="10">
        <f t="shared" si="296"/>
        <v>19.615909050898722</v>
      </c>
      <c r="AA566">
        <f t="shared" si="274"/>
        <v>6346504.2885662392</v>
      </c>
      <c r="AB566" s="10">
        <f t="shared" si="275"/>
        <v>6.3465042885662388</v>
      </c>
      <c r="AC566" s="10">
        <f t="shared" si="276"/>
        <v>6.2455042885662388</v>
      </c>
      <c r="AD566" s="3">
        <f t="shared" si="277"/>
        <v>905.80192727574172</v>
      </c>
      <c r="AI566" s="100">
        <f t="shared" si="278"/>
        <v>1.5562476771685765</v>
      </c>
    </row>
    <row r="567" spans="2:35">
      <c r="B567" s="39">
        <f t="shared" si="279"/>
        <v>539</v>
      </c>
      <c r="C567" s="45">
        <f t="shared" si="280"/>
        <v>15.833932853716082</v>
      </c>
      <c r="D567" s="10">
        <f t="shared" si="281"/>
        <v>8.6660671462841492</v>
      </c>
      <c r="E567" s="40">
        <f t="shared" si="282"/>
        <v>51.667865707431702</v>
      </c>
      <c r="F567" s="40">
        <f t="shared" si="283"/>
        <v>69</v>
      </c>
      <c r="G567" s="3">
        <f t="shared" si="284"/>
        <v>333.32853717027319</v>
      </c>
      <c r="H567" s="3">
        <f t="shared" si="285"/>
        <v>221.47275588995251</v>
      </c>
      <c r="I567">
        <f t="shared" si="270"/>
        <v>2.214727558899525E-4</v>
      </c>
      <c r="J567" s="4">
        <f t="shared" si="286"/>
        <v>2775.2580897856019</v>
      </c>
      <c r="K567" s="40">
        <f t="shared" si="287"/>
        <v>12.530923176684533</v>
      </c>
      <c r="L567" s="40">
        <f t="shared" si="271"/>
        <v>0</v>
      </c>
      <c r="M567" s="10">
        <f t="shared" si="288"/>
        <v>6.3465042885662388</v>
      </c>
      <c r="N567" s="10">
        <f t="shared" si="267"/>
        <v>17.20418640980624</v>
      </c>
      <c r="O567" s="10">
        <f t="shared" si="268"/>
        <v>-0.14810000000000001</v>
      </c>
      <c r="P567" s="10">
        <f t="shared" si="289"/>
        <v>13.085151900700639</v>
      </c>
      <c r="Q567" s="45">
        <f t="shared" si="290"/>
        <v>1.2670831961905924</v>
      </c>
      <c r="R567" s="4">
        <f t="shared" si="291"/>
        <v>547527.64823268354</v>
      </c>
      <c r="S567">
        <f t="shared" si="272"/>
        <v>5.4752764823268359E-4</v>
      </c>
      <c r="T567" s="44">
        <f t="shared" si="273"/>
        <v>1.5288687462493202E-3</v>
      </c>
      <c r="U567" s="45">
        <f t="shared" si="292"/>
        <v>0.97736422847775173</v>
      </c>
      <c r="V567" s="45">
        <f t="shared" si="293"/>
        <v>1.5708930685407476</v>
      </c>
      <c r="W567" s="45">
        <f t="shared" si="294"/>
        <v>1.5559769287026215</v>
      </c>
      <c r="X567" s="45">
        <f t="shared" si="295"/>
        <v>1.4916139838126119E-2</v>
      </c>
      <c r="Y567" s="45">
        <f t="shared" si="269"/>
        <v>2.9984882550994286E-2</v>
      </c>
      <c r="Z567" s="10">
        <f t="shared" si="296"/>
        <v>19.612463545058631</v>
      </c>
      <c r="AA567">
        <f t="shared" si="274"/>
        <v>6345407.2748390278</v>
      </c>
      <c r="AB567" s="10">
        <f t="shared" si="275"/>
        <v>6.3454072748390278</v>
      </c>
      <c r="AC567" s="10">
        <f t="shared" si="276"/>
        <v>6.2444072748390278</v>
      </c>
      <c r="AD567" s="3">
        <f t="shared" si="277"/>
        <v>905.6428244871687</v>
      </c>
      <c r="AI567" s="100">
        <f t="shared" si="278"/>
        <v>1.5559769287026215</v>
      </c>
    </row>
    <row r="568" spans="2:35">
      <c r="B568" s="39">
        <f t="shared" si="279"/>
        <v>540</v>
      </c>
      <c r="C568" s="45">
        <f t="shared" si="280"/>
        <v>15.863309352517039</v>
      </c>
      <c r="D568" s="10">
        <f t="shared" si="281"/>
        <v>8.6366906474831922</v>
      </c>
      <c r="E568" s="40">
        <f t="shared" si="282"/>
        <v>51.726618705033616</v>
      </c>
      <c r="F568" s="40">
        <f t="shared" si="283"/>
        <v>69</v>
      </c>
      <c r="G568" s="3">
        <f t="shared" si="284"/>
        <v>333.09352517986554</v>
      </c>
      <c r="H568" s="3">
        <f t="shared" si="285"/>
        <v>221.47275588995251</v>
      </c>
      <c r="I568">
        <f t="shared" si="270"/>
        <v>2.214727558899525E-4</v>
      </c>
      <c r="J568" s="4">
        <f t="shared" si="286"/>
        <v>2780.0291762004526</v>
      </c>
      <c r="K568" s="40">
        <f t="shared" si="287"/>
        <v>12.552465719900194</v>
      </c>
      <c r="L568" s="40">
        <f t="shared" si="271"/>
        <v>0</v>
      </c>
      <c r="M568" s="10">
        <f t="shared" si="288"/>
        <v>6.3454072748390278</v>
      </c>
      <c r="N568" s="10">
        <f t="shared" si="267"/>
        <v>17.20418640980624</v>
      </c>
      <c r="O568" s="10">
        <f t="shared" si="268"/>
        <v>-0.14810000000000001</v>
      </c>
      <c r="P568" s="10">
        <f t="shared" si="289"/>
        <v>13.085486908106541</v>
      </c>
      <c r="Q568" s="45">
        <f t="shared" si="290"/>
        <v>1.2693281641468677</v>
      </c>
      <c r="R568" s="4">
        <f t="shared" si="291"/>
        <v>545552.39799815929</v>
      </c>
      <c r="S568">
        <f t="shared" si="272"/>
        <v>5.4555239799815932E-4</v>
      </c>
      <c r="T568" s="44">
        <f t="shared" si="273"/>
        <v>1.5308439964838445E-3</v>
      </c>
      <c r="U568" s="45">
        <f t="shared" si="292"/>
        <v>0.97383830804661431</v>
      </c>
      <c r="V568" s="45">
        <f t="shared" si="293"/>
        <v>1.5705883111968513</v>
      </c>
      <c r="W568" s="45">
        <f t="shared" si="294"/>
        <v>1.5557036236224961</v>
      </c>
      <c r="X568" s="45">
        <f t="shared" si="295"/>
        <v>1.4884687574355127E-2</v>
      </c>
      <c r="Y568" s="45">
        <f t="shared" si="269"/>
        <v>3.0018298197637881E-2</v>
      </c>
      <c r="Z568" s="10">
        <f t="shared" si="296"/>
        <v>19.608985805598824</v>
      </c>
      <c r="AA568">
        <f t="shared" si="274"/>
        <v>6344299.998257841</v>
      </c>
      <c r="AB568" s="10">
        <f t="shared" si="275"/>
        <v>6.3442999982578412</v>
      </c>
      <c r="AC568" s="10">
        <f t="shared" si="276"/>
        <v>6.2432999982578412</v>
      </c>
      <c r="AD568" s="3">
        <f t="shared" si="277"/>
        <v>905.48223324986816</v>
      </c>
      <c r="AI568" s="100">
        <f t="shared" si="278"/>
        <v>1.5557036236224961</v>
      </c>
    </row>
    <row r="569" spans="2:35">
      <c r="B569" s="39">
        <f t="shared" si="279"/>
        <v>541</v>
      </c>
      <c r="C569" s="45">
        <f t="shared" si="280"/>
        <v>15.892685851317996</v>
      </c>
      <c r="D569" s="10">
        <f t="shared" si="281"/>
        <v>8.6073141486822351</v>
      </c>
      <c r="E569" s="40">
        <f t="shared" si="282"/>
        <v>51.78537170263553</v>
      </c>
      <c r="F569" s="40">
        <f t="shared" si="283"/>
        <v>69</v>
      </c>
      <c r="G569" s="3">
        <f t="shared" si="284"/>
        <v>332.85851318945788</v>
      </c>
      <c r="H569" s="3">
        <f t="shared" si="285"/>
        <v>221.47275588995251</v>
      </c>
      <c r="I569">
        <f t="shared" si="270"/>
        <v>2.214727558899525E-4</v>
      </c>
      <c r="J569" s="4">
        <f t="shared" si="286"/>
        <v>2784.8056848702772</v>
      </c>
      <c r="K569" s="40">
        <f t="shared" si="287"/>
        <v>12.574032745833614</v>
      </c>
      <c r="L569" s="40">
        <f t="shared" si="271"/>
        <v>0</v>
      </c>
      <c r="M569" s="10">
        <f t="shared" si="288"/>
        <v>6.3442999982578412</v>
      </c>
      <c r="N569" s="10">
        <f t="shared" si="267"/>
        <v>17.20418640980624</v>
      </c>
      <c r="O569" s="10">
        <f t="shared" si="268"/>
        <v>-0.14810000000000001</v>
      </c>
      <c r="P569" s="10">
        <f t="shared" si="289"/>
        <v>13.085825117032895</v>
      </c>
      <c r="Q569" s="45">
        <f t="shared" si="290"/>
        <v>1.271573074080955</v>
      </c>
      <c r="R569" s="4">
        <f t="shared" si="291"/>
        <v>543577.58544493571</v>
      </c>
      <c r="S569">
        <f t="shared" si="272"/>
        <v>5.4357758544493575E-4</v>
      </c>
      <c r="T569" s="44">
        <f t="shared" si="273"/>
        <v>1.5328188090370681E-3</v>
      </c>
      <c r="U569" s="45">
        <f t="shared" si="292"/>
        <v>0.9703131688984824</v>
      </c>
      <c r="V569" s="45">
        <f t="shared" si="293"/>
        <v>1.5702808805846649</v>
      </c>
      <c r="W569" s="45">
        <f t="shared" si="294"/>
        <v>1.5554277617009578</v>
      </c>
      <c r="X569" s="45">
        <f t="shared" si="295"/>
        <v>1.4853118883707106E-2</v>
      </c>
      <c r="Y569" s="45">
        <f t="shared" si="269"/>
        <v>3.0051642111772095E-2</v>
      </c>
      <c r="Z569" s="10">
        <f t="shared" si="296"/>
        <v>19.605475829625835</v>
      </c>
      <c r="AA569">
        <f t="shared" si="274"/>
        <v>6343182.4579014303</v>
      </c>
      <c r="AB569" s="10">
        <f t="shared" si="275"/>
        <v>6.3431824579014302</v>
      </c>
      <c r="AC569" s="10">
        <f t="shared" si="276"/>
        <v>6.2421824579014302</v>
      </c>
      <c r="AD569" s="3">
        <f t="shared" si="277"/>
        <v>905.3201534302292</v>
      </c>
      <c r="AI569" s="100">
        <f t="shared" si="278"/>
        <v>1.5554277617009578</v>
      </c>
    </row>
    <row r="570" spans="2:35">
      <c r="B570" s="39">
        <f t="shared" si="279"/>
        <v>542</v>
      </c>
      <c r="C570" s="45">
        <f t="shared" si="280"/>
        <v>15.922062350118953</v>
      </c>
      <c r="D570" s="10">
        <f t="shared" si="281"/>
        <v>8.577937649881278</v>
      </c>
      <c r="E570" s="40">
        <f t="shared" si="282"/>
        <v>51.844124700237444</v>
      </c>
      <c r="F570" s="40">
        <f t="shared" si="283"/>
        <v>69</v>
      </c>
      <c r="G570" s="3">
        <f t="shared" si="284"/>
        <v>332.62350119905022</v>
      </c>
      <c r="H570" s="3">
        <f t="shared" si="285"/>
        <v>221.47275588995251</v>
      </c>
      <c r="I570">
        <f t="shared" si="270"/>
        <v>2.214727558899525E-4</v>
      </c>
      <c r="J570" s="4">
        <f t="shared" si="286"/>
        <v>2789.5876157950761</v>
      </c>
      <c r="K570" s="40">
        <f t="shared" si="287"/>
        <v>12.595624254484795</v>
      </c>
      <c r="L570" s="40">
        <f t="shared" si="271"/>
        <v>0</v>
      </c>
      <c r="M570" s="10">
        <f t="shared" si="288"/>
        <v>6.3431824579014302</v>
      </c>
      <c r="N570" s="10">
        <f t="shared" si="267"/>
        <v>17.20418640980624</v>
      </c>
      <c r="O570" s="10">
        <f t="shared" si="268"/>
        <v>-0.14810000000000001</v>
      </c>
      <c r="P570" s="10">
        <f t="shared" si="289"/>
        <v>13.086166529670807</v>
      </c>
      <c r="Q570" s="45">
        <f t="shared" si="290"/>
        <v>1.2738179254462767</v>
      </c>
      <c r="R570" s="4">
        <f t="shared" si="291"/>
        <v>541603.2143958977</v>
      </c>
      <c r="S570">
        <f t="shared" si="272"/>
        <v>5.4160321439589772E-4</v>
      </c>
      <c r="T570" s="44">
        <f t="shared" si="273"/>
        <v>1.5347931800861062E-3</v>
      </c>
      <c r="U570" s="45">
        <f t="shared" si="292"/>
        <v>0.96678881785739712</v>
      </c>
      <c r="V570" s="45">
        <f t="shared" si="293"/>
        <v>1.5699707764750868</v>
      </c>
      <c r="W570" s="45">
        <f t="shared" si="294"/>
        <v>1.5551493427084908</v>
      </c>
      <c r="X570" s="45">
        <f t="shared" si="295"/>
        <v>1.4821433766595948E-2</v>
      </c>
      <c r="Y570" s="45">
        <f t="shared" si="269"/>
        <v>3.0084914027599063E-2</v>
      </c>
      <c r="Z570" s="10">
        <f t="shared" si="296"/>
        <v>19.601933614215834</v>
      </c>
      <c r="AA570">
        <f t="shared" si="274"/>
        <v>6342054.6528388774</v>
      </c>
      <c r="AB570" s="10">
        <f t="shared" si="275"/>
        <v>6.3420546528388773</v>
      </c>
      <c r="AC570" s="10">
        <f t="shared" si="276"/>
        <v>6.2410546528388773</v>
      </c>
      <c r="AD570" s="3">
        <f t="shared" si="277"/>
        <v>905.15658489323823</v>
      </c>
      <c r="AI570" s="100">
        <f t="shared" si="278"/>
        <v>1.5551493427084908</v>
      </c>
    </row>
    <row r="571" spans="2:35">
      <c r="B571" s="39">
        <f t="shared" si="279"/>
        <v>543</v>
      </c>
      <c r="C571" s="45">
        <f t="shared" si="280"/>
        <v>15.95143884891991</v>
      </c>
      <c r="D571" s="10">
        <f t="shared" si="281"/>
        <v>8.548561151080321</v>
      </c>
      <c r="E571" s="40">
        <f t="shared" si="282"/>
        <v>51.902877697839358</v>
      </c>
      <c r="F571" s="40">
        <f t="shared" si="283"/>
        <v>69</v>
      </c>
      <c r="G571" s="3">
        <f t="shared" si="284"/>
        <v>332.38848920864257</v>
      </c>
      <c r="H571" s="3">
        <f t="shared" si="285"/>
        <v>221.47275588995251</v>
      </c>
      <c r="I571">
        <f t="shared" si="270"/>
        <v>2.214727558899525E-4</v>
      </c>
      <c r="J571" s="4">
        <f t="shared" si="286"/>
        <v>2794.3749689748483</v>
      </c>
      <c r="K571" s="40">
        <f t="shared" si="287"/>
        <v>12.617240245853734</v>
      </c>
      <c r="L571" s="40">
        <f t="shared" si="271"/>
        <v>0</v>
      </c>
      <c r="M571" s="10">
        <f t="shared" si="288"/>
        <v>6.3420546528388773</v>
      </c>
      <c r="N571" s="10">
        <f t="shared" si="267"/>
        <v>17.20418640980624</v>
      </c>
      <c r="O571" s="10">
        <f t="shared" si="268"/>
        <v>-0.14810000000000001</v>
      </c>
      <c r="P571" s="10">
        <f t="shared" si="289"/>
        <v>13.086511148233475</v>
      </c>
      <c r="Q571" s="45">
        <f t="shared" si="290"/>
        <v>1.2760627176959607</v>
      </c>
      <c r="R571" s="4">
        <f t="shared" si="291"/>
        <v>539629.28867393022</v>
      </c>
      <c r="S571">
        <f t="shared" si="272"/>
        <v>5.3962928867393027E-4</v>
      </c>
      <c r="T571" s="44">
        <f t="shared" si="273"/>
        <v>1.5367671058080735E-3</v>
      </c>
      <c r="U571" s="45">
        <f t="shared" si="292"/>
        <v>0.96326526174739913</v>
      </c>
      <c r="V571" s="45">
        <f t="shared" si="293"/>
        <v>1.5696579986384129</v>
      </c>
      <c r="W571" s="45">
        <f t="shared" si="294"/>
        <v>1.5548683664131711</v>
      </c>
      <c r="X571" s="45">
        <f t="shared" si="295"/>
        <v>1.4789632225241878E-2</v>
      </c>
      <c r="Y571" s="45">
        <f t="shared" si="269"/>
        <v>3.0118113679393963E-2</v>
      </c>
      <c r="Z571" s="10">
        <f t="shared" si="296"/>
        <v>19.598359156416905</v>
      </c>
      <c r="AA571">
        <f t="shared" si="274"/>
        <v>6340916.5821303222</v>
      </c>
      <c r="AB571" s="10">
        <f t="shared" si="275"/>
        <v>6.3409165821303226</v>
      </c>
      <c r="AC571" s="10">
        <f t="shared" si="276"/>
        <v>6.2399165821303226</v>
      </c>
      <c r="AD571" s="3">
        <f t="shared" si="277"/>
        <v>904.99152750258486</v>
      </c>
      <c r="AI571" s="100">
        <f t="shared" si="278"/>
        <v>1.5548683664131711</v>
      </c>
    </row>
    <row r="572" spans="2:35">
      <c r="B572" s="39">
        <f t="shared" si="279"/>
        <v>544</v>
      </c>
      <c r="C572" s="45">
        <f t="shared" si="280"/>
        <v>15.980815347720867</v>
      </c>
      <c r="D572" s="10">
        <f t="shared" si="281"/>
        <v>8.5191846522793639</v>
      </c>
      <c r="E572" s="40">
        <f t="shared" si="282"/>
        <v>51.961630695441272</v>
      </c>
      <c r="F572" s="40">
        <f t="shared" si="283"/>
        <v>69</v>
      </c>
      <c r="G572" s="3">
        <f t="shared" si="284"/>
        <v>332.15347721823491</v>
      </c>
      <c r="H572" s="3">
        <f t="shared" si="285"/>
        <v>221.47275588995251</v>
      </c>
      <c r="I572">
        <f t="shared" si="270"/>
        <v>2.214727558899525E-4</v>
      </c>
      <c r="J572" s="4">
        <f t="shared" si="286"/>
        <v>2799.1677444095949</v>
      </c>
      <c r="K572" s="40">
        <f t="shared" si="287"/>
        <v>12.638880719940433</v>
      </c>
      <c r="L572" s="40">
        <f t="shared" si="271"/>
        <v>0</v>
      </c>
      <c r="M572" s="10">
        <f t="shared" si="288"/>
        <v>6.3409165821303226</v>
      </c>
      <c r="N572" s="10">
        <f t="shared" si="267"/>
        <v>17.20418640980624</v>
      </c>
      <c r="O572" s="10">
        <f t="shared" si="268"/>
        <v>-0.14810000000000001</v>
      </c>
      <c r="P572" s="10">
        <f t="shared" si="289"/>
        <v>13.086858974956005</v>
      </c>
      <c r="Q572" s="45">
        <f t="shared" si="290"/>
        <v>1.2783074502828384</v>
      </c>
      <c r="R572" s="4">
        <f t="shared" si="291"/>
        <v>537655.81210191781</v>
      </c>
      <c r="S572">
        <f t="shared" si="272"/>
        <v>5.3765581210191778E-4</v>
      </c>
      <c r="T572" s="44">
        <f t="shared" si="273"/>
        <v>1.538740582380086E-3</v>
      </c>
      <c r="U572" s="45">
        <f t="shared" si="292"/>
        <v>0.95974250739252831</v>
      </c>
      <c r="V572" s="45">
        <f t="shared" si="293"/>
        <v>1.5693425468423887</v>
      </c>
      <c r="W572" s="45">
        <f t="shared" si="294"/>
        <v>1.5545848325808451</v>
      </c>
      <c r="X572" s="45">
        <f t="shared" si="295"/>
        <v>1.4757714261543597E-2</v>
      </c>
      <c r="Y572" s="45">
        <f t="shared" si="269"/>
        <v>3.0151240801504681E-2</v>
      </c>
      <c r="Z572" s="10">
        <f t="shared" si="296"/>
        <v>19.594752453248152</v>
      </c>
      <c r="AA572">
        <f t="shared" si="274"/>
        <v>6339768.2448266773</v>
      </c>
      <c r="AB572" s="10">
        <f t="shared" si="275"/>
        <v>6.3397682448266774</v>
      </c>
      <c r="AC572" s="10">
        <f t="shared" si="276"/>
        <v>6.2387682448266775</v>
      </c>
      <c r="AD572" s="3">
        <f t="shared" si="277"/>
        <v>904.82498112062035</v>
      </c>
      <c r="AI572" s="100">
        <f t="shared" si="278"/>
        <v>1.5545848325808451</v>
      </c>
    </row>
    <row r="573" spans="2:35">
      <c r="B573" s="39">
        <f t="shared" si="279"/>
        <v>545</v>
      </c>
      <c r="C573" s="45">
        <f t="shared" si="280"/>
        <v>16.010191846521824</v>
      </c>
      <c r="D573" s="10">
        <f t="shared" si="281"/>
        <v>8.4898081534784069</v>
      </c>
      <c r="E573" s="40">
        <f t="shared" si="282"/>
        <v>52.020383693043186</v>
      </c>
      <c r="F573" s="40">
        <f t="shared" si="283"/>
        <v>69</v>
      </c>
      <c r="G573" s="3">
        <f t="shared" si="284"/>
        <v>331.91846522782726</v>
      </c>
      <c r="H573" s="3">
        <f t="shared" si="285"/>
        <v>221.47275588995251</v>
      </c>
      <c r="I573">
        <f t="shared" si="270"/>
        <v>2.214727558899525E-4</v>
      </c>
      <c r="J573" s="4">
        <f t="shared" si="286"/>
        <v>2803.9659420993153</v>
      </c>
      <c r="K573" s="40">
        <f t="shared" si="287"/>
        <v>12.660545676744894</v>
      </c>
      <c r="L573" s="40">
        <f t="shared" si="271"/>
        <v>0</v>
      </c>
      <c r="M573" s="10">
        <f t="shared" si="288"/>
        <v>6.3397682448266774</v>
      </c>
      <c r="N573" s="10">
        <f t="shared" si="267"/>
        <v>17.20418640980624</v>
      </c>
      <c r="O573" s="10">
        <f t="shared" si="268"/>
        <v>-0.14810000000000001</v>
      </c>
      <c r="P573" s="10">
        <f t="shared" si="289"/>
        <v>13.087210012095554</v>
      </c>
      <c r="Q573" s="45">
        <f t="shared" si="290"/>
        <v>1.2805521226594418</v>
      </c>
      <c r="R573" s="4">
        <f t="shared" si="291"/>
        <v>535682.78850274533</v>
      </c>
      <c r="S573">
        <f t="shared" si="272"/>
        <v>5.356827885027453E-4</v>
      </c>
      <c r="T573" s="44">
        <f t="shared" si="273"/>
        <v>1.5407136059792585E-3</v>
      </c>
      <c r="U573" s="45">
        <f t="shared" si="292"/>
        <v>0.95622056161682556</v>
      </c>
      <c r="V573" s="45">
        <f t="shared" si="293"/>
        <v>1.5690244208520401</v>
      </c>
      <c r="W573" s="45">
        <f t="shared" si="294"/>
        <v>1.5542987409750622</v>
      </c>
      <c r="X573" s="45">
        <f t="shared" si="295"/>
        <v>1.4725679876977926E-2</v>
      </c>
      <c r="Y573" s="45">
        <f t="shared" si="269"/>
        <v>3.0184295128351239E-2</v>
      </c>
      <c r="Z573" s="10">
        <f t="shared" si="296"/>
        <v>19.591113501698764</v>
      </c>
      <c r="AA573">
        <f t="shared" si="274"/>
        <v>6338609.639969334</v>
      </c>
      <c r="AB573" s="10">
        <f t="shared" si="275"/>
        <v>6.3386096399693344</v>
      </c>
      <c r="AC573" s="10">
        <f t="shared" si="276"/>
        <v>6.2376096399693344</v>
      </c>
      <c r="AD573" s="3">
        <f t="shared" si="277"/>
        <v>904.65694560831525</v>
      </c>
      <c r="AI573" s="100">
        <f t="shared" si="278"/>
        <v>1.5542987409750622</v>
      </c>
    </row>
    <row r="574" spans="2:35">
      <c r="B574" s="39">
        <f t="shared" si="279"/>
        <v>546</v>
      </c>
      <c r="C574" s="45">
        <f t="shared" si="280"/>
        <v>16.039568345322781</v>
      </c>
      <c r="D574" s="10">
        <f t="shared" si="281"/>
        <v>8.4604316546774498</v>
      </c>
      <c r="E574" s="40">
        <f t="shared" si="282"/>
        <v>52.0791366906451</v>
      </c>
      <c r="F574" s="40">
        <f t="shared" si="283"/>
        <v>69</v>
      </c>
      <c r="G574" s="3">
        <f t="shared" si="284"/>
        <v>331.6834532374196</v>
      </c>
      <c r="H574" s="3">
        <f t="shared" si="285"/>
        <v>221.47275588995251</v>
      </c>
      <c r="I574">
        <f t="shared" si="270"/>
        <v>2.214727558899525E-4</v>
      </c>
      <c r="J574" s="4">
        <f t="shared" si="286"/>
        <v>2808.7695620440099</v>
      </c>
      <c r="K574" s="40">
        <f t="shared" si="287"/>
        <v>12.682235116267114</v>
      </c>
      <c r="L574" s="40">
        <f t="shared" si="271"/>
        <v>0</v>
      </c>
      <c r="M574" s="10">
        <f t="shared" si="288"/>
        <v>6.3386096399693344</v>
      </c>
      <c r="N574" s="10">
        <f t="shared" si="267"/>
        <v>17.20418640980624</v>
      </c>
      <c r="O574" s="10">
        <f t="shared" si="268"/>
        <v>-0.14810000000000001</v>
      </c>
      <c r="P574" s="10">
        <f t="shared" si="289"/>
        <v>13.087564261931449</v>
      </c>
      <c r="Q574" s="45">
        <f t="shared" si="290"/>
        <v>1.282796734278</v>
      </c>
      <c r="R574" s="4">
        <f t="shared" si="291"/>
        <v>533710.22169929766</v>
      </c>
      <c r="S574">
        <f t="shared" si="272"/>
        <v>5.3371022169929766E-4</v>
      </c>
      <c r="T574" s="44">
        <f t="shared" si="273"/>
        <v>1.5426861727827063E-3</v>
      </c>
      <c r="U574" s="45">
        <f t="shared" si="292"/>
        <v>0.95269943124433132</v>
      </c>
      <c r="V574" s="45">
        <f t="shared" si="293"/>
        <v>1.5687036204312557</v>
      </c>
      <c r="W574" s="45">
        <f t="shared" si="294"/>
        <v>1.5540100913569987</v>
      </c>
      <c r="X574" s="45">
        <f t="shared" si="295"/>
        <v>1.4693529074256917E-2</v>
      </c>
      <c r="Y574" s="45">
        <f t="shared" si="269"/>
        <v>3.0217276394428939E-2</v>
      </c>
      <c r="Z574" s="10">
        <f t="shared" si="296"/>
        <v>19.587442298729393</v>
      </c>
      <c r="AA574">
        <f t="shared" si="274"/>
        <v>6337440.7665905925</v>
      </c>
      <c r="AB574" s="10">
        <f t="shared" si="275"/>
        <v>6.3374407665905927</v>
      </c>
      <c r="AC574" s="10">
        <f t="shared" si="276"/>
        <v>6.2364407665905928</v>
      </c>
      <c r="AD574" s="3">
        <f t="shared" si="277"/>
        <v>904.48742082532158</v>
      </c>
      <c r="AI574" s="100">
        <f t="shared" si="278"/>
        <v>1.5540100913569987</v>
      </c>
    </row>
    <row r="575" spans="2:35">
      <c r="B575" s="39">
        <f t="shared" si="279"/>
        <v>547</v>
      </c>
      <c r="C575" s="45">
        <f t="shared" si="280"/>
        <v>16.068944844123738</v>
      </c>
      <c r="D575" s="10">
        <f t="shared" si="281"/>
        <v>8.4310551558764928</v>
      </c>
      <c r="E575" s="40">
        <f t="shared" si="282"/>
        <v>52.137889688247014</v>
      </c>
      <c r="F575" s="40">
        <f t="shared" si="283"/>
        <v>69</v>
      </c>
      <c r="G575" s="3">
        <f t="shared" si="284"/>
        <v>331.44844124701194</v>
      </c>
      <c r="H575" s="3">
        <f t="shared" si="285"/>
        <v>221.47275588995251</v>
      </c>
      <c r="I575">
        <f t="shared" si="270"/>
        <v>2.214727558899525E-4</v>
      </c>
      <c r="J575" s="4">
        <f t="shared" si="286"/>
        <v>2813.5786042436775</v>
      </c>
      <c r="K575" s="40">
        <f t="shared" si="287"/>
        <v>12.703949038507089</v>
      </c>
      <c r="L575" s="40">
        <f t="shared" si="271"/>
        <v>0</v>
      </c>
      <c r="M575" s="10">
        <f t="shared" si="288"/>
        <v>6.3374407665905927</v>
      </c>
      <c r="N575" s="10">
        <f t="shared" si="267"/>
        <v>17.20418640980624</v>
      </c>
      <c r="O575" s="10">
        <f t="shared" si="268"/>
        <v>-0.14810000000000001</v>
      </c>
      <c r="P575" s="10">
        <f t="shared" si="289"/>
        <v>13.087921726765115</v>
      </c>
      <c r="Q575" s="45">
        <f t="shared" si="290"/>
        <v>1.2850412845904366</v>
      </c>
      <c r="R575" s="4">
        <f t="shared" si="291"/>
        <v>531738.11551445955</v>
      </c>
      <c r="S575">
        <f t="shared" si="272"/>
        <v>5.3173811551445957E-4</v>
      </c>
      <c r="T575" s="44">
        <f t="shared" si="273"/>
        <v>1.5446582789675443E-3</v>
      </c>
      <c r="U575" s="45">
        <f t="shared" si="292"/>
        <v>0.94917912309908603</v>
      </c>
      <c r="V575" s="45">
        <f t="shared" si="293"/>
        <v>1.5683801453413195</v>
      </c>
      <c r="W575" s="45">
        <f t="shared" si="294"/>
        <v>1.5537188834855662</v>
      </c>
      <c r="X575" s="45">
        <f t="shared" si="295"/>
        <v>1.4661261855753338E-2</v>
      </c>
      <c r="Y575" s="45">
        <f t="shared" si="269"/>
        <v>3.0250184334307987E-2</v>
      </c>
      <c r="Z575" s="10">
        <f t="shared" si="296"/>
        <v>19.583738841271305</v>
      </c>
      <c r="AA575">
        <f t="shared" si="274"/>
        <v>6336261.6237134011</v>
      </c>
      <c r="AB575" s="10">
        <f t="shared" si="275"/>
        <v>6.3362616237134013</v>
      </c>
      <c r="AC575" s="10">
        <f t="shared" si="276"/>
        <v>6.2352616237134013</v>
      </c>
      <c r="AD575" s="3">
        <f t="shared" si="277"/>
        <v>904.31640662993493</v>
      </c>
      <c r="AI575" s="100">
        <f t="shared" si="278"/>
        <v>1.5537188834855662</v>
      </c>
    </row>
    <row r="576" spans="2:35">
      <c r="B576" s="39">
        <f t="shared" si="279"/>
        <v>548</v>
      </c>
      <c r="C576" s="45">
        <f t="shared" si="280"/>
        <v>16.098321342924695</v>
      </c>
      <c r="D576" s="10">
        <f t="shared" si="281"/>
        <v>8.4016786570755357</v>
      </c>
      <c r="E576" s="40">
        <f t="shared" si="282"/>
        <v>52.196642685848929</v>
      </c>
      <c r="F576" s="40">
        <f t="shared" si="283"/>
        <v>69</v>
      </c>
      <c r="G576" s="3">
        <f t="shared" si="284"/>
        <v>331.21342925660429</v>
      </c>
      <c r="H576" s="3">
        <f t="shared" si="285"/>
        <v>221.47275588995251</v>
      </c>
      <c r="I576">
        <f t="shared" si="270"/>
        <v>2.214727558899525E-4</v>
      </c>
      <c r="J576" s="4">
        <f t="shared" si="286"/>
        <v>2818.3930686983194</v>
      </c>
      <c r="K576" s="40">
        <f t="shared" si="287"/>
        <v>12.725687443464826</v>
      </c>
      <c r="L576" s="40">
        <f t="shared" si="271"/>
        <v>0</v>
      </c>
      <c r="M576" s="10">
        <f t="shared" si="288"/>
        <v>6.3362616237134013</v>
      </c>
      <c r="N576" s="10">
        <f t="shared" si="267"/>
        <v>17.20418640980624</v>
      </c>
      <c r="O576" s="10">
        <f t="shared" si="268"/>
        <v>-0.14810000000000001</v>
      </c>
      <c r="P576" s="10">
        <f t="shared" si="289"/>
        <v>13.088282408920183</v>
      </c>
      <c r="Q576" s="45">
        <f t="shared" si="290"/>
        <v>1.2872857730483673</v>
      </c>
      <c r="R576" s="4">
        <f t="shared" si="291"/>
        <v>529766.473771116</v>
      </c>
      <c r="S576">
        <f t="shared" si="272"/>
        <v>5.2976647377111596E-4</v>
      </c>
      <c r="T576" s="44">
        <f t="shared" si="273"/>
        <v>1.5466299207108878E-3</v>
      </c>
      <c r="U576" s="45">
        <f t="shared" si="292"/>
        <v>0.94565964400513058</v>
      </c>
      <c r="V576" s="45">
        <f t="shared" si="293"/>
        <v>1.568053995341214</v>
      </c>
      <c r="W576" s="45">
        <f t="shared" si="294"/>
        <v>1.5534251171173461</v>
      </c>
      <c r="X576" s="45">
        <f t="shared" si="295"/>
        <v>1.4628878223867936E-2</v>
      </c>
      <c r="Y576" s="45">
        <f t="shared" si="269"/>
        <v>3.028301868263393E-2</v>
      </c>
      <c r="Z576" s="10">
        <f t="shared" si="296"/>
        <v>19.58000312622605</v>
      </c>
      <c r="AA576">
        <f t="shared" si="274"/>
        <v>6335072.2103512436</v>
      </c>
      <c r="AB576" s="10">
        <f t="shared" si="275"/>
        <v>6.3350722103512433</v>
      </c>
      <c r="AC576" s="10">
        <f t="shared" si="276"/>
        <v>6.2340722103512434</v>
      </c>
      <c r="AD576" s="3">
        <f t="shared" si="277"/>
        <v>904.14390287907815</v>
      </c>
      <c r="AI576" s="100">
        <f t="shared" si="278"/>
        <v>1.5534251171173461</v>
      </c>
    </row>
    <row r="577" spans="2:35">
      <c r="B577" s="39">
        <f t="shared" si="279"/>
        <v>549</v>
      </c>
      <c r="C577" s="45">
        <f t="shared" si="280"/>
        <v>16.127697841725652</v>
      </c>
      <c r="D577" s="10">
        <f t="shared" si="281"/>
        <v>8.3723021582745787</v>
      </c>
      <c r="E577" s="40">
        <f t="shared" si="282"/>
        <v>52.255395683450843</v>
      </c>
      <c r="F577" s="40">
        <f t="shared" si="283"/>
        <v>69</v>
      </c>
      <c r="G577" s="3">
        <f t="shared" si="284"/>
        <v>330.97841726619663</v>
      </c>
      <c r="H577" s="3">
        <f t="shared" si="285"/>
        <v>221.47275588995251</v>
      </c>
      <c r="I577">
        <f t="shared" si="270"/>
        <v>2.214727558899525E-4</v>
      </c>
      <c r="J577" s="4">
        <f t="shared" si="286"/>
        <v>2823.2129554079356</v>
      </c>
      <c r="K577" s="40">
        <f t="shared" si="287"/>
        <v>12.747450331140326</v>
      </c>
      <c r="L577" s="40">
        <f t="shared" si="271"/>
        <v>0</v>
      </c>
      <c r="M577" s="10">
        <f t="shared" si="288"/>
        <v>6.3350722103512433</v>
      </c>
      <c r="N577" s="10">
        <f t="shared" si="267"/>
        <v>17.20418640980624</v>
      </c>
      <c r="O577" s="10">
        <f t="shared" si="268"/>
        <v>-0.14810000000000001</v>
      </c>
      <c r="P577" s="10">
        <f t="shared" si="289"/>
        <v>13.088646310742583</v>
      </c>
      <c r="Q577" s="45">
        <f t="shared" si="290"/>
        <v>1.2895301991030959</v>
      </c>
      <c r="R577" s="4">
        <f t="shared" si="291"/>
        <v>527795.30029215151</v>
      </c>
      <c r="S577">
        <f t="shared" si="272"/>
        <v>5.2779530029215156E-4</v>
      </c>
      <c r="T577" s="44">
        <f t="shared" si="273"/>
        <v>1.5486010941898522E-3</v>
      </c>
      <c r="U577" s="45">
        <f t="shared" si="292"/>
        <v>0.94214100078650509</v>
      </c>
      <c r="V577" s="45">
        <f t="shared" si="293"/>
        <v>1.5677251701888208</v>
      </c>
      <c r="W577" s="45">
        <f t="shared" si="294"/>
        <v>1.5531287920065628</v>
      </c>
      <c r="X577" s="45">
        <f t="shared" si="295"/>
        <v>1.4596378182258007E-2</v>
      </c>
      <c r="Y577" s="45">
        <f t="shared" si="269"/>
        <v>3.031577917413086E-2</v>
      </c>
      <c r="Z577" s="10">
        <f t="shared" si="296"/>
        <v>19.576235150466882</v>
      </c>
      <c r="AA577">
        <f t="shared" si="274"/>
        <v>6333872.5255085966</v>
      </c>
      <c r="AB577" s="10">
        <f t="shared" si="275"/>
        <v>6.3338725255085961</v>
      </c>
      <c r="AC577" s="10">
        <f t="shared" si="276"/>
        <v>6.2328725255085962</v>
      </c>
      <c r="AD577" s="3">
        <f t="shared" si="277"/>
        <v>903.96990942836783</v>
      </c>
      <c r="AI577" s="100">
        <f t="shared" si="278"/>
        <v>1.5531287920065628</v>
      </c>
    </row>
    <row r="578" spans="2:35">
      <c r="B578" s="39">
        <f t="shared" si="279"/>
        <v>550</v>
      </c>
      <c r="C578" s="45">
        <f t="shared" si="280"/>
        <v>16.157074340526609</v>
      </c>
      <c r="D578" s="10">
        <f t="shared" si="281"/>
        <v>8.3429256594736216</v>
      </c>
      <c r="E578" s="40">
        <f t="shared" si="282"/>
        <v>52.314148681052757</v>
      </c>
      <c r="F578" s="40">
        <f t="shared" si="283"/>
        <v>69</v>
      </c>
      <c r="G578" s="3">
        <f t="shared" si="284"/>
        <v>330.74340527578897</v>
      </c>
      <c r="H578" s="3">
        <f t="shared" si="285"/>
        <v>221.47275588995251</v>
      </c>
      <c r="I578">
        <f t="shared" si="270"/>
        <v>2.214727558899525E-4</v>
      </c>
      <c r="J578" s="4">
        <f t="shared" si="286"/>
        <v>2828.0382643725252</v>
      </c>
      <c r="K578" s="40">
        <f t="shared" si="287"/>
        <v>12.769237701533582</v>
      </c>
      <c r="L578" s="40">
        <f t="shared" si="271"/>
        <v>0</v>
      </c>
      <c r="M578" s="10">
        <f t="shared" si="288"/>
        <v>6.3338725255085961</v>
      </c>
      <c r="N578" s="10">
        <f t="shared" si="267"/>
        <v>17.20418640980624</v>
      </c>
      <c r="O578" s="10">
        <f t="shared" si="268"/>
        <v>-0.14810000000000001</v>
      </c>
      <c r="P578" s="10">
        <f t="shared" si="289"/>
        <v>13.089013434600441</v>
      </c>
      <c r="Q578" s="45">
        <f t="shared" si="290"/>
        <v>1.2917745622056123</v>
      </c>
      <c r="R578" s="4">
        <f t="shared" si="291"/>
        <v>525824.59890045098</v>
      </c>
      <c r="S578">
        <f t="shared" si="272"/>
        <v>5.2582459890045097E-4</v>
      </c>
      <c r="T578" s="44">
        <f t="shared" si="273"/>
        <v>1.5505717955815528E-3</v>
      </c>
      <c r="U578" s="45">
        <f t="shared" si="292"/>
        <v>0.9386232002672501</v>
      </c>
      <c r="V578" s="45">
        <f t="shared" si="293"/>
        <v>1.5673936696387409</v>
      </c>
      <c r="W578" s="45">
        <f t="shared" si="294"/>
        <v>1.5528299079051955</v>
      </c>
      <c r="X578" s="45">
        <f t="shared" si="295"/>
        <v>1.4563761733545455E-2</v>
      </c>
      <c r="Y578" s="45">
        <f t="shared" si="269"/>
        <v>3.0348465543599469E-2</v>
      </c>
      <c r="Z578" s="10">
        <f t="shared" si="296"/>
        <v>19.572434910836918</v>
      </c>
      <c r="AA578">
        <f t="shared" si="274"/>
        <v>6332662.5681803422</v>
      </c>
      <c r="AB578" s="10">
        <f t="shared" si="275"/>
        <v>6.3326625681803419</v>
      </c>
      <c r="AC578" s="10">
        <f t="shared" si="276"/>
        <v>6.2316625681803419</v>
      </c>
      <c r="AD578" s="3">
        <f t="shared" si="277"/>
        <v>903.79442613202934</v>
      </c>
      <c r="AI578" s="100">
        <f t="shared" si="278"/>
        <v>1.5528299079051955</v>
      </c>
    </row>
    <row r="579" spans="2:35">
      <c r="B579" s="39">
        <f t="shared" si="279"/>
        <v>551</v>
      </c>
      <c r="C579" s="45">
        <f t="shared" si="280"/>
        <v>16.186450839327566</v>
      </c>
      <c r="D579" s="10">
        <f t="shared" si="281"/>
        <v>8.3135491606726646</v>
      </c>
      <c r="E579" s="40">
        <f t="shared" si="282"/>
        <v>52.372901678654671</v>
      </c>
      <c r="F579" s="40">
        <f t="shared" si="283"/>
        <v>69</v>
      </c>
      <c r="G579" s="3">
        <f t="shared" si="284"/>
        <v>330.50839328538132</v>
      </c>
      <c r="H579" s="3">
        <f t="shared" si="285"/>
        <v>221.47275588995251</v>
      </c>
      <c r="I579">
        <f t="shared" si="270"/>
        <v>2.214727558899525E-4</v>
      </c>
      <c r="J579" s="4">
        <f t="shared" si="286"/>
        <v>2832.8689955920895</v>
      </c>
      <c r="K579" s="40">
        <f t="shared" si="287"/>
        <v>12.791049554644601</v>
      </c>
      <c r="L579" s="40">
        <f t="shared" si="271"/>
        <v>0</v>
      </c>
      <c r="M579" s="10">
        <f t="shared" si="288"/>
        <v>6.3326625681803419</v>
      </c>
      <c r="N579" s="10">
        <f t="shared" si="267"/>
        <v>17.20418640980624</v>
      </c>
      <c r="O579" s="10">
        <f t="shared" si="268"/>
        <v>-0.14810000000000001</v>
      </c>
      <c r="P579" s="10">
        <f t="shared" si="289"/>
        <v>13.089383782884306</v>
      </c>
      <c r="Q579" s="45">
        <f t="shared" si="290"/>
        <v>1.2940188618065889</v>
      </c>
      <c r="R579" s="4">
        <f t="shared" si="291"/>
        <v>523854.37341889919</v>
      </c>
      <c r="S579">
        <f t="shared" si="272"/>
        <v>5.2385437341889924E-4</v>
      </c>
      <c r="T579" s="44">
        <f t="shared" si="273"/>
        <v>1.5525420210631045E-3</v>
      </c>
      <c r="U579" s="45">
        <f t="shared" si="292"/>
        <v>0.93510624927140595</v>
      </c>
      <c r="V579" s="45">
        <f t="shared" si="293"/>
        <v>1.5670594934445234</v>
      </c>
      <c r="W579" s="45">
        <f t="shared" si="294"/>
        <v>1.5525284645628339</v>
      </c>
      <c r="X579" s="45">
        <f t="shared" si="295"/>
        <v>1.4531028881689556E-2</v>
      </c>
      <c r="Y579" s="45">
        <f t="shared" si="269"/>
        <v>3.0381077525920425E-2</v>
      </c>
      <c r="Z579" s="10">
        <f t="shared" si="296"/>
        <v>19.568602404150681</v>
      </c>
      <c r="AA579">
        <f t="shared" si="274"/>
        <v>6331442.3373522554</v>
      </c>
      <c r="AB579" s="10">
        <f t="shared" si="275"/>
        <v>6.3314423373522555</v>
      </c>
      <c r="AC579" s="10">
        <f t="shared" si="276"/>
        <v>6.2304423373522555</v>
      </c>
      <c r="AD579" s="3">
        <f t="shared" si="277"/>
        <v>903.61745284296671</v>
      </c>
      <c r="AI579" s="100">
        <f t="shared" si="278"/>
        <v>1.5525284645628339</v>
      </c>
    </row>
    <row r="580" spans="2:35">
      <c r="B580" s="39">
        <f t="shared" si="279"/>
        <v>552</v>
      </c>
      <c r="C580" s="45">
        <f t="shared" si="280"/>
        <v>16.215827338128523</v>
      </c>
      <c r="D580" s="10">
        <f t="shared" si="281"/>
        <v>8.2841726618717075</v>
      </c>
      <c r="E580" s="40">
        <f t="shared" si="282"/>
        <v>52.431654676256585</v>
      </c>
      <c r="F580" s="40">
        <f t="shared" si="283"/>
        <v>69</v>
      </c>
      <c r="G580" s="3">
        <f t="shared" si="284"/>
        <v>330.27338129497366</v>
      </c>
      <c r="H580" s="3">
        <f t="shared" si="285"/>
        <v>221.47275588995251</v>
      </c>
      <c r="I580">
        <f t="shared" si="270"/>
        <v>2.214727558899525E-4</v>
      </c>
      <c r="J580" s="4">
        <f t="shared" si="286"/>
        <v>2837.7051490666272</v>
      </c>
      <c r="K580" s="40">
        <f t="shared" si="287"/>
        <v>12.812885890473378</v>
      </c>
      <c r="L580" s="40">
        <f t="shared" si="271"/>
        <v>0</v>
      </c>
      <c r="M580" s="10">
        <f t="shared" si="288"/>
        <v>6.3314423373522555</v>
      </c>
      <c r="N580" s="10">
        <f t="shared" si="267"/>
        <v>17.20418640980624</v>
      </c>
      <c r="O580" s="10">
        <f t="shared" si="268"/>
        <v>-0.14810000000000001</v>
      </c>
      <c r="P580" s="10">
        <f t="shared" si="289"/>
        <v>13.089757358007056</v>
      </c>
      <c r="Q580" s="45">
        <f t="shared" si="290"/>
        <v>1.2962630973563785</v>
      </c>
      <c r="R580" s="4">
        <f t="shared" si="291"/>
        <v>521884.6276703811</v>
      </c>
      <c r="S580">
        <f t="shared" si="272"/>
        <v>5.2188462767038108E-4</v>
      </c>
      <c r="T580" s="44">
        <f t="shared" si="273"/>
        <v>1.5545117668116226E-3</v>
      </c>
      <c r="U580" s="45">
        <f t="shared" si="292"/>
        <v>0.93159015462301376</v>
      </c>
      <c r="V580" s="45">
        <f t="shared" si="293"/>
        <v>1.5667226413563669</v>
      </c>
      <c r="W580" s="45">
        <f t="shared" si="294"/>
        <v>1.5522244617267988</v>
      </c>
      <c r="X580" s="45">
        <f t="shared" si="295"/>
        <v>1.4498179629568009E-2</v>
      </c>
      <c r="Y580" s="45">
        <f t="shared" si="269"/>
        <v>3.0413614856052335E-2</v>
      </c>
      <c r="Z580" s="10">
        <f t="shared" si="296"/>
        <v>19.564737627192173</v>
      </c>
      <c r="AA580">
        <f t="shared" si="274"/>
        <v>6330211.8320003962</v>
      </c>
      <c r="AB580" s="10">
        <f t="shared" si="275"/>
        <v>6.3302118320003959</v>
      </c>
      <c r="AC580" s="10">
        <f t="shared" si="276"/>
        <v>6.229211832000396</v>
      </c>
      <c r="AD580" s="3">
        <f t="shared" si="277"/>
        <v>903.43898941267526</v>
      </c>
      <c r="AI580" s="100">
        <f t="shared" si="278"/>
        <v>1.5522244617267988</v>
      </c>
    </row>
    <row r="581" spans="2:35">
      <c r="B581" s="39">
        <f t="shared" si="279"/>
        <v>553</v>
      </c>
      <c r="C581" s="45">
        <f t="shared" si="280"/>
        <v>16.24520383692948</v>
      </c>
      <c r="D581" s="10">
        <f t="shared" si="281"/>
        <v>8.2547961630707505</v>
      </c>
      <c r="E581" s="40">
        <f t="shared" si="282"/>
        <v>52.490407673858499</v>
      </c>
      <c r="F581" s="40">
        <f t="shared" si="283"/>
        <v>69</v>
      </c>
      <c r="G581" s="3">
        <f t="shared" si="284"/>
        <v>330.038369304566</v>
      </c>
      <c r="H581" s="3">
        <f t="shared" si="285"/>
        <v>221.47275588995251</v>
      </c>
      <c r="I581">
        <f t="shared" si="270"/>
        <v>2.214727558899525E-4</v>
      </c>
      <c r="J581" s="4">
        <f t="shared" si="286"/>
        <v>2842.5467247961387</v>
      </c>
      <c r="K581" s="40">
        <f t="shared" si="287"/>
        <v>12.834746709019914</v>
      </c>
      <c r="L581" s="40">
        <f t="shared" si="271"/>
        <v>0</v>
      </c>
      <c r="M581" s="10">
        <f t="shared" si="288"/>
        <v>6.3302118320003959</v>
      </c>
      <c r="N581" s="10">
        <f t="shared" si="267"/>
        <v>17.20418640980624</v>
      </c>
      <c r="O581" s="10">
        <f t="shared" si="268"/>
        <v>-0.14810000000000001</v>
      </c>
      <c r="P581" s="10">
        <f t="shared" si="289"/>
        <v>13.090134162404125</v>
      </c>
      <c r="Q581" s="45">
        <f t="shared" si="290"/>
        <v>1.2985072683050101</v>
      </c>
      <c r="R581" s="4">
        <f t="shared" si="291"/>
        <v>519915.36547778139</v>
      </c>
      <c r="S581">
        <f t="shared" si="272"/>
        <v>5.1991536547778142E-4</v>
      </c>
      <c r="T581" s="44">
        <f t="shared" si="273"/>
        <v>1.5564810290042224E-3</v>
      </c>
      <c r="U581" s="45">
        <f t="shared" si="292"/>
        <v>0.92807492314611362</v>
      </c>
      <c r="V581" s="45">
        <f t="shared" si="293"/>
        <v>1.5663831131240538</v>
      </c>
      <c r="W581" s="45">
        <f t="shared" si="294"/>
        <v>1.55191789914199</v>
      </c>
      <c r="X581" s="45">
        <f t="shared" si="295"/>
        <v>1.4465213982063796E-2</v>
      </c>
      <c r="Y581" s="45">
        <f t="shared" si="269"/>
        <v>3.0446077269036621E-2</v>
      </c>
      <c r="Z581" s="10">
        <f t="shared" si="296"/>
        <v>19.560840576717386</v>
      </c>
      <c r="AA581">
        <f t="shared" si="274"/>
        <v>6328971.0510919048</v>
      </c>
      <c r="AB581" s="10">
        <f t="shared" si="275"/>
        <v>6.3289710510919051</v>
      </c>
      <c r="AC581" s="10">
        <f t="shared" si="276"/>
        <v>6.2279710510919051</v>
      </c>
      <c r="AD581" s="3">
        <f t="shared" si="277"/>
        <v>903.25903569135676</v>
      </c>
      <c r="AI581" s="100">
        <f t="shared" si="278"/>
        <v>1.55191789914199</v>
      </c>
    </row>
    <row r="582" spans="2:35">
      <c r="B582" s="39">
        <f t="shared" si="279"/>
        <v>554</v>
      </c>
      <c r="C582" s="45">
        <f t="shared" si="280"/>
        <v>16.274580335730437</v>
      </c>
      <c r="D582" s="10">
        <f t="shared" si="281"/>
        <v>8.2254196642697934</v>
      </c>
      <c r="E582" s="40">
        <f t="shared" si="282"/>
        <v>52.549160671460413</v>
      </c>
      <c r="F582" s="40">
        <f t="shared" si="283"/>
        <v>69</v>
      </c>
      <c r="G582" s="3">
        <f t="shared" si="284"/>
        <v>329.80335731415835</v>
      </c>
      <c r="H582" s="3">
        <f t="shared" si="285"/>
        <v>221.47275588995251</v>
      </c>
      <c r="I582">
        <f t="shared" si="270"/>
        <v>2.214727558899525E-4</v>
      </c>
      <c r="J582" s="4">
        <f t="shared" si="286"/>
        <v>2847.3937227806241</v>
      </c>
      <c r="K582" s="40">
        <f t="shared" si="287"/>
        <v>12.85663201028421</v>
      </c>
      <c r="L582" s="40">
        <f t="shared" si="271"/>
        <v>0</v>
      </c>
      <c r="M582" s="10">
        <f t="shared" si="288"/>
        <v>6.3289710510919051</v>
      </c>
      <c r="N582" s="10">
        <f t="shared" si="267"/>
        <v>17.20418640980624</v>
      </c>
      <c r="O582" s="10">
        <f t="shared" si="268"/>
        <v>-0.14810000000000001</v>
      </c>
      <c r="P582" s="10">
        <f t="shared" si="289"/>
        <v>13.090514198533294</v>
      </c>
      <c r="Q582" s="45">
        <f t="shared" si="290"/>
        <v>1.3007513741021872</v>
      </c>
      <c r="R582" s="4">
        <f t="shared" si="291"/>
        <v>517946.59066398488</v>
      </c>
      <c r="S582">
        <f t="shared" si="272"/>
        <v>5.1794659066398488E-4</v>
      </c>
      <c r="T582" s="44">
        <f t="shared" si="273"/>
        <v>1.558449803818019E-3</v>
      </c>
      <c r="U582" s="45">
        <f t="shared" si="292"/>
        <v>0.92456056166474621</v>
      </c>
      <c r="V582" s="45">
        <f t="shared" si="293"/>
        <v>1.5660409084937548</v>
      </c>
      <c r="W582" s="45">
        <f t="shared" si="294"/>
        <v>1.5516087765510855</v>
      </c>
      <c r="X582" s="45">
        <f t="shared" si="295"/>
        <v>1.4432131942669235E-2</v>
      </c>
      <c r="Y582" s="45">
        <f t="shared" si="269"/>
        <v>3.0478464499994792E-2</v>
      </c>
      <c r="Z582" s="10">
        <f t="shared" si="296"/>
        <v>19.556911249451943</v>
      </c>
      <c r="AA582">
        <f t="shared" si="274"/>
        <v>6327719.9935842557</v>
      </c>
      <c r="AB582" s="10">
        <f t="shared" si="275"/>
        <v>6.3277199935842559</v>
      </c>
      <c r="AC582" s="10">
        <f t="shared" si="276"/>
        <v>6.2267199935842559</v>
      </c>
      <c r="AD582" s="3">
        <f t="shared" si="277"/>
        <v>903.0775915278108</v>
      </c>
      <c r="AI582" s="100">
        <f t="shared" si="278"/>
        <v>1.5516087765510855</v>
      </c>
    </row>
    <row r="583" spans="2:35">
      <c r="B583" s="39">
        <f t="shared" si="279"/>
        <v>555</v>
      </c>
      <c r="C583" s="45">
        <f t="shared" si="280"/>
        <v>16.303956834531395</v>
      </c>
      <c r="D583" s="10">
        <f t="shared" si="281"/>
        <v>8.1960431654688364</v>
      </c>
      <c r="E583" s="40">
        <f t="shared" si="282"/>
        <v>52.607913669062327</v>
      </c>
      <c r="F583" s="40">
        <f t="shared" si="283"/>
        <v>69</v>
      </c>
      <c r="G583" s="3">
        <f t="shared" si="284"/>
        <v>329.56834532375069</v>
      </c>
      <c r="H583" s="3">
        <f t="shared" si="285"/>
        <v>221.47275588995251</v>
      </c>
      <c r="I583">
        <f t="shared" si="270"/>
        <v>2.214727558899525E-4</v>
      </c>
      <c r="J583" s="4">
        <f t="shared" si="286"/>
        <v>2852.2461430200838</v>
      </c>
      <c r="K583" s="40">
        <f t="shared" si="287"/>
        <v>12.878541794266265</v>
      </c>
      <c r="L583" s="40">
        <f t="shared" si="271"/>
        <v>0</v>
      </c>
      <c r="M583" s="10">
        <f t="shared" si="288"/>
        <v>6.3277199935842559</v>
      </c>
      <c r="N583" s="10">
        <f t="shared" si="267"/>
        <v>17.20418640980624</v>
      </c>
      <c r="O583" s="10">
        <f t="shared" si="268"/>
        <v>-0.14810000000000001</v>
      </c>
      <c r="P583" s="10">
        <f t="shared" si="289"/>
        <v>13.09089746887499</v>
      </c>
      <c r="Q583" s="45">
        <f t="shared" si="290"/>
        <v>1.3029954141972842</v>
      </c>
      <c r="R583" s="4">
        <f t="shared" si="291"/>
        <v>515978.30705187639</v>
      </c>
      <c r="S583">
        <f t="shared" si="272"/>
        <v>5.1597830705187638E-4</v>
      </c>
      <c r="T583" s="44">
        <f t="shared" si="273"/>
        <v>1.5604180874301274E-3</v>
      </c>
      <c r="U583" s="45">
        <f t="shared" si="292"/>
        <v>0.92104707700295196</v>
      </c>
      <c r="V583" s="45">
        <f t="shared" si="293"/>
        <v>1.5656960272104559</v>
      </c>
      <c r="W583" s="45">
        <f t="shared" si="294"/>
        <v>1.5512970936943551</v>
      </c>
      <c r="X583" s="45">
        <f t="shared" si="295"/>
        <v>1.4398933516100776E-2</v>
      </c>
      <c r="Y583" s="45">
        <f t="shared" si="269"/>
        <v>3.0510776284131558E-2</v>
      </c>
      <c r="Z583" s="10">
        <f t="shared" si="296"/>
        <v>19.552949642092489</v>
      </c>
      <c r="AA583">
        <f t="shared" si="274"/>
        <v>6326458.6584256915</v>
      </c>
      <c r="AB583" s="10">
        <f t="shared" si="275"/>
        <v>6.3264586584256914</v>
      </c>
      <c r="AC583" s="10">
        <f t="shared" si="276"/>
        <v>6.2254586584256915</v>
      </c>
      <c r="AD583" s="3">
        <f t="shared" si="277"/>
        <v>902.8946567694984</v>
      </c>
      <c r="AI583" s="100">
        <f t="shared" si="278"/>
        <v>1.5512970936943551</v>
      </c>
    </row>
    <row r="584" spans="2:35">
      <c r="B584" s="39">
        <f t="shared" si="279"/>
        <v>556</v>
      </c>
      <c r="C584" s="45">
        <f t="shared" si="280"/>
        <v>16.333333333332352</v>
      </c>
      <c r="D584" s="10">
        <f t="shared" si="281"/>
        <v>8.1666666666678793</v>
      </c>
      <c r="E584" s="40">
        <f t="shared" si="282"/>
        <v>52.666666666664241</v>
      </c>
      <c r="F584" s="40">
        <f t="shared" si="283"/>
        <v>69</v>
      </c>
      <c r="G584" s="3">
        <f t="shared" si="284"/>
        <v>329.33333333334303</v>
      </c>
      <c r="H584" s="3">
        <f t="shared" si="285"/>
        <v>221.47275588995251</v>
      </c>
      <c r="I584">
        <f t="shared" si="270"/>
        <v>2.214727558899525E-4</v>
      </c>
      <c r="J584" s="4">
        <f t="shared" si="286"/>
        <v>2857.1039855145173</v>
      </c>
      <c r="K584" s="40">
        <f t="shared" si="287"/>
        <v>12.900476060966083</v>
      </c>
      <c r="L584" s="40">
        <f t="shared" si="271"/>
        <v>0</v>
      </c>
      <c r="M584" s="10">
        <f t="shared" si="288"/>
        <v>6.3264586584256914</v>
      </c>
      <c r="N584" s="10">
        <f t="shared" si="267"/>
        <v>17.20418640980624</v>
      </c>
      <c r="O584" s="10">
        <f t="shared" si="268"/>
        <v>-0.14810000000000001</v>
      </c>
      <c r="P584" s="10">
        <f t="shared" si="289"/>
        <v>13.091283975932196</v>
      </c>
      <c r="Q584" s="45">
        <f t="shared" si="290"/>
        <v>1.3052393880393431</v>
      </c>
      <c r="R584" s="4">
        <f t="shared" si="291"/>
        <v>514010.5184643406</v>
      </c>
      <c r="S584">
        <f t="shared" si="272"/>
        <v>5.1401051846434054E-4</v>
      </c>
      <c r="T584" s="44">
        <f t="shared" si="273"/>
        <v>1.5623858760176633E-3</v>
      </c>
      <c r="U584" s="45">
        <f t="shared" si="292"/>
        <v>0.91753447598477111</v>
      </c>
      <c r="V584" s="45">
        <f t="shared" si="293"/>
        <v>1.5653484690168293</v>
      </c>
      <c r="W584" s="45">
        <f t="shared" si="294"/>
        <v>1.5509828503097682</v>
      </c>
      <c r="X584" s="45">
        <f t="shared" si="295"/>
        <v>1.4365618707061101E-2</v>
      </c>
      <c r="Y584" s="45">
        <f t="shared" si="269"/>
        <v>3.0543012356735198E-2</v>
      </c>
      <c r="Z584" s="10">
        <f t="shared" si="296"/>
        <v>19.548955751306281</v>
      </c>
      <c r="AA584">
        <f t="shared" si="274"/>
        <v>6325187.0445551034</v>
      </c>
      <c r="AB584" s="10">
        <f t="shared" si="275"/>
        <v>6.3251870445551033</v>
      </c>
      <c r="AC584" s="10">
        <f t="shared" si="276"/>
        <v>6.2241870445551033</v>
      </c>
      <c r="AD584" s="3">
        <f t="shared" si="277"/>
        <v>902.71023126252408</v>
      </c>
      <c r="AI584" s="100">
        <f t="shared" si="278"/>
        <v>1.5509828503097682</v>
      </c>
    </row>
    <row r="585" spans="2:35">
      <c r="B585" s="39">
        <f t="shared" si="279"/>
        <v>557</v>
      </c>
      <c r="C585" s="45">
        <f t="shared" si="280"/>
        <v>16.362709832133309</v>
      </c>
      <c r="D585" s="10">
        <f t="shared" si="281"/>
        <v>8.1372901678669223</v>
      </c>
      <c r="E585" s="40">
        <f t="shared" si="282"/>
        <v>52.725419664266155</v>
      </c>
      <c r="F585" s="40">
        <f t="shared" si="283"/>
        <v>69</v>
      </c>
      <c r="G585" s="3">
        <f t="shared" si="284"/>
        <v>329.09832134293538</v>
      </c>
      <c r="H585" s="3">
        <f t="shared" si="285"/>
        <v>221.47275588995251</v>
      </c>
      <c r="I585">
        <f t="shared" si="270"/>
        <v>2.214727558899525E-4</v>
      </c>
      <c r="J585" s="4">
        <f t="shared" si="286"/>
        <v>2861.9672502639241</v>
      </c>
      <c r="K585" s="40">
        <f t="shared" si="287"/>
        <v>12.922434810383656</v>
      </c>
      <c r="L585" s="40">
        <f t="shared" si="271"/>
        <v>0</v>
      </c>
      <c r="M585" s="10">
        <f t="shared" si="288"/>
        <v>6.3251870445551033</v>
      </c>
      <c r="N585" s="10">
        <f t="shared" si="267"/>
        <v>17.20418640980624</v>
      </c>
      <c r="O585" s="10">
        <f t="shared" si="268"/>
        <v>-0.14810000000000001</v>
      </c>
      <c r="P585" s="10">
        <f t="shared" si="289"/>
        <v>13.091673722230516</v>
      </c>
      <c r="Q585" s="45">
        <f t="shared" si="290"/>
        <v>1.3074832950770716</v>
      </c>
      <c r="R585" s="4">
        <f t="shared" si="291"/>
        <v>512043.2287242625</v>
      </c>
      <c r="S585">
        <f t="shared" si="272"/>
        <v>5.1204322872426251E-4</v>
      </c>
      <c r="T585" s="44">
        <f t="shared" si="273"/>
        <v>1.5643531657577414E-3</v>
      </c>
      <c r="U585" s="45">
        <f t="shared" si="292"/>
        <v>0.91402276543424477</v>
      </c>
      <c r="V585" s="45">
        <f t="shared" si="293"/>
        <v>1.5649982336528871</v>
      </c>
      <c r="W585" s="45">
        <f t="shared" si="294"/>
        <v>1.5506660461329664</v>
      </c>
      <c r="X585" s="45">
        <f t="shared" si="295"/>
        <v>1.4332187519920714E-2</v>
      </c>
      <c r="Y585" s="45">
        <f t="shared" si="269"/>
        <v>3.0575172453177191E-2</v>
      </c>
      <c r="Z585" s="10">
        <f t="shared" si="296"/>
        <v>19.544929573730361</v>
      </c>
      <c r="AA585">
        <f t="shared" si="274"/>
        <v>6323905.1509017581</v>
      </c>
      <c r="AB585" s="10">
        <f t="shared" si="275"/>
        <v>6.3239051509017585</v>
      </c>
      <c r="AC585" s="10">
        <f t="shared" si="276"/>
        <v>6.2229051509017586</v>
      </c>
      <c r="AD585" s="3">
        <f t="shared" si="277"/>
        <v>902.5243148515965</v>
      </c>
      <c r="AI585" s="100">
        <f t="shared" si="278"/>
        <v>1.5506660461329664</v>
      </c>
    </row>
    <row r="586" spans="2:35">
      <c r="B586" s="39">
        <f t="shared" si="279"/>
        <v>558</v>
      </c>
      <c r="C586" s="45">
        <f t="shared" si="280"/>
        <v>16.392086330934266</v>
      </c>
      <c r="D586" s="10">
        <f t="shared" si="281"/>
        <v>8.1079136690659652</v>
      </c>
      <c r="E586" s="40">
        <f t="shared" si="282"/>
        <v>52.78417266186807</v>
      </c>
      <c r="F586" s="40">
        <f t="shared" si="283"/>
        <v>69</v>
      </c>
      <c r="G586" s="3">
        <f t="shared" si="284"/>
        <v>328.86330935252772</v>
      </c>
      <c r="H586" s="3">
        <f t="shared" si="285"/>
        <v>221.47275588995251</v>
      </c>
      <c r="I586">
        <f t="shared" si="270"/>
        <v>2.214727558899525E-4</v>
      </c>
      <c r="J586" s="4">
        <f t="shared" si="286"/>
        <v>2866.8359372683053</v>
      </c>
      <c r="K586" s="40">
        <f t="shared" si="287"/>
        <v>12.94441804251899</v>
      </c>
      <c r="L586" s="40">
        <f t="shared" si="271"/>
        <v>0</v>
      </c>
      <c r="M586" s="10">
        <f t="shared" si="288"/>
        <v>6.3239051509017585</v>
      </c>
      <c r="N586" s="10">
        <f t="shared" si="267"/>
        <v>17.20418640980624</v>
      </c>
      <c r="O586" s="10">
        <f t="shared" si="268"/>
        <v>-0.14810000000000001</v>
      </c>
      <c r="P586" s="10">
        <f t="shared" si="289"/>
        <v>13.092066710318335</v>
      </c>
      <c r="Q586" s="45">
        <f t="shared" si="290"/>
        <v>1.3097271347588391</v>
      </c>
      <c r="R586" s="4">
        <f t="shared" si="291"/>
        <v>510076.44165452674</v>
      </c>
      <c r="S586">
        <f t="shared" si="272"/>
        <v>5.1007644165452679E-4</v>
      </c>
      <c r="T586" s="44">
        <f t="shared" si="273"/>
        <v>1.5663199528274771E-3</v>
      </c>
      <c r="U586" s="45">
        <f t="shared" si="292"/>
        <v>0.91051195217541303</v>
      </c>
      <c r="V586" s="45">
        <f t="shared" si="293"/>
        <v>1.5646453208574642</v>
      </c>
      <c r="W586" s="45">
        <f t="shared" si="294"/>
        <v>1.5503466808971909</v>
      </c>
      <c r="X586" s="45">
        <f t="shared" si="295"/>
        <v>1.4298639960273363E-2</v>
      </c>
      <c r="Y586" s="45">
        <f t="shared" si="269"/>
        <v>3.0607256308915358E-2</v>
      </c>
      <c r="Z586" s="10">
        <f t="shared" si="296"/>
        <v>19.540871105972947</v>
      </c>
      <c r="AA586">
        <f t="shared" si="274"/>
        <v>6322612.9763857489</v>
      </c>
      <c r="AB586" s="10">
        <f t="shared" si="275"/>
        <v>6.3226129763857486</v>
      </c>
      <c r="AC586" s="10">
        <f t="shared" si="276"/>
        <v>6.2216129763857486</v>
      </c>
      <c r="AD586" s="3">
        <f t="shared" si="277"/>
        <v>902.33690738009409</v>
      </c>
      <c r="AI586" s="100">
        <f t="shared" si="278"/>
        <v>1.5503466808971909</v>
      </c>
    </row>
    <row r="587" spans="2:35">
      <c r="B587" s="39">
        <f t="shared" si="279"/>
        <v>559</v>
      </c>
      <c r="C587" s="45">
        <f t="shared" si="280"/>
        <v>16.421462829735223</v>
      </c>
      <c r="D587" s="10">
        <f t="shared" si="281"/>
        <v>8.0785371702650082</v>
      </c>
      <c r="E587" s="40">
        <f t="shared" si="282"/>
        <v>52.842925659469984</v>
      </c>
      <c r="F587" s="40">
        <f t="shared" si="283"/>
        <v>69</v>
      </c>
      <c r="G587" s="3">
        <f t="shared" si="284"/>
        <v>328.62829736212007</v>
      </c>
      <c r="H587" s="3">
        <f t="shared" si="285"/>
        <v>221.47275588995251</v>
      </c>
      <c r="I587">
        <f t="shared" si="270"/>
        <v>2.214727558899525E-4</v>
      </c>
      <c r="J587" s="4">
        <f t="shared" si="286"/>
        <v>2871.7100465276608</v>
      </c>
      <c r="K587" s="40">
        <f t="shared" si="287"/>
        <v>12.966425757372086</v>
      </c>
      <c r="L587" s="40">
        <f t="shared" si="271"/>
        <v>0</v>
      </c>
      <c r="M587" s="10">
        <f t="shared" si="288"/>
        <v>6.3226129763857486</v>
      </c>
      <c r="N587" s="10">
        <f t="shared" si="267"/>
        <v>17.20418640980624</v>
      </c>
      <c r="O587" s="10">
        <f t="shared" si="268"/>
        <v>-0.14810000000000001</v>
      </c>
      <c r="P587" s="10">
        <f t="shared" si="289"/>
        <v>13.092462942766717</v>
      </c>
      <c r="Q587" s="45">
        <f t="shared" si="290"/>
        <v>1.3119709065326739</v>
      </c>
      <c r="R587" s="4">
        <f t="shared" si="291"/>
        <v>508110.16107801814</v>
      </c>
      <c r="S587">
        <f t="shared" si="272"/>
        <v>5.081101610780181E-4</v>
      </c>
      <c r="T587" s="44">
        <f t="shared" si="273"/>
        <v>1.5682862334039857E-3</v>
      </c>
      <c r="U587" s="45">
        <f t="shared" si="292"/>
        <v>0.90700204303231624</v>
      </c>
      <c r="V587" s="45">
        <f t="shared" si="293"/>
        <v>1.5642897303668264</v>
      </c>
      <c r="W587" s="45">
        <f t="shared" si="294"/>
        <v>1.5500247543333985</v>
      </c>
      <c r="X587" s="45">
        <f t="shared" si="295"/>
        <v>1.4264976033427912E-2</v>
      </c>
      <c r="Y587" s="45">
        <f t="shared" si="269"/>
        <v>3.0639263659493595E-2</v>
      </c>
      <c r="Z587" s="10">
        <f t="shared" si="296"/>
        <v>19.536780344612652</v>
      </c>
      <c r="AA587">
        <f t="shared" si="274"/>
        <v>6321310.5199177396</v>
      </c>
      <c r="AB587" s="10">
        <f t="shared" si="275"/>
        <v>6.3213105199177395</v>
      </c>
      <c r="AC587" s="10">
        <f t="shared" si="276"/>
        <v>6.2203105199177395</v>
      </c>
      <c r="AD587" s="3">
        <f t="shared" si="277"/>
        <v>902.1480086900275</v>
      </c>
      <c r="AI587" s="100">
        <f t="shared" si="278"/>
        <v>1.5500247543333985</v>
      </c>
    </row>
    <row r="588" spans="2:35">
      <c r="B588" s="39">
        <f t="shared" si="279"/>
        <v>560</v>
      </c>
      <c r="C588" s="45">
        <f t="shared" si="280"/>
        <v>16.45083932853618</v>
      </c>
      <c r="D588" s="10">
        <f t="shared" si="281"/>
        <v>8.0491606714640511</v>
      </c>
      <c r="E588" s="40">
        <f t="shared" si="282"/>
        <v>52.901678657071898</v>
      </c>
      <c r="F588" s="40">
        <f t="shared" si="283"/>
        <v>69</v>
      </c>
      <c r="G588" s="3">
        <f t="shared" si="284"/>
        <v>328.39328537171241</v>
      </c>
      <c r="H588" s="3">
        <f t="shared" si="285"/>
        <v>221.47275588995251</v>
      </c>
      <c r="I588">
        <f t="shared" si="270"/>
        <v>2.214727558899525E-4</v>
      </c>
      <c r="J588" s="4">
        <f t="shared" si="286"/>
        <v>2876.5895780419896</v>
      </c>
      <c r="K588" s="40">
        <f t="shared" si="287"/>
        <v>12.988457954942941</v>
      </c>
      <c r="L588" s="40">
        <f t="shared" si="271"/>
        <v>0</v>
      </c>
      <c r="M588" s="10">
        <f t="shared" si="288"/>
        <v>6.3213105199177395</v>
      </c>
      <c r="N588" s="10">
        <f t="shared" si="267"/>
        <v>17.20418640980624</v>
      </c>
      <c r="O588" s="10">
        <f t="shared" si="268"/>
        <v>-0.14810000000000001</v>
      </c>
      <c r="P588" s="10">
        <f t="shared" si="289"/>
        <v>13.092862422169537</v>
      </c>
      <c r="Q588" s="45">
        <f t="shared" si="290"/>
        <v>1.3142146098462606</v>
      </c>
      <c r="R588" s="4">
        <f t="shared" si="291"/>
        <v>506144.39081762161</v>
      </c>
      <c r="S588">
        <f t="shared" si="272"/>
        <v>5.0614439081762158E-4</v>
      </c>
      <c r="T588" s="44">
        <f t="shared" si="273"/>
        <v>1.5702520036643822E-3</v>
      </c>
      <c r="U588" s="45">
        <f t="shared" si="292"/>
        <v>0.90349304482899551</v>
      </c>
      <c r="V588" s="45">
        <f t="shared" si="293"/>
        <v>1.5639314619148041</v>
      </c>
      <c r="W588" s="45">
        <f t="shared" si="294"/>
        <v>1.5497002661701975</v>
      </c>
      <c r="X588" s="45">
        <f t="shared" si="295"/>
        <v>1.4231195744606628E-2</v>
      </c>
      <c r="Y588" s="45">
        <f t="shared" si="269"/>
        <v>3.0671194240542071E-2</v>
      </c>
      <c r="Z588" s="10">
        <f t="shared" si="296"/>
        <v>19.532657286197978</v>
      </c>
      <c r="AA588">
        <f t="shared" si="274"/>
        <v>6319997.7803988094</v>
      </c>
      <c r="AB588" s="10">
        <f t="shared" si="275"/>
        <v>6.3199977803988094</v>
      </c>
      <c r="AC588" s="10">
        <f t="shared" si="276"/>
        <v>6.2189977803988095</v>
      </c>
      <c r="AD588" s="3">
        <f t="shared" si="277"/>
        <v>901.95761862201732</v>
      </c>
      <c r="AI588" s="100">
        <f t="shared" si="278"/>
        <v>1.5497002661701975</v>
      </c>
    </row>
    <row r="589" spans="2:35">
      <c r="B589" s="39">
        <f t="shared" si="279"/>
        <v>561</v>
      </c>
      <c r="C589" s="45">
        <f t="shared" si="280"/>
        <v>16.480215827337137</v>
      </c>
      <c r="D589" s="10">
        <f t="shared" si="281"/>
        <v>8.0197841726630941</v>
      </c>
      <c r="E589" s="40">
        <f t="shared" si="282"/>
        <v>52.960431654673812</v>
      </c>
      <c r="F589" s="40">
        <f t="shared" si="283"/>
        <v>69</v>
      </c>
      <c r="G589" s="3">
        <f t="shared" si="284"/>
        <v>328.15827338130475</v>
      </c>
      <c r="H589" s="3">
        <f t="shared" si="285"/>
        <v>221.47275588995251</v>
      </c>
      <c r="I589">
        <f t="shared" si="270"/>
        <v>2.214727558899525E-4</v>
      </c>
      <c r="J589" s="4">
        <f t="shared" si="286"/>
        <v>2881.4745318112928</v>
      </c>
      <c r="K589" s="40">
        <f t="shared" si="287"/>
        <v>13.010514635231555</v>
      </c>
      <c r="L589" s="40">
        <f t="shared" si="271"/>
        <v>0</v>
      </c>
      <c r="M589" s="10">
        <f t="shared" si="288"/>
        <v>6.3199977803988094</v>
      </c>
      <c r="N589" s="10">
        <f t="shared" si="267"/>
        <v>17.20418640980624</v>
      </c>
      <c r="O589" s="10">
        <f t="shared" si="268"/>
        <v>-0.14810000000000001</v>
      </c>
      <c r="P589" s="10">
        <f t="shared" si="289"/>
        <v>13.093265151143578</v>
      </c>
      <c r="Q589" s="45">
        <f t="shared" si="290"/>
        <v>1.316458244146937</v>
      </c>
      <c r="R589" s="4">
        <f t="shared" si="291"/>
        <v>504179.13469622185</v>
      </c>
      <c r="S589">
        <f t="shared" si="272"/>
        <v>5.0417913469622184E-4</v>
      </c>
      <c r="T589" s="44">
        <f t="shared" si="273"/>
        <v>1.572217259785782E-3</v>
      </c>
      <c r="U589" s="45">
        <f t="shared" si="292"/>
        <v>0.89998496438949083</v>
      </c>
      <c r="V589" s="45">
        <f t="shared" si="293"/>
        <v>1.5635705152337191</v>
      </c>
      <c r="W589" s="45">
        <f t="shared" si="294"/>
        <v>1.549373216133807</v>
      </c>
      <c r="X589" s="45">
        <f t="shared" si="295"/>
        <v>1.4197299099912186E-2</v>
      </c>
      <c r="Y589" s="45">
        <f t="shared" si="269"/>
        <v>3.0703047787779596E-2</v>
      </c>
      <c r="Z589" s="10">
        <f t="shared" si="296"/>
        <v>19.528501927248243</v>
      </c>
      <c r="AA589">
        <f t="shared" si="274"/>
        <v>6318674.756720745</v>
      </c>
      <c r="AB589" s="10">
        <f t="shared" si="275"/>
        <v>6.3186747567207453</v>
      </c>
      <c r="AC589" s="10">
        <f t="shared" si="276"/>
        <v>6.2176747567207453</v>
      </c>
      <c r="AD589" s="3">
        <f t="shared" si="277"/>
        <v>901.76573701533653</v>
      </c>
      <c r="AI589" s="100">
        <f t="shared" si="278"/>
        <v>1.549373216133807</v>
      </c>
    </row>
    <row r="590" spans="2:35">
      <c r="B590" s="39">
        <f t="shared" si="279"/>
        <v>562</v>
      </c>
      <c r="C590" s="45">
        <f t="shared" si="280"/>
        <v>16.509592326138094</v>
      </c>
      <c r="D590" s="10">
        <f t="shared" si="281"/>
        <v>7.990407673862137</v>
      </c>
      <c r="E590" s="40">
        <f t="shared" si="282"/>
        <v>53.019184652275726</v>
      </c>
      <c r="F590" s="40">
        <f t="shared" si="283"/>
        <v>69</v>
      </c>
      <c r="G590" s="3">
        <f t="shared" si="284"/>
        <v>327.9232613908971</v>
      </c>
      <c r="H590" s="3">
        <f t="shared" si="285"/>
        <v>221.47275588995251</v>
      </c>
      <c r="I590">
        <f t="shared" si="270"/>
        <v>2.214727558899525E-4</v>
      </c>
      <c r="J590" s="4">
        <f t="shared" si="286"/>
        <v>2886.3649078355693</v>
      </c>
      <c r="K590" s="40">
        <f t="shared" si="287"/>
        <v>13.032595798237928</v>
      </c>
      <c r="L590" s="40">
        <f t="shared" si="271"/>
        <v>0</v>
      </c>
      <c r="M590" s="10">
        <f t="shared" si="288"/>
        <v>6.3186747567207453</v>
      </c>
      <c r="N590" s="10">
        <f t="shared" si="267"/>
        <v>17.20418640980624</v>
      </c>
      <c r="O590" s="10">
        <f t="shared" si="268"/>
        <v>-0.14810000000000001</v>
      </c>
      <c r="P590" s="10">
        <f t="shared" si="289"/>
        <v>13.093671132328492</v>
      </c>
      <c r="Q590" s="45">
        <f t="shared" si="290"/>
        <v>1.3187018088816909</v>
      </c>
      <c r="R590" s="4">
        <f t="shared" si="291"/>
        <v>502214.39653670369</v>
      </c>
      <c r="S590">
        <f t="shared" si="272"/>
        <v>5.0221439653670371E-4</v>
      </c>
      <c r="T590" s="44">
        <f t="shared" si="273"/>
        <v>1.5741819979453002E-3</v>
      </c>
      <c r="U590" s="45">
        <f t="shared" si="292"/>
        <v>0.89647780853784298</v>
      </c>
      <c r="V590" s="45">
        <f t="shared" si="293"/>
        <v>1.5632068900533147</v>
      </c>
      <c r="W590" s="45">
        <f t="shared" si="294"/>
        <v>1.5490436039481321</v>
      </c>
      <c r="X590" s="45">
        <f t="shared" si="295"/>
        <v>1.4163286105182582E-2</v>
      </c>
      <c r="Y590" s="45">
        <f t="shared" si="269"/>
        <v>3.0734824037013414E-2</v>
      </c>
      <c r="Z590" s="10">
        <f t="shared" si="296"/>
        <v>19.524314264252812</v>
      </c>
      <c r="AA590">
        <f t="shared" si="274"/>
        <v>6317341.4477657955</v>
      </c>
      <c r="AB590" s="10">
        <f t="shared" si="275"/>
        <v>6.3173414477657959</v>
      </c>
      <c r="AC590" s="10">
        <f t="shared" si="276"/>
        <v>6.2163414477657959</v>
      </c>
      <c r="AD590" s="3">
        <f t="shared" si="277"/>
        <v>901.57236370787462</v>
      </c>
      <c r="AI590" s="100">
        <f t="shared" si="278"/>
        <v>1.5490436039481321</v>
      </c>
    </row>
    <row r="591" spans="2:35">
      <c r="B591" s="39">
        <f t="shared" si="279"/>
        <v>563</v>
      </c>
      <c r="C591" s="45">
        <f t="shared" si="280"/>
        <v>16.538968824939051</v>
      </c>
      <c r="D591" s="10">
        <f t="shared" si="281"/>
        <v>7.96103117506118</v>
      </c>
      <c r="E591" s="40">
        <f t="shared" si="282"/>
        <v>53.07793764987764</v>
      </c>
      <c r="F591" s="40">
        <f t="shared" si="283"/>
        <v>69</v>
      </c>
      <c r="G591" s="3">
        <f t="shared" si="284"/>
        <v>327.68824940048944</v>
      </c>
      <c r="H591" s="3">
        <f t="shared" si="285"/>
        <v>221.47275588995251</v>
      </c>
      <c r="I591">
        <f t="shared" si="270"/>
        <v>2.214727558899525E-4</v>
      </c>
      <c r="J591" s="4">
        <f t="shared" si="286"/>
        <v>2891.2607061148201</v>
      </c>
      <c r="K591" s="40">
        <f t="shared" si="287"/>
        <v>13.054701443962061</v>
      </c>
      <c r="L591" s="40">
        <f t="shared" si="271"/>
        <v>0</v>
      </c>
      <c r="M591" s="10">
        <f t="shared" si="288"/>
        <v>6.3173414477657959</v>
      </c>
      <c r="N591" s="10">
        <f t="shared" si="267"/>
        <v>17.20418640980624</v>
      </c>
      <c r="O591" s="10">
        <f t="shared" si="268"/>
        <v>-0.14810000000000001</v>
      </c>
      <c r="P591" s="10">
        <f t="shared" si="289"/>
        <v>13.094080368386924</v>
      </c>
      <c r="Q591" s="45">
        <f t="shared" si="290"/>
        <v>1.320945303497157</v>
      </c>
      <c r="R591" s="4">
        <f t="shared" si="291"/>
        <v>500250.18016195204</v>
      </c>
      <c r="S591">
        <f t="shared" si="272"/>
        <v>5.0025018016195202E-4</v>
      </c>
      <c r="T591" s="44">
        <f t="shared" si="273"/>
        <v>1.5761462143200518E-3</v>
      </c>
      <c r="U591" s="45">
        <f t="shared" si="292"/>
        <v>0.89297158409809252</v>
      </c>
      <c r="V591" s="45">
        <f t="shared" si="293"/>
        <v>1.5628405861014139</v>
      </c>
      <c r="W591" s="45">
        <f t="shared" si="294"/>
        <v>1.5487114293347017</v>
      </c>
      <c r="X591" s="45">
        <f t="shared" si="295"/>
        <v>1.4129156766712114E-2</v>
      </c>
      <c r="Y591" s="45">
        <f t="shared" si="269"/>
        <v>3.076652272414061E-2</v>
      </c>
      <c r="Z591" s="10">
        <f t="shared" si="296"/>
        <v>19.520094293671391</v>
      </c>
      <c r="AA591">
        <f t="shared" si="274"/>
        <v>6315997.8524067681</v>
      </c>
      <c r="AB591" s="10">
        <f t="shared" si="275"/>
        <v>6.3159978524067677</v>
      </c>
      <c r="AC591" s="10">
        <f t="shared" si="276"/>
        <v>6.2149978524067677</v>
      </c>
      <c r="AD591" s="3">
        <f t="shared" si="277"/>
        <v>901.37749853615196</v>
      </c>
      <c r="AI591" s="100">
        <f t="shared" si="278"/>
        <v>1.5487114293347017</v>
      </c>
    </row>
    <row r="592" spans="2:35">
      <c r="B592" s="39">
        <f t="shared" si="279"/>
        <v>564</v>
      </c>
      <c r="C592" s="45">
        <f t="shared" si="280"/>
        <v>16.568345323740008</v>
      </c>
      <c r="D592" s="10">
        <f t="shared" si="281"/>
        <v>7.9316546762602229</v>
      </c>
      <c r="E592" s="40">
        <f t="shared" si="282"/>
        <v>53.136690647479554</v>
      </c>
      <c r="F592" s="40">
        <f t="shared" si="283"/>
        <v>69</v>
      </c>
      <c r="G592" s="3">
        <f t="shared" si="284"/>
        <v>327.45323741008178</v>
      </c>
      <c r="H592" s="3">
        <f t="shared" si="285"/>
        <v>221.47275588995251</v>
      </c>
      <c r="I592">
        <f t="shared" si="270"/>
        <v>2.214727558899525E-4</v>
      </c>
      <c r="J592" s="4">
        <f t="shared" si="286"/>
        <v>2896.1619266490447</v>
      </c>
      <c r="K592" s="40">
        <f t="shared" si="287"/>
        <v>13.076831572403954</v>
      </c>
      <c r="L592" s="40">
        <f t="shared" si="271"/>
        <v>0</v>
      </c>
      <c r="M592" s="10">
        <f t="shared" si="288"/>
        <v>6.3159978524067677</v>
      </c>
      <c r="N592" s="10">
        <f t="shared" si="267"/>
        <v>17.20418640980624</v>
      </c>
      <c r="O592" s="10">
        <f t="shared" si="268"/>
        <v>-0.14810000000000001</v>
      </c>
      <c r="P592" s="10">
        <f t="shared" si="289"/>
        <v>13.094492862004552</v>
      </c>
      <c r="Q592" s="45">
        <f t="shared" si="290"/>
        <v>1.3231887274396144</v>
      </c>
      <c r="R592" s="4">
        <f t="shared" si="291"/>
        <v>498286.48939485155</v>
      </c>
      <c r="S592">
        <f t="shared" si="272"/>
        <v>4.9828648939485159E-4</v>
      </c>
      <c r="T592" s="44">
        <f t="shared" si="273"/>
        <v>1.5781099050871522E-3</v>
      </c>
      <c r="U592" s="45">
        <f t="shared" si="292"/>
        <v>0.88946629789427978</v>
      </c>
      <c r="V592" s="45">
        <f t="shared" si="293"/>
        <v>1.5624716031037766</v>
      </c>
      <c r="W592" s="45">
        <f t="shared" si="294"/>
        <v>1.5483766920126913</v>
      </c>
      <c r="X592" s="45">
        <f t="shared" si="295"/>
        <v>1.4094911091085294E-2</v>
      </c>
      <c r="Y592" s="45">
        <f t="shared" si="269"/>
        <v>3.0798143585149158E-2</v>
      </c>
      <c r="Z592" s="10">
        <f t="shared" si="296"/>
        <v>19.515842011934087</v>
      </c>
      <c r="AA592">
        <f t="shared" si="274"/>
        <v>6314643.9695070451</v>
      </c>
      <c r="AB592" s="10">
        <f t="shared" si="275"/>
        <v>6.3146439695070455</v>
      </c>
      <c r="AC592" s="10">
        <f t="shared" si="276"/>
        <v>6.2136439695070456</v>
      </c>
      <c r="AD592" s="3">
        <f t="shared" si="277"/>
        <v>901.18114133532197</v>
      </c>
      <c r="AI592" s="100">
        <f t="shared" si="278"/>
        <v>1.5483766920126913</v>
      </c>
    </row>
    <row r="593" spans="2:35">
      <c r="B593" s="39">
        <f t="shared" si="279"/>
        <v>565</v>
      </c>
      <c r="C593" s="45">
        <f t="shared" si="280"/>
        <v>16.597721822540965</v>
      </c>
      <c r="D593" s="10">
        <f t="shared" si="281"/>
        <v>7.9022781774592659</v>
      </c>
      <c r="E593" s="40">
        <f t="shared" si="282"/>
        <v>53.195443645081468</v>
      </c>
      <c r="F593" s="40">
        <f t="shared" si="283"/>
        <v>69</v>
      </c>
      <c r="G593" s="3">
        <f t="shared" si="284"/>
        <v>327.21822541967413</v>
      </c>
      <c r="H593" s="3">
        <f t="shared" si="285"/>
        <v>221.47275588995251</v>
      </c>
      <c r="I593">
        <f t="shared" si="270"/>
        <v>2.214727558899525E-4</v>
      </c>
      <c r="J593" s="4">
        <f t="shared" si="286"/>
        <v>2901.0685694382432</v>
      </c>
      <c r="K593" s="40">
        <f t="shared" si="287"/>
        <v>13.098986183563607</v>
      </c>
      <c r="L593" s="40">
        <f t="shared" si="271"/>
        <v>0</v>
      </c>
      <c r="M593" s="10">
        <f t="shared" si="288"/>
        <v>6.3146439695070455</v>
      </c>
      <c r="N593" s="10">
        <f t="shared" si="267"/>
        <v>17.20418640980624</v>
      </c>
      <c r="O593" s="10">
        <f t="shared" si="268"/>
        <v>-0.14810000000000001</v>
      </c>
      <c r="P593" s="10">
        <f t="shared" si="289"/>
        <v>13.094908615890111</v>
      </c>
      <c r="Q593" s="45">
        <f t="shared" si="290"/>
        <v>1.3254320801549828</v>
      </c>
      <c r="R593" s="4">
        <f t="shared" si="291"/>
        <v>496323.32805828709</v>
      </c>
      <c r="S593">
        <f t="shared" si="272"/>
        <v>4.9632332805828714E-4</v>
      </c>
      <c r="T593" s="44">
        <f t="shared" si="273"/>
        <v>1.5800730664237168E-3</v>
      </c>
      <c r="U593" s="45">
        <f t="shared" si="292"/>
        <v>0.88596195675044542</v>
      </c>
      <c r="V593" s="45">
        <f t="shared" si="293"/>
        <v>1.5620999407838456</v>
      </c>
      <c r="W593" s="45">
        <f t="shared" si="294"/>
        <v>1.5480393916989297</v>
      </c>
      <c r="X593" s="45">
        <f t="shared" si="295"/>
        <v>1.4060549084915941E-2</v>
      </c>
      <c r="Y593" s="45">
        <f t="shared" si="269"/>
        <v>3.0829686356118376E-2</v>
      </c>
      <c r="Z593" s="10">
        <f t="shared" si="296"/>
        <v>19.511557415441068</v>
      </c>
      <c r="AA593">
        <f t="shared" si="274"/>
        <v>6313279.7979204785</v>
      </c>
      <c r="AB593" s="10">
        <f t="shared" si="275"/>
        <v>6.3132797979204787</v>
      </c>
      <c r="AC593" s="10">
        <f t="shared" si="276"/>
        <v>6.2122797979204787</v>
      </c>
      <c r="AD593" s="3">
        <f t="shared" si="277"/>
        <v>900.98329193915572</v>
      </c>
      <c r="AI593" s="100">
        <f t="shared" si="278"/>
        <v>1.5480393916989297</v>
      </c>
    </row>
    <row r="594" spans="2:35">
      <c r="B594" s="39">
        <f t="shared" si="279"/>
        <v>566</v>
      </c>
      <c r="C594" s="45">
        <f t="shared" si="280"/>
        <v>16.627098321341922</v>
      </c>
      <c r="D594" s="10">
        <f t="shared" si="281"/>
        <v>7.8729016786583088</v>
      </c>
      <c r="E594" s="40">
        <f t="shared" si="282"/>
        <v>53.254196642683382</v>
      </c>
      <c r="F594" s="40">
        <f t="shared" si="283"/>
        <v>69</v>
      </c>
      <c r="G594" s="3">
        <f t="shared" si="284"/>
        <v>326.98321342926647</v>
      </c>
      <c r="H594" s="3">
        <f t="shared" si="285"/>
        <v>221.47275588995251</v>
      </c>
      <c r="I594">
        <f t="shared" si="270"/>
        <v>2.214727558899525E-4</v>
      </c>
      <c r="J594" s="4">
        <f t="shared" si="286"/>
        <v>2905.9806344824156</v>
      </c>
      <c r="K594" s="40">
        <f t="shared" si="287"/>
        <v>13.121165277441017</v>
      </c>
      <c r="L594" s="40">
        <f t="shared" si="271"/>
        <v>0</v>
      </c>
      <c r="M594" s="10">
        <f t="shared" si="288"/>
        <v>6.3132797979204787</v>
      </c>
      <c r="N594" s="10">
        <f t="shared" si="267"/>
        <v>17.20418640980624</v>
      </c>
      <c r="O594" s="10">
        <f t="shared" si="268"/>
        <v>-0.14810000000000001</v>
      </c>
      <c r="P594" s="10">
        <f t="shared" si="289"/>
        <v>13.095327632775492</v>
      </c>
      <c r="Q594" s="45">
        <f t="shared" si="290"/>
        <v>1.3276753610888201</v>
      </c>
      <c r="R594" s="4">
        <f t="shared" si="291"/>
        <v>494360.69997514342</v>
      </c>
      <c r="S594">
        <f t="shared" si="272"/>
        <v>4.9436069997514339E-4</v>
      </c>
      <c r="T594" s="44">
        <f t="shared" si="273"/>
        <v>1.5820356945068603E-3</v>
      </c>
      <c r="U594" s="45">
        <f t="shared" si="292"/>
        <v>0.88245856749062979</v>
      </c>
      <c r="V594" s="45">
        <f t="shared" si="293"/>
        <v>1.561725598863281</v>
      </c>
      <c r="W594" s="45">
        <f t="shared" si="294"/>
        <v>1.5476995281078698</v>
      </c>
      <c r="X594" s="45">
        <f t="shared" si="295"/>
        <v>1.402607075541118E-2</v>
      </c>
      <c r="Y594" s="45">
        <f t="shared" si="269"/>
        <v>3.0861150773220644E-2</v>
      </c>
      <c r="Z594" s="10">
        <f t="shared" si="296"/>
        <v>19.507240500563068</v>
      </c>
      <c r="AA594">
        <f t="shared" si="274"/>
        <v>6311905.3364915447</v>
      </c>
      <c r="AB594" s="10">
        <f t="shared" si="275"/>
        <v>6.3119053364915452</v>
      </c>
      <c r="AC594" s="10">
        <f t="shared" si="276"/>
        <v>6.2109053364915452</v>
      </c>
      <c r="AD594" s="3">
        <f t="shared" si="277"/>
        <v>900.78395018006449</v>
      </c>
      <c r="AI594" s="100">
        <f t="shared" si="278"/>
        <v>1.5476995281078698</v>
      </c>
    </row>
    <row r="595" spans="2:35">
      <c r="B595" s="39">
        <f t="shared" si="279"/>
        <v>567</v>
      </c>
      <c r="C595" s="45">
        <f t="shared" si="280"/>
        <v>16.656474820142879</v>
      </c>
      <c r="D595" s="10">
        <f t="shared" si="281"/>
        <v>7.8435251798573518</v>
      </c>
      <c r="E595" s="40">
        <f t="shared" si="282"/>
        <v>53.312949640285296</v>
      </c>
      <c r="F595" s="40">
        <f t="shared" si="283"/>
        <v>69</v>
      </c>
      <c r="G595" s="3">
        <f t="shared" si="284"/>
        <v>326.74820143885881</v>
      </c>
      <c r="H595" s="3">
        <f t="shared" si="285"/>
        <v>221.47275588995251</v>
      </c>
      <c r="I595">
        <f t="shared" si="270"/>
        <v>2.214727558899525E-4</v>
      </c>
      <c r="J595" s="4">
        <f t="shared" si="286"/>
        <v>2910.8981217815622</v>
      </c>
      <c r="K595" s="40">
        <f t="shared" si="287"/>
        <v>13.143368854036192</v>
      </c>
      <c r="L595" s="40">
        <f t="shared" si="271"/>
        <v>0</v>
      </c>
      <c r="M595" s="10">
        <f t="shared" si="288"/>
        <v>6.3119053364915452</v>
      </c>
      <c r="N595" s="10">
        <f t="shared" si="267"/>
        <v>17.20418640980624</v>
      </c>
      <c r="O595" s="10">
        <f t="shared" si="268"/>
        <v>-0.14810000000000001</v>
      </c>
      <c r="P595" s="10">
        <f t="shared" si="289"/>
        <v>13.095749915415748</v>
      </c>
      <c r="Q595" s="45">
        <f t="shared" si="290"/>
        <v>1.3299185696863192</v>
      </c>
      <c r="R595" s="4">
        <f t="shared" si="291"/>
        <v>492398.60896830534</v>
      </c>
      <c r="S595">
        <f t="shared" si="272"/>
        <v>4.9239860896830537E-4</v>
      </c>
      <c r="T595" s="44">
        <f t="shared" si="273"/>
        <v>1.5839977855136985E-3</v>
      </c>
      <c r="U595" s="45">
        <f t="shared" si="292"/>
        <v>0.87895613693887342</v>
      </c>
      <c r="V595" s="45">
        <f t="shared" si="293"/>
        <v>1.5613485770611004</v>
      </c>
      <c r="W595" s="45">
        <f t="shared" si="294"/>
        <v>1.5473571009516311</v>
      </c>
      <c r="X595" s="45">
        <f t="shared" si="295"/>
        <v>1.399147610946927E-2</v>
      </c>
      <c r="Y595" s="45">
        <f t="shared" si="269"/>
        <v>3.0892536572721108E-2</v>
      </c>
      <c r="Z595" s="10">
        <f t="shared" si="296"/>
        <v>19.502891263640564</v>
      </c>
      <c r="AA595">
        <f t="shared" si="274"/>
        <v>6310520.5840550913</v>
      </c>
      <c r="AB595" s="10">
        <f t="shared" si="275"/>
        <v>6.3105205840550909</v>
      </c>
      <c r="AC595" s="10">
        <f t="shared" si="276"/>
        <v>6.2095205840550909</v>
      </c>
      <c r="AD595" s="3">
        <f t="shared" si="277"/>
        <v>900.58311588906327</v>
      </c>
      <c r="AI595" s="100">
        <f t="shared" si="278"/>
        <v>1.5473571009516311</v>
      </c>
    </row>
    <row r="596" spans="2:35">
      <c r="B596" s="39">
        <f t="shared" si="279"/>
        <v>568</v>
      </c>
      <c r="C596" s="45">
        <f t="shared" si="280"/>
        <v>16.685851318943836</v>
      </c>
      <c r="D596" s="10">
        <f t="shared" si="281"/>
        <v>7.8141486810563947</v>
      </c>
      <c r="E596" s="40">
        <f t="shared" si="282"/>
        <v>53.371702637887211</v>
      </c>
      <c r="F596" s="40">
        <f t="shared" si="283"/>
        <v>69</v>
      </c>
      <c r="G596" s="3">
        <f t="shared" si="284"/>
        <v>326.51318944845116</v>
      </c>
      <c r="H596" s="3">
        <f t="shared" si="285"/>
        <v>221.47275588995251</v>
      </c>
      <c r="I596">
        <f t="shared" si="270"/>
        <v>2.214727558899525E-4</v>
      </c>
      <c r="J596" s="4">
        <f t="shared" si="286"/>
        <v>2915.8210313356822</v>
      </c>
      <c r="K596" s="40">
        <f t="shared" si="287"/>
        <v>13.165596913349122</v>
      </c>
      <c r="L596" s="40">
        <f t="shared" si="271"/>
        <v>0</v>
      </c>
      <c r="M596" s="10">
        <f t="shared" si="288"/>
        <v>6.3105205840550909</v>
      </c>
      <c r="N596" s="10">
        <f t="shared" si="267"/>
        <v>17.20418640980624</v>
      </c>
      <c r="O596" s="10">
        <f t="shared" si="268"/>
        <v>-0.14810000000000001</v>
      </c>
      <c r="P596" s="10">
        <f t="shared" si="289"/>
        <v>13.096175466589223</v>
      </c>
      <c r="Q596" s="45">
        <f t="shared" si="290"/>
        <v>1.3321617053923047</v>
      </c>
      <c r="R596" s="4">
        <f t="shared" si="291"/>
        <v>490437.05886065774</v>
      </c>
      <c r="S596">
        <f t="shared" si="272"/>
        <v>4.904370588606577E-4</v>
      </c>
      <c r="T596" s="44">
        <f t="shared" si="273"/>
        <v>1.5859593356213461E-3</v>
      </c>
      <c r="U596" s="45">
        <f t="shared" si="292"/>
        <v>0.87545467191921711</v>
      </c>
      <c r="V596" s="45">
        <f t="shared" si="293"/>
        <v>1.5609688750943818</v>
      </c>
      <c r="W596" s="45">
        <f t="shared" si="294"/>
        <v>1.5470121099399317</v>
      </c>
      <c r="X596" s="45">
        <f t="shared" si="295"/>
        <v>1.3956765154450101E-2</v>
      </c>
      <c r="Y596" s="45">
        <f t="shared" si="269"/>
        <v>3.0923843490979111E-2</v>
      </c>
      <c r="Z596" s="10">
        <f t="shared" si="296"/>
        <v>19.498509700984098</v>
      </c>
      <c r="AA596">
        <f t="shared" si="274"/>
        <v>6309125.5394364307</v>
      </c>
      <c r="AB596" s="10">
        <f t="shared" si="275"/>
        <v>6.3091255394364305</v>
      </c>
      <c r="AC596" s="10">
        <f t="shared" si="276"/>
        <v>6.2081255394364305</v>
      </c>
      <c r="AD596" s="3">
        <f t="shared" si="277"/>
        <v>900.38078889578401</v>
      </c>
      <c r="AI596" s="100">
        <f t="shared" si="278"/>
        <v>1.5470121099399317</v>
      </c>
    </row>
    <row r="597" spans="2:35">
      <c r="B597" s="39">
        <f t="shared" si="279"/>
        <v>569</v>
      </c>
      <c r="C597" s="45">
        <f t="shared" si="280"/>
        <v>16.715227817744793</v>
      </c>
      <c r="D597" s="10">
        <f t="shared" si="281"/>
        <v>7.7847721822554377</v>
      </c>
      <c r="E597" s="40">
        <f t="shared" si="282"/>
        <v>53.430455635489125</v>
      </c>
      <c r="F597" s="40">
        <f t="shared" si="283"/>
        <v>69</v>
      </c>
      <c r="G597" s="3">
        <f t="shared" si="284"/>
        <v>326.2781774580435</v>
      </c>
      <c r="H597" s="3">
        <f t="shared" si="285"/>
        <v>221.47275588995251</v>
      </c>
      <c r="I597">
        <f t="shared" si="270"/>
        <v>2.214727558899525E-4</v>
      </c>
      <c r="J597" s="4">
        <f t="shared" si="286"/>
        <v>2920.7493631447765</v>
      </c>
      <c r="K597" s="40">
        <f t="shared" si="287"/>
        <v>13.187849455379814</v>
      </c>
      <c r="L597" s="40">
        <f t="shared" si="271"/>
        <v>0</v>
      </c>
      <c r="M597" s="10">
        <f t="shared" si="288"/>
        <v>6.3091255394364305</v>
      </c>
      <c r="N597" s="10">
        <f t="shared" si="267"/>
        <v>17.20418640980624</v>
      </c>
      <c r="O597" s="10">
        <f t="shared" si="268"/>
        <v>-0.14810000000000001</v>
      </c>
      <c r="P597" s="10">
        <f t="shared" si="289"/>
        <v>13.096604289097574</v>
      </c>
      <c r="Q597" s="45">
        <f t="shared" si="290"/>
        <v>1.3344047676512303</v>
      </c>
      <c r="R597" s="4">
        <f t="shared" si="291"/>
        <v>488476.05347508535</v>
      </c>
      <c r="S597">
        <f t="shared" si="272"/>
        <v>4.8847605347508531E-4</v>
      </c>
      <c r="T597" s="44">
        <f t="shared" si="273"/>
        <v>1.5879203410069185E-3</v>
      </c>
      <c r="U597" s="45">
        <f t="shared" si="292"/>
        <v>0.87195417925570118</v>
      </c>
      <c r="V597" s="45">
        <f t="shared" si="293"/>
        <v>1.560586492678397</v>
      </c>
      <c r="W597" s="45">
        <f t="shared" si="294"/>
        <v>1.5466645547801154</v>
      </c>
      <c r="X597" s="45">
        <f t="shared" si="295"/>
        <v>1.3921937898281556E-2</v>
      </c>
      <c r="Y597" s="45">
        <f t="shared" si="269"/>
        <v>3.0955071264449852E-2</v>
      </c>
      <c r="Z597" s="10">
        <f t="shared" si="296"/>
        <v>19.494095808874697</v>
      </c>
      <c r="AA597">
        <f t="shared" si="274"/>
        <v>6307720.2014514823</v>
      </c>
      <c r="AB597" s="10">
        <f t="shared" si="275"/>
        <v>6.3077202014514819</v>
      </c>
      <c r="AC597" s="10">
        <f t="shared" si="276"/>
        <v>6.206720201451482</v>
      </c>
      <c r="AD597" s="3">
        <f t="shared" si="277"/>
        <v>900.17696902849639</v>
      </c>
      <c r="AI597" s="100">
        <f t="shared" si="278"/>
        <v>1.5466645547801154</v>
      </c>
    </row>
    <row r="598" spans="2:35">
      <c r="B598" s="39">
        <f t="shared" si="279"/>
        <v>570</v>
      </c>
      <c r="C598" s="45">
        <f t="shared" si="280"/>
        <v>16.74460431654575</v>
      </c>
      <c r="D598" s="10">
        <f t="shared" si="281"/>
        <v>7.7553956834544806</v>
      </c>
      <c r="E598" s="40">
        <f t="shared" si="282"/>
        <v>53.489208633091039</v>
      </c>
      <c r="F598" s="40">
        <f t="shared" si="283"/>
        <v>69</v>
      </c>
      <c r="G598" s="3">
        <f t="shared" si="284"/>
        <v>326.04316546763584</v>
      </c>
      <c r="H598" s="3">
        <f t="shared" si="285"/>
        <v>221.47275588995251</v>
      </c>
      <c r="I598">
        <f t="shared" si="270"/>
        <v>2.214727558899525E-4</v>
      </c>
      <c r="J598" s="4">
        <f t="shared" si="286"/>
        <v>2925.683117208845</v>
      </c>
      <c r="K598" s="40">
        <f t="shared" si="287"/>
        <v>13.210126480128267</v>
      </c>
      <c r="L598" s="40">
        <f t="shared" si="271"/>
        <v>0</v>
      </c>
      <c r="M598" s="10">
        <f t="shared" si="288"/>
        <v>6.3077202014514819</v>
      </c>
      <c r="N598" s="10">
        <f t="shared" si="267"/>
        <v>17.20418640980624</v>
      </c>
      <c r="O598" s="10">
        <f t="shared" si="268"/>
        <v>-0.14810000000000001</v>
      </c>
      <c r="P598" s="10">
        <f t="shared" si="289"/>
        <v>13.097036385765797</v>
      </c>
      <c r="Q598" s="45">
        <f t="shared" si="290"/>
        <v>1.3366477559071754</v>
      </c>
      <c r="R598" s="4">
        <f t="shared" si="291"/>
        <v>486515.59663447289</v>
      </c>
      <c r="S598">
        <f t="shared" si="272"/>
        <v>4.8651559663447292E-4</v>
      </c>
      <c r="T598" s="44">
        <f t="shared" si="273"/>
        <v>1.5898807978475308E-3</v>
      </c>
      <c r="U598" s="45">
        <f t="shared" si="292"/>
        <v>0.86845466577236585</v>
      </c>
      <c r="V598" s="45">
        <f t="shared" si="293"/>
        <v>1.5602014295258506</v>
      </c>
      <c r="W598" s="45">
        <f t="shared" si="294"/>
        <v>1.5463144351771851</v>
      </c>
      <c r="X598" s="45">
        <f t="shared" si="295"/>
        <v>1.3886994348665471E-2</v>
      </c>
      <c r="Y598" s="45">
        <f t="shared" si="269"/>
        <v>3.0986219629684286E-2</v>
      </c>
      <c r="Z598" s="10">
        <f t="shared" si="296"/>
        <v>19.489649583563217</v>
      </c>
      <c r="AA598">
        <f t="shared" si="274"/>
        <v>6306304.568906555</v>
      </c>
      <c r="AB598" s="10">
        <f t="shared" si="275"/>
        <v>6.3063045689065547</v>
      </c>
      <c r="AC598" s="10">
        <f t="shared" si="276"/>
        <v>6.2053045689065547</v>
      </c>
      <c r="AD598" s="3">
        <f t="shared" si="277"/>
        <v>899.97165611407615</v>
      </c>
      <c r="AI598" s="100">
        <f t="shared" si="278"/>
        <v>1.5463144351771851</v>
      </c>
    </row>
    <row r="599" spans="2:35">
      <c r="B599" s="39">
        <f t="shared" si="279"/>
        <v>571</v>
      </c>
      <c r="C599" s="45">
        <f t="shared" si="280"/>
        <v>16.773980815346707</v>
      </c>
      <c r="D599" s="10">
        <f t="shared" si="281"/>
        <v>7.7260191846535236</v>
      </c>
      <c r="E599" s="40">
        <f t="shared" si="282"/>
        <v>53.547961630692953</v>
      </c>
      <c r="F599" s="40">
        <f t="shared" si="283"/>
        <v>69</v>
      </c>
      <c r="G599" s="3">
        <f t="shared" si="284"/>
        <v>325.80815347722819</v>
      </c>
      <c r="H599" s="3">
        <f t="shared" si="285"/>
        <v>221.47275588995251</v>
      </c>
      <c r="I599">
        <f t="shared" si="270"/>
        <v>2.214727558899525E-4</v>
      </c>
      <c r="J599" s="4">
        <f t="shared" si="286"/>
        <v>2930.6222935278865</v>
      </c>
      <c r="K599" s="40">
        <f t="shared" si="287"/>
        <v>13.232427987594475</v>
      </c>
      <c r="L599" s="40">
        <f t="shared" si="271"/>
        <v>0</v>
      </c>
      <c r="M599" s="10">
        <f t="shared" si="288"/>
        <v>6.3063045689065547</v>
      </c>
      <c r="N599" s="10">
        <f t="shared" si="267"/>
        <v>17.20418640980624</v>
      </c>
      <c r="O599" s="10">
        <f t="shared" si="268"/>
        <v>-0.14810000000000001</v>
      </c>
      <c r="P599" s="10">
        <f t="shared" si="289"/>
        <v>13.097471759442337</v>
      </c>
      <c r="Q599" s="45">
        <f t="shared" si="290"/>
        <v>1.3388906696038421</v>
      </c>
      <c r="R599" s="4">
        <f t="shared" si="291"/>
        <v>484555.69216170534</v>
      </c>
      <c r="S599">
        <f t="shared" si="272"/>
        <v>4.8455569216170535E-4</v>
      </c>
      <c r="T599" s="44">
        <f t="shared" si="273"/>
        <v>1.5918407023202985E-3</v>
      </c>
      <c r="U599" s="45">
        <f t="shared" si="292"/>
        <v>0.86495613829325213</v>
      </c>
      <c r="V599" s="45">
        <f t="shared" si="293"/>
        <v>1.5598136853473961</v>
      </c>
      <c r="W599" s="45">
        <f t="shared" si="294"/>
        <v>1.5459617508337515</v>
      </c>
      <c r="X599" s="45">
        <f t="shared" si="295"/>
        <v>1.3851934513644526E-2</v>
      </c>
      <c r="Y599" s="45">
        <f t="shared" si="269"/>
        <v>3.1017288323330269E-2</v>
      </c>
      <c r="Z599" s="10">
        <f t="shared" si="296"/>
        <v>19.485171021270443</v>
      </c>
      <c r="AA599">
        <f t="shared" si="274"/>
        <v>6304878.6405983865</v>
      </c>
      <c r="AB599" s="10">
        <f t="shared" si="275"/>
        <v>6.3048786405983863</v>
      </c>
      <c r="AC599" s="10">
        <f t="shared" si="276"/>
        <v>6.2038786405983863</v>
      </c>
      <c r="AD599" s="3">
        <f t="shared" si="277"/>
        <v>899.76484997801106</v>
      </c>
      <c r="AI599" s="100">
        <f t="shared" si="278"/>
        <v>1.5459617508337515</v>
      </c>
    </row>
    <row r="600" spans="2:35">
      <c r="B600" s="39">
        <f t="shared" si="279"/>
        <v>572</v>
      </c>
      <c r="C600" s="45">
        <f t="shared" si="280"/>
        <v>16.803357314147664</v>
      </c>
      <c r="D600" s="10">
        <f t="shared" si="281"/>
        <v>7.6966426858525665</v>
      </c>
      <c r="E600" s="40">
        <f t="shared" si="282"/>
        <v>53.606714628294867</v>
      </c>
      <c r="F600" s="40">
        <f t="shared" si="283"/>
        <v>69</v>
      </c>
      <c r="G600" s="3">
        <f t="shared" si="284"/>
        <v>325.57314148682053</v>
      </c>
      <c r="H600" s="3">
        <f t="shared" si="285"/>
        <v>221.47275588995251</v>
      </c>
      <c r="I600">
        <f t="shared" si="270"/>
        <v>2.214727558899525E-4</v>
      </c>
      <c r="J600" s="4">
        <f t="shared" si="286"/>
        <v>2935.5668921019028</v>
      </c>
      <c r="K600" s="40">
        <f t="shared" si="287"/>
        <v>13.254753977778446</v>
      </c>
      <c r="L600" s="40">
        <f t="shared" si="271"/>
        <v>0</v>
      </c>
      <c r="M600" s="10">
        <f t="shared" si="288"/>
        <v>6.3048786405983863</v>
      </c>
      <c r="N600" s="10">
        <f t="shared" si="267"/>
        <v>17.20418640980624</v>
      </c>
      <c r="O600" s="10">
        <f t="shared" si="268"/>
        <v>-0.14810000000000001</v>
      </c>
      <c r="P600" s="10">
        <f t="shared" si="289"/>
        <v>13.097910412999131</v>
      </c>
      <c r="Q600" s="45">
        <f t="shared" si="290"/>
        <v>1.3411335081845521</v>
      </c>
      <c r="R600" s="4">
        <f t="shared" si="291"/>
        <v>482596.3438796674</v>
      </c>
      <c r="S600">
        <f t="shared" si="272"/>
        <v>4.8259634387966738E-4</v>
      </c>
      <c r="T600" s="44">
        <f t="shared" si="273"/>
        <v>1.5938000506023364E-3</v>
      </c>
      <c r="U600" s="45">
        <f t="shared" si="292"/>
        <v>0.86145860364240034</v>
      </c>
      <c r="V600" s="45">
        <f t="shared" si="293"/>
        <v>1.5594232598515856</v>
      </c>
      <c r="W600" s="45">
        <f t="shared" si="294"/>
        <v>1.5456065014500375</v>
      </c>
      <c r="X600" s="45">
        <f t="shared" si="295"/>
        <v>1.3816758401548057E-2</v>
      </c>
      <c r="Y600" s="45">
        <f t="shared" si="269"/>
        <v>3.1048277082133612E-2</v>
      </c>
      <c r="Z600" s="10">
        <f t="shared" si="296"/>
        <v>19.48066011818716</v>
      </c>
      <c r="AA600">
        <f t="shared" si="274"/>
        <v>6303442.4153141622</v>
      </c>
      <c r="AB600" s="10">
        <f t="shared" si="275"/>
        <v>6.3034424153141622</v>
      </c>
      <c r="AC600" s="10">
        <f t="shared" si="276"/>
        <v>6.2024424153141622</v>
      </c>
      <c r="AD600" s="3">
        <f t="shared" si="277"/>
        <v>899.55655044440346</v>
      </c>
      <c r="AI600" s="100">
        <f t="shared" si="278"/>
        <v>1.5456065014500375</v>
      </c>
    </row>
    <row r="601" spans="2:35">
      <c r="B601" s="39">
        <f t="shared" si="279"/>
        <v>573</v>
      </c>
      <c r="C601" s="45">
        <f t="shared" si="280"/>
        <v>16.832733812948621</v>
      </c>
      <c r="D601" s="10">
        <f t="shared" si="281"/>
        <v>7.6672661870516094</v>
      </c>
      <c r="E601" s="40">
        <f t="shared" si="282"/>
        <v>53.665467625896781</v>
      </c>
      <c r="F601" s="40">
        <f t="shared" si="283"/>
        <v>69</v>
      </c>
      <c r="G601" s="3">
        <f t="shared" si="284"/>
        <v>325.33812949641288</v>
      </c>
      <c r="H601" s="3">
        <f t="shared" si="285"/>
        <v>221.47275588995251</v>
      </c>
      <c r="I601">
        <f t="shared" si="270"/>
        <v>2.214727558899525E-4</v>
      </c>
      <c r="J601" s="4">
        <f t="shared" si="286"/>
        <v>2940.5169129308924</v>
      </c>
      <c r="K601" s="40">
        <f t="shared" si="287"/>
        <v>13.277104450680175</v>
      </c>
      <c r="L601" s="40">
        <f t="shared" si="271"/>
        <v>0</v>
      </c>
      <c r="M601" s="10">
        <f t="shared" si="288"/>
        <v>6.3034424153141622</v>
      </c>
      <c r="N601" s="10">
        <f t="shared" si="267"/>
        <v>17.20418640980624</v>
      </c>
      <c r="O601" s="10">
        <f t="shared" si="268"/>
        <v>-0.14810000000000001</v>
      </c>
      <c r="P601" s="10">
        <f t="shared" si="289"/>
        <v>13.098352349331668</v>
      </c>
      <c r="Q601" s="45">
        <f t="shared" si="290"/>
        <v>1.3433762710922439</v>
      </c>
      <c r="R601" s="4">
        <f t="shared" si="291"/>
        <v>480637.55561124388</v>
      </c>
      <c r="S601">
        <f t="shared" si="272"/>
        <v>4.8063755561124388E-4</v>
      </c>
      <c r="T601" s="44">
        <f t="shared" si="273"/>
        <v>1.5957588388707598E-3</v>
      </c>
      <c r="U601" s="45">
        <f t="shared" si="292"/>
        <v>0.85796206864385083</v>
      </c>
      <c r="V601" s="45">
        <f t="shared" si="293"/>
        <v>1.5590301527450021</v>
      </c>
      <c r="W601" s="45">
        <f t="shared" si="294"/>
        <v>1.5452486867238893</v>
      </c>
      <c r="X601" s="45">
        <f t="shared" si="295"/>
        <v>1.3781466021112854E-2</v>
      </c>
      <c r="Y601" s="45">
        <f t="shared" si="269"/>
        <v>3.1079185642939378E-2</v>
      </c>
      <c r="Z601" s="10">
        <f t="shared" si="296"/>
        <v>19.476116870474357</v>
      </c>
      <c r="AA601">
        <f t="shared" si="274"/>
        <v>6301995.8918315796</v>
      </c>
      <c r="AB601" s="10">
        <f t="shared" si="275"/>
        <v>6.3019958918315799</v>
      </c>
      <c r="AC601" s="10">
        <f t="shared" si="276"/>
        <v>6.20099589183158</v>
      </c>
      <c r="AD601" s="3">
        <f t="shared" si="277"/>
        <v>899.34675733597965</v>
      </c>
      <c r="AI601" s="100">
        <f t="shared" si="278"/>
        <v>1.5452486867238893</v>
      </c>
    </row>
    <row r="602" spans="2:35">
      <c r="B602" s="39">
        <f t="shared" si="279"/>
        <v>574</v>
      </c>
      <c r="C602" s="45">
        <f t="shared" si="280"/>
        <v>16.862110311749579</v>
      </c>
      <c r="D602" s="10">
        <f t="shared" si="281"/>
        <v>7.6378896882506524</v>
      </c>
      <c r="E602" s="40">
        <f t="shared" si="282"/>
        <v>53.724220623498695</v>
      </c>
      <c r="F602" s="40">
        <f t="shared" si="283"/>
        <v>69</v>
      </c>
      <c r="G602" s="3">
        <f t="shared" si="284"/>
        <v>325.10311750600522</v>
      </c>
      <c r="H602" s="3">
        <f t="shared" si="285"/>
        <v>221.47275588995251</v>
      </c>
      <c r="I602">
        <f t="shared" si="270"/>
        <v>2.214727558899525E-4</v>
      </c>
      <c r="J602" s="4">
        <f t="shared" si="286"/>
        <v>2945.4723560148564</v>
      </c>
      <c r="K602" s="40">
        <f t="shared" si="287"/>
        <v>13.299479406299666</v>
      </c>
      <c r="L602" s="40">
        <f t="shared" si="271"/>
        <v>0</v>
      </c>
      <c r="M602" s="10">
        <f t="shared" si="288"/>
        <v>6.3019958918315799</v>
      </c>
      <c r="N602" s="10">
        <f t="shared" si="267"/>
        <v>17.20418640980624</v>
      </c>
      <c r="O602" s="10">
        <f t="shared" si="268"/>
        <v>-0.14810000000000001</v>
      </c>
      <c r="P602" s="10">
        <f t="shared" si="289"/>
        <v>13.098797571359027</v>
      </c>
      <c r="Q602" s="45">
        <f t="shared" si="290"/>
        <v>1.3456189577694693</v>
      </c>
      <c r="R602" s="4">
        <f t="shared" si="291"/>
        <v>478679.33117931965</v>
      </c>
      <c r="S602">
        <f t="shared" si="272"/>
        <v>4.7867933117931967E-4</v>
      </c>
      <c r="T602" s="44">
        <f t="shared" si="273"/>
        <v>1.5977170633026841E-3</v>
      </c>
      <c r="U602" s="45">
        <f t="shared" si="292"/>
        <v>0.85446654012164447</v>
      </c>
      <c r="V602" s="45">
        <f t="shared" si="293"/>
        <v>1.5586343637315294</v>
      </c>
      <c r="W602" s="45">
        <f t="shared" si="294"/>
        <v>1.5448883063507868</v>
      </c>
      <c r="X602" s="45">
        <f t="shared" si="295"/>
        <v>1.3746057380742638E-2</v>
      </c>
      <c r="Y602" s="45">
        <f t="shared" si="269"/>
        <v>3.1110013742691546E-2</v>
      </c>
      <c r="Z602" s="10">
        <f t="shared" si="296"/>
        <v>19.471541274262414</v>
      </c>
      <c r="AA602">
        <f t="shared" si="274"/>
        <v>6300539.0689185914</v>
      </c>
      <c r="AB602" s="10">
        <f t="shared" si="275"/>
        <v>6.3005390689185914</v>
      </c>
      <c r="AC602" s="10">
        <f t="shared" si="276"/>
        <v>6.1995390689185914</v>
      </c>
      <c r="AD602" s="3">
        <f t="shared" si="277"/>
        <v>899.13547047405245</v>
      </c>
      <c r="AI602" s="100">
        <f t="shared" si="278"/>
        <v>1.5448883063507868</v>
      </c>
    </row>
    <row r="603" spans="2:35">
      <c r="B603" s="39">
        <f t="shared" si="279"/>
        <v>575</v>
      </c>
      <c r="C603" s="45">
        <f t="shared" si="280"/>
        <v>16.891486810550536</v>
      </c>
      <c r="D603" s="10">
        <f t="shared" si="281"/>
        <v>7.6085131894496953</v>
      </c>
      <c r="E603" s="40">
        <f t="shared" si="282"/>
        <v>53.782973621100609</v>
      </c>
      <c r="F603" s="40">
        <f t="shared" si="283"/>
        <v>69</v>
      </c>
      <c r="G603" s="3">
        <f t="shared" si="284"/>
        <v>324.86810551559756</v>
      </c>
      <c r="H603" s="3">
        <f t="shared" si="285"/>
        <v>221.47275588995251</v>
      </c>
      <c r="I603">
        <f t="shared" si="270"/>
        <v>2.214727558899525E-4</v>
      </c>
      <c r="J603" s="4">
        <f t="shared" si="286"/>
        <v>2950.4332213537941</v>
      </c>
      <c r="K603" s="40">
        <f t="shared" si="287"/>
        <v>13.321878844636915</v>
      </c>
      <c r="L603" s="40">
        <f t="shared" si="271"/>
        <v>0</v>
      </c>
      <c r="M603" s="10">
        <f t="shared" si="288"/>
        <v>6.3005390689185914</v>
      </c>
      <c r="N603" s="10">
        <f t="shared" si="267"/>
        <v>17.20418640980624</v>
      </c>
      <c r="O603" s="10">
        <f t="shared" si="268"/>
        <v>-0.14810000000000001</v>
      </c>
      <c r="P603" s="10">
        <f t="shared" si="289"/>
        <v>13.099246082023997</v>
      </c>
      <c r="Q603" s="45">
        <f t="shared" si="290"/>
        <v>1.3478615676583903</v>
      </c>
      <c r="R603" s="4">
        <f t="shared" si="291"/>
        <v>476721.67440677935</v>
      </c>
      <c r="S603">
        <f t="shared" si="272"/>
        <v>4.7672167440677933E-4</v>
      </c>
      <c r="T603" s="44">
        <f t="shared" si="273"/>
        <v>1.5996747200752244E-3</v>
      </c>
      <c r="U603" s="45">
        <f t="shared" si="292"/>
        <v>0.85097202489982149</v>
      </c>
      <c r="V603" s="45">
        <f t="shared" si="293"/>
        <v>1.5582358925137525</v>
      </c>
      <c r="W603" s="45">
        <f t="shared" si="294"/>
        <v>1.544525360023784</v>
      </c>
      <c r="X603" s="45">
        <f t="shared" si="295"/>
        <v>1.3710532489968452E-2</v>
      </c>
      <c r="Y603" s="45">
        <f t="shared" si="269"/>
        <v>3.114076111843592E-2</v>
      </c>
      <c r="Z603" s="10">
        <f t="shared" si="296"/>
        <v>19.466933325652313</v>
      </c>
      <c r="AA603">
        <f t="shared" si="274"/>
        <v>6299071.945333791</v>
      </c>
      <c r="AB603" s="10">
        <f t="shared" si="275"/>
        <v>6.2990719453337913</v>
      </c>
      <c r="AC603" s="10">
        <f t="shared" si="276"/>
        <v>6.1980719453337914</v>
      </c>
      <c r="AD603" s="3">
        <f t="shared" si="277"/>
        <v>898.9226896785774</v>
      </c>
      <c r="AI603" s="100">
        <f t="shared" si="278"/>
        <v>1.544525360023784</v>
      </c>
    </row>
    <row r="604" spans="2:35">
      <c r="B604" s="39">
        <f t="shared" si="279"/>
        <v>576</v>
      </c>
      <c r="C604" s="45">
        <f t="shared" si="280"/>
        <v>16.920863309351493</v>
      </c>
      <c r="D604" s="10">
        <f t="shared" si="281"/>
        <v>7.5791366906487383</v>
      </c>
      <c r="E604" s="40">
        <f t="shared" si="282"/>
        <v>53.841726618702523</v>
      </c>
      <c r="F604" s="40">
        <f t="shared" si="283"/>
        <v>69</v>
      </c>
      <c r="G604" s="3">
        <f t="shared" si="284"/>
        <v>324.63309352518991</v>
      </c>
      <c r="H604" s="3">
        <f t="shared" si="285"/>
        <v>221.47275588995251</v>
      </c>
      <c r="I604">
        <f t="shared" si="270"/>
        <v>2.214727558899525E-4</v>
      </c>
      <c r="J604" s="4">
        <f t="shared" si="286"/>
        <v>2955.3995089477057</v>
      </c>
      <c r="K604" s="40">
        <f t="shared" si="287"/>
        <v>13.344302765691925</v>
      </c>
      <c r="L604" s="40">
        <f t="shared" si="271"/>
        <v>0</v>
      </c>
      <c r="M604" s="10">
        <f t="shared" si="288"/>
        <v>6.2990719453337913</v>
      </c>
      <c r="N604" s="10">
        <f t="shared" ref="N604:N667" si="297">IF(fueltype=1,VLOOKUP($M604,kndxbn_,4),IF(fueltype=2,VLOOKUP($M604,knsobn_,4),IF(fueltype=3,VLOOKUP($M604,knsbcobn_,4),IF(fueltype=4,VLOOKUP($M604,knsubn_,4),IF(fueltype=5,am_1,IF(fueltype=6,am_0,IF(fueltype=7,am_3,am_4)))))))</f>
        <v>17.20418640980624</v>
      </c>
      <c r="O604" s="10">
        <f t="shared" ref="O604:O667" si="298">IF(fueltype=1,VLOOKUP($M604,kndxbn_,5),IF(fueltype=2,VLOOKUP($M604,knsobn_,5),IF(fueltype=3,VLOOKUP($M604,knsbcobn_,5),IF(fueltype=4,VLOOKUP($M604,knsubn_,5),IF(fueltype=5,nm_1,IF(fueltype=6,an_0,IF(fueltype=7,nm_3,nm_4)))))))</f>
        <v>-0.14810000000000001</v>
      </c>
      <c r="P604" s="10">
        <f t="shared" si="289"/>
        <v>13.099697884293043</v>
      </c>
      <c r="Q604" s="45">
        <f t="shared" si="290"/>
        <v>1.3501041002007768</v>
      </c>
      <c r="R604" s="4">
        <f t="shared" si="291"/>
        <v>474764.58911650797</v>
      </c>
      <c r="S604">
        <f t="shared" si="272"/>
        <v>4.7476458911650799E-4</v>
      </c>
      <c r="T604" s="44">
        <f t="shared" si="273"/>
        <v>1.6016318053654957E-3</v>
      </c>
      <c r="U604" s="45">
        <f t="shared" si="292"/>
        <v>0.84747852980242255</v>
      </c>
      <c r="V604" s="45">
        <f t="shared" si="293"/>
        <v>1.5578347387909837</v>
      </c>
      <c r="W604" s="45">
        <f t="shared" si="294"/>
        <v>1.5441598474336025</v>
      </c>
      <c r="X604" s="45">
        <f t="shared" si="295"/>
        <v>1.3674891357381203E-2</v>
      </c>
      <c r="Y604" s="45">
        <f t="shared" si="269"/>
        <v>3.1171427507318446E-2</v>
      </c>
      <c r="Z604" s="10">
        <f t="shared" si="296"/>
        <v>19.462293020713997</v>
      </c>
      <c r="AA604">
        <f t="shared" si="274"/>
        <v>6297594.5198258879</v>
      </c>
      <c r="AB604" s="10">
        <f t="shared" si="275"/>
        <v>6.2975945198258882</v>
      </c>
      <c r="AC604" s="10">
        <f t="shared" si="276"/>
        <v>6.1965945198258883</v>
      </c>
      <c r="AD604" s="3">
        <f t="shared" si="277"/>
        <v>898.70841476807652</v>
      </c>
      <c r="AI604" s="100">
        <f t="shared" si="278"/>
        <v>1.5441598474336025</v>
      </c>
    </row>
    <row r="605" spans="2:35">
      <c r="B605" s="39">
        <f t="shared" si="279"/>
        <v>577</v>
      </c>
      <c r="C605" s="45">
        <f t="shared" si="280"/>
        <v>16.95023980815245</v>
      </c>
      <c r="D605" s="10">
        <f t="shared" si="281"/>
        <v>7.5497601918477812</v>
      </c>
      <c r="E605" s="40">
        <f t="shared" si="282"/>
        <v>53.900479616304438</v>
      </c>
      <c r="F605" s="40">
        <f t="shared" si="283"/>
        <v>69</v>
      </c>
      <c r="G605" s="3">
        <f t="shared" si="284"/>
        <v>324.39808153478225</v>
      </c>
      <c r="H605" s="3">
        <f t="shared" si="285"/>
        <v>221.47275588995251</v>
      </c>
      <c r="I605">
        <f t="shared" si="270"/>
        <v>2.214727558899525E-4</v>
      </c>
      <c r="J605" s="4">
        <f t="shared" si="286"/>
        <v>2960.3712187965912</v>
      </c>
      <c r="K605" s="40">
        <f t="shared" si="287"/>
        <v>13.366751169464694</v>
      </c>
      <c r="L605" s="40">
        <f t="shared" si="271"/>
        <v>0</v>
      </c>
      <c r="M605" s="10">
        <f t="shared" si="288"/>
        <v>6.2975945198258882</v>
      </c>
      <c r="N605" s="10">
        <f t="shared" si="297"/>
        <v>17.20418640980624</v>
      </c>
      <c r="O605" s="10">
        <f t="shared" si="298"/>
        <v>-0.14810000000000001</v>
      </c>
      <c r="P605" s="10">
        <f t="shared" si="289"/>
        <v>13.100152981156501</v>
      </c>
      <c r="Q605" s="45">
        <f t="shared" si="290"/>
        <v>1.3523465548380023</v>
      </c>
      <c r="R605" s="4">
        <f t="shared" si="291"/>
        <v>472808.0791313902</v>
      </c>
      <c r="S605">
        <f t="shared" si="272"/>
        <v>4.7280807913139021E-4</v>
      </c>
      <c r="T605" s="44">
        <f t="shared" si="273"/>
        <v>1.6035883153506137E-3</v>
      </c>
      <c r="U605" s="45">
        <f t="shared" si="292"/>
        <v>0.84398606165348811</v>
      </c>
      <c r="V605" s="45">
        <f t="shared" si="293"/>
        <v>1.5574309022614341</v>
      </c>
      <c r="W605" s="45">
        <f t="shared" si="294"/>
        <v>1.5437917682685007</v>
      </c>
      <c r="X605" s="45">
        <f t="shared" si="295"/>
        <v>1.3639133992933372E-2</v>
      </c>
      <c r="Y605" s="45">
        <f t="shared" si="269"/>
        <v>3.1202012646588638E-2</v>
      </c>
      <c r="Z605" s="10">
        <f t="shared" si="296"/>
        <v>19.457620355487894</v>
      </c>
      <c r="AA605">
        <f t="shared" si="274"/>
        <v>6296106.7911341945</v>
      </c>
      <c r="AB605" s="10">
        <f t="shared" si="275"/>
        <v>6.2961067911341946</v>
      </c>
      <c r="AC605" s="10">
        <f t="shared" si="276"/>
        <v>6.1951067911341946</v>
      </c>
      <c r="AD605" s="3">
        <f t="shared" si="277"/>
        <v>898.4926455597091</v>
      </c>
      <c r="AI605" s="100">
        <f t="shared" si="278"/>
        <v>1.5437917682685007</v>
      </c>
    </row>
    <row r="606" spans="2:35">
      <c r="B606" s="39">
        <f t="shared" si="279"/>
        <v>578</v>
      </c>
      <c r="C606" s="45">
        <f t="shared" si="280"/>
        <v>16.979616306953407</v>
      </c>
      <c r="D606" s="10">
        <f t="shared" si="281"/>
        <v>7.5203836930468242</v>
      </c>
      <c r="E606" s="40">
        <f t="shared" si="282"/>
        <v>53.959232613906352</v>
      </c>
      <c r="F606" s="40">
        <f t="shared" si="283"/>
        <v>69</v>
      </c>
      <c r="G606" s="3">
        <f t="shared" si="284"/>
        <v>324.16306954437459</v>
      </c>
      <c r="H606" s="3">
        <f t="shared" si="285"/>
        <v>221.47275588995251</v>
      </c>
      <c r="I606">
        <f t="shared" si="270"/>
        <v>2.214727558899525E-4</v>
      </c>
      <c r="J606" s="4">
        <f t="shared" si="286"/>
        <v>2965.3483509004509</v>
      </c>
      <c r="K606" s="40">
        <f t="shared" si="287"/>
        <v>13.389224055955223</v>
      </c>
      <c r="L606" s="40">
        <f t="shared" si="271"/>
        <v>0</v>
      </c>
      <c r="M606" s="10">
        <f t="shared" si="288"/>
        <v>6.2961067911341946</v>
      </c>
      <c r="N606" s="10">
        <f t="shared" si="297"/>
        <v>17.20418640980624</v>
      </c>
      <c r="O606" s="10">
        <f t="shared" si="298"/>
        <v>-0.14810000000000001</v>
      </c>
      <c r="P606" s="10">
        <f t="shared" si="289"/>
        <v>13.10061137562851</v>
      </c>
      <c r="Q606" s="45">
        <f t="shared" si="290"/>
        <v>1.3545889310110417</v>
      </c>
      <c r="R606" s="4">
        <f t="shared" si="291"/>
        <v>470852.14827431081</v>
      </c>
      <c r="S606">
        <f t="shared" si="272"/>
        <v>4.7085214827431081E-4</v>
      </c>
      <c r="T606" s="44">
        <f t="shared" si="273"/>
        <v>1.6055442462076931E-3</v>
      </c>
      <c r="U606" s="45">
        <f t="shared" si="292"/>
        <v>0.84049462727705859</v>
      </c>
      <c r="V606" s="45">
        <f t="shared" si="293"/>
        <v>1.5570243826204226</v>
      </c>
      <c r="W606" s="45">
        <f t="shared" si="294"/>
        <v>1.5434211222143972</v>
      </c>
      <c r="X606" s="45">
        <f t="shared" si="295"/>
        <v>1.3603260406025441E-2</v>
      </c>
      <c r="Y606" s="45">
        <f t="shared" ref="Y606:Y669" si="299">IF((X606*(Q606-Q605)+Y605)&lt;0,0,X606*(Q606-Q605)+Y605)</f>
        <v>3.123251627359876E-2</v>
      </c>
      <c r="Z606" s="10">
        <f t="shared" si="296"/>
        <v>19.452915325983813</v>
      </c>
      <c r="AA606">
        <f t="shared" si="274"/>
        <v>6294608.7579882769</v>
      </c>
      <c r="AB606" s="10">
        <f t="shared" si="275"/>
        <v>6.2946087579882768</v>
      </c>
      <c r="AC606" s="10">
        <f t="shared" si="276"/>
        <v>6.1936087579882768</v>
      </c>
      <c r="AD606" s="3">
        <f t="shared" si="277"/>
        <v>898.27538186922072</v>
      </c>
      <c r="AI606" s="100">
        <f t="shared" si="278"/>
        <v>1.5434211222143972</v>
      </c>
    </row>
    <row r="607" spans="2:35">
      <c r="B607" s="39">
        <f t="shared" si="279"/>
        <v>579</v>
      </c>
      <c r="C607" s="45">
        <f t="shared" si="280"/>
        <v>17.008992805754364</v>
      </c>
      <c r="D607" s="10">
        <f t="shared" si="281"/>
        <v>7.4910071942458671</v>
      </c>
      <c r="E607" s="40">
        <f t="shared" si="282"/>
        <v>54.017985611508266</v>
      </c>
      <c r="F607" s="40">
        <f t="shared" si="283"/>
        <v>69</v>
      </c>
      <c r="G607" s="3">
        <f t="shared" si="284"/>
        <v>323.92805755396694</v>
      </c>
      <c r="H607" s="3">
        <f t="shared" si="285"/>
        <v>221.47275588995251</v>
      </c>
      <c r="I607">
        <f t="shared" si="270"/>
        <v>2.214727558899525E-4</v>
      </c>
      <c r="J607" s="4">
        <f t="shared" si="286"/>
        <v>2970.330905259284</v>
      </c>
      <c r="K607" s="40">
        <f t="shared" si="287"/>
        <v>13.41172142516351</v>
      </c>
      <c r="L607" s="40">
        <f t="shared" si="271"/>
        <v>0</v>
      </c>
      <c r="M607" s="10">
        <f t="shared" si="288"/>
        <v>6.2946087579882768</v>
      </c>
      <c r="N607" s="10">
        <f t="shared" si="297"/>
        <v>17.20418640980624</v>
      </c>
      <c r="O607" s="10">
        <f t="shared" si="298"/>
        <v>-0.14810000000000001</v>
      </c>
      <c r="P607" s="10">
        <f t="shared" si="289"/>
        <v>13.101073070747166</v>
      </c>
      <c r="Q607" s="45">
        <f t="shared" si="290"/>
        <v>1.3568312281604678</v>
      </c>
      <c r="R607" s="4">
        <f t="shared" si="291"/>
        <v>468896.80036815471</v>
      </c>
      <c r="S607">
        <f t="shared" si="272"/>
        <v>4.6889680036815473E-4</v>
      </c>
      <c r="T607" s="44">
        <f t="shared" si="273"/>
        <v>1.6074995941138491E-3</v>
      </c>
      <c r="U607" s="45">
        <f t="shared" si="292"/>
        <v>0.83700423349717457</v>
      </c>
      <c r="V607" s="45">
        <f t="shared" si="293"/>
        <v>1.5566151795614935</v>
      </c>
      <c r="W607" s="45">
        <f t="shared" si="294"/>
        <v>1.5430479089547817</v>
      </c>
      <c r="X607" s="45">
        <f t="shared" si="295"/>
        <v>1.3567270606711812E-2</v>
      </c>
      <c r="Y607" s="45">
        <f t="shared" si="299"/>
        <v>3.1262938125805682E-2</v>
      </c>
      <c r="Z607" s="10">
        <f t="shared" si="296"/>
        <v>19.448177928181501</v>
      </c>
      <c r="AA607">
        <f t="shared" si="274"/>
        <v>6293100.4191081254</v>
      </c>
      <c r="AB607" s="10">
        <f t="shared" si="275"/>
        <v>6.293100419108125</v>
      </c>
      <c r="AC607" s="10">
        <f t="shared" si="276"/>
        <v>6.192100419108125</v>
      </c>
      <c r="AD607" s="3">
        <f t="shared" si="277"/>
        <v>898.05662351096817</v>
      </c>
      <c r="AI607" s="100">
        <f t="shared" si="278"/>
        <v>1.5430479089547817</v>
      </c>
    </row>
    <row r="608" spans="2:35">
      <c r="B608" s="39">
        <f t="shared" si="279"/>
        <v>580</v>
      </c>
      <c r="C608" s="45">
        <f t="shared" si="280"/>
        <v>17.038369304555321</v>
      </c>
      <c r="D608" s="10">
        <f t="shared" si="281"/>
        <v>7.4616306954449101</v>
      </c>
      <c r="E608" s="40">
        <f t="shared" si="282"/>
        <v>54.07673860911018</v>
      </c>
      <c r="F608" s="40">
        <f t="shared" si="283"/>
        <v>69</v>
      </c>
      <c r="G608" s="3">
        <f t="shared" si="284"/>
        <v>323.69304556355928</v>
      </c>
      <c r="H608" s="3">
        <f t="shared" si="285"/>
        <v>221.47275588995251</v>
      </c>
      <c r="I608">
        <f t="shared" si="270"/>
        <v>2.214727558899525E-4</v>
      </c>
      <c r="J608" s="4">
        <f t="shared" si="286"/>
        <v>2975.318881873091</v>
      </c>
      <c r="K608" s="40">
        <f t="shared" si="287"/>
        <v>13.434243277089557</v>
      </c>
      <c r="L608" s="40">
        <f t="shared" si="271"/>
        <v>0</v>
      </c>
      <c r="M608" s="10">
        <f t="shared" si="288"/>
        <v>6.293100419108125</v>
      </c>
      <c r="N608" s="10">
        <f t="shared" si="297"/>
        <v>17.20418640980624</v>
      </c>
      <c r="O608" s="10">
        <f t="shared" si="298"/>
        <v>-0.14810000000000001</v>
      </c>
      <c r="P608" s="10">
        <f t="shared" si="289"/>
        <v>13.101538069574524</v>
      </c>
      <c r="Q608" s="45">
        <f t="shared" si="290"/>
        <v>1.3590734457264479</v>
      </c>
      <c r="R608" s="4">
        <f t="shared" si="291"/>
        <v>466942.03923580667</v>
      </c>
      <c r="S608">
        <f t="shared" si="272"/>
        <v>4.6694203923580669E-4</v>
      </c>
      <c r="T608" s="44">
        <f t="shared" si="273"/>
        <v>1.6094543552461972E-3</v>
      </c>
      <c r="U608" s="45">
        <f t="shared" si="292"/>
        <v>0.83351488713787669</v>
      </c>
      <c r="V608" s="45">
        <f t="shared" si="293"/>
        <v>1.5562032927756884</v>
      </c>
      <c r="W608" s="45">
        <f t="shared" si="294"/>
        <v>1.5426721281707581</v>
      </c>
      <c r="X608" s="45">
        <f t="shared" si="295"/>
        <v>1.3531164604930312E-2</v>
      </c>
      <c r="Y608" s="45">
        <f t="shared" si="299"/>
        <v>3.1293277940771025E-2</v>
      </c>
      <c r="Z608" s="10">
        <f t="shared" si="296"/>
        <v>19.443408158030124</v>
      </c>
      <c r="AA608">
        <f t="shared" si="274"/>
        <v>6291581.7732039969</v>
      </c>
      <c r="AB608" s="10">
        <f t="shared" si="275"/>
        <v>6.2915817732039967</v>
      </c>
      <c r="AC608" s="10">
        <f t="shared" si="276"/>
        <v>6.1905817732039967</v>
      </c>
      <c r="AD608" s="3">
        <f t="shared" si="277"/>
        <v>897.83637029789656</v>
      </c>
      <c r="AI608" s="100">
        <f t="shared" si="278"/>
        <v>1.5426721281707581</v>
      </c>
    </row>
    <row r="609" spans="2:35">
      <c r="B609" s="39">
        <f t="shared" si="279"/>
        <v>581</v>
      </c>
      <c r="C609" s="45">
        <f t="shared" si="280"/>
        <v>17.067745803356278</v>
      </c>
      <c r="D609" s="10">
        <f t="shared" si="281"/>
        <v>7.432254196643953</v>
      </c>
      <c r="E609" s="40">
        <f t="shared" si="282"/>
        <v>54.135491606712094</v>
      </c>
      <c r="F609" s="40">
        <f t="shared" si="283"/>
        <v>69</v>
      </c>
      <c r="G609" s="3">
        <f t="shared" si="284"/>
        <v>323.45803357315162</v>
      </c>
      <c r="H609" s="3">
        <f t="shared" si="285"/>
        <v>221.47275588995251</v>
      </c>
      <c r="I609">
        <f t="shared" si="270"/>
        <v>2.214727558899525E-4</v>
      </c>
      <c r="J609" s="4">
        <f t="shared" si="286"/>
        <v>2980.3122807418722</v>
      </c>
      <c r="K609" s="40">
        <f t="shared" si="287"/>
        <v>13.456789611733365</v>
      </c>
      <c r="L609" s="40">
        <f t="shared" si="271"/>
        <v>0</v>
      </c>
      <c r="M609" s="10">
        <f t="shared" si="288"/>
        <v>6.2915817732039967</v>
      </c>
      <c r="N609" s="10">
        <f t="shared" si="297"/>
        <v>17.20418640980624</v>
      </c>
      <c r="O609" s="10">
        <f t="shared" si="298"/>
        <v>-0.14810000000000001</v>
      </c>
      <c r="P609" s="10">
        <f t="shared" si="289"/>
        <v>13.102006375196732</v>
      </c>
      <c r="Q609" s="45">
        <f t="shared" si="290"/>
        <v>1.3613155831487416</v>
      </c>
      <c r="R609" s="4">
        <f t="shared" si="291"/>
        <v>464987.86870015145</v>
      </c>
      <c r="S609">
        <f t="shared" si="272"/>
        <v>4.6498786870015146E-4</v>
      </c>
      <c r="T609" s="44">
        <f t="shared" si="273"/>
        <v>1.6114085257818525E-3</v>
      </c>
      <c r="U609" s="45">
        <f t="shared" si="292"/>
        <v>0.83002659502320542</v>
      </c>
      <c r="V609" s="45">
        <f t="shared" si="293"/>
        <v>1.5557887219521476</v>
      </c>
      <c r="W609" s="45">
        <f t="shared" si="294"/>
        <v>1.5422937795410054</v>
      </c>
      <c r="X609" s="45">
        <f t="shared" si="295"/>
        <v>1.349494241114213E-2</v>
      </c>
      <c r="Y609" s="45">
        <f t="shared" si="299"/>
        <v>3.1323535456162746E-2</v>
      </c>
      <c r="Z609" s="10">
        <f t="shared" si="296"/>
        <v>19.438606011448663</v>
      </c>
      <c r="AA609">
        <f t="shared" si="274"/>
        <v>6290052.8189765373</v>
      </c>
      <c r="AB609" s="10">
        <f t="shared" si="275"/>
        <v>6.2900528189765375</v>
      </c>
      <c r="AC609" s="10">
        <f t="shared" si="276"/>
        <v>6.1890528189765375</v>
      </c>
      <c r="AD609" s="3">
        <f t="shared" si="277"/>
        <v>897.61462204155725</v>
      </c>
      <c r="AI609" s="100">
        <f t="shared" si="278"/>
        <v>1.5422937795410054</v>
      </c>
    </row>
    <row r="610" spans="2:35">
      <c r="B610" s="39">
        <f t="shared" si="279"/>
        <v>582</v>
      </c>
      <c r="C610" s="45">
        <f t="shared" si="280"/>
        <v>17.097122302157235</v>
      </c>
      <c r="D610" s="10">
        <f t="shared" si="281"/>
        <v>7.402877697842996</v>
      </c>
      <c r="E610" s="40">
        <f t="shared" si="282"/>
        <v>54.194244604314008</v>
      </c>
      <c r="F610" s="40">
        <f t="shared" si="283"/>
        <v>69</v>
      </c>
      <c r="G610" s="3">
        <f t="shared" si="284"/>
        <v>323.22302158274397</v>
      </c>
      <c r="H610" s="3">
        <f t="shared" si="285"/>
        <v>221.47275588995251</v>
      </c>
      <c r="I610">
        <f t="shared" si="270"/>
        <v>2.214727558899525E-4</v>
      </c>
      <c r="J610" s="4">
        <f t="shared" si="286"/>
        <v>2985.3111018656273</v>
      </c>
      <c r="K610" s="40">
        <f t="shared" si="287"/>
        <v>13.479360429094932</v>
      </c>
      <c r="L610" s="40">
        <f t="shared" si="271"/>
        <v>0</v>
      </c>
      <c r="M610" s="10">
        <f t="shared" si="288"/>
        <v>6.2900528189765375</v>
      </c>
      <c r="N610" s="10">
        <f t="shared" si="297"/>
        <v>17.20418640980624</v>
      </c>
      <c r="O610" s="10">
        <f t="shared" si="298"/>
        <v>-0.14810000000000001</v>
      </c>
      <c r="P610" s="10">
        <f t="shared" si="289"/>
        <v>13.102477990724026</v>
      </c>
      <c r="Q610" s="45">
        <f t="shared" si="290"/>
        <v>1.3635576398666964</v>
      </c>
      <c r="R610" s="4">
        <f t="shared" si="291"/>
        <v>463034.29258407385</v>
      </c>
      <c r="S610">
        <f t="shared" si="272"/>
        <v>4.6303429258407386E-4</v>
      </c>
      <c r="T610" s="44">
        <f t="shared" si="273"/>
        <v>1.6133621018979299E-3</v>
      </c>
      <c r="U610" s="45">
        <f t="shared" si="292"/>
        <v>0.82653936397720107</v>
      </c>
      <c r="V610" s="45">
        <f t="shared" si="293"/>
        <v>1.5553714667777483</v>
      </c>
      <c r="W610" s="45">
        <f t="shared" si="294"/>
        <v>1.5419128627418088</v>
      </c>
      <c r="X610" s="45">
        <f t="shared" si="295"/>
        <v>1.3458604035939459E-2</v>
      </c>
      <c r="Y610" s="45">
        <f t="shared" si="299"/>
        <v>3.1353710409755819E-2</v>
      </c>
      <c r="Z610" s="10">
        <f t="shared" si="296"/>
        <v>19.433771484325735</v>
      </c>
      <c r="AA610">
        <f t="shared" si="274"/>
        <v>6288513.5551167233</v>
      </c>
      <c r="AB610" s="10">
        <f t="shared" si="275"/>
        <v>6.2885135551167233</v>
      </c>
      <c r="AC610" s="10">
        <f t="shared" si="276"/>
        <v>6.1875135551167233</v>
      </c>
      <c r="AD610" s="3">
        <f t="shared" si="277"/>
        <v>897.39137855209913</v>
      </c>
      <c r="AI610" s="100">
        <f t="shared" si="278"/>
        <v>1.5419128627418088</v>
      </c>
    </row>
    <row r="611" spans="2:35">
      <c r="B611" s="39">
        <f t="shared" si="279"/>
        <v>583</v>
      </c>
      <c r="C611" s="45">
        <f t="shared" si="280"/>
        <v>17.126498800958192</v>
      </c>
      <c r="D611" s="10">
        <f t="shared" si="281"/>
        <v>7.3735011990420389</v>
      </c>
      <c r="E611" s="40">
        <f t="shared" si="282"/>
        <v>54.252997601915922</v>
      </c>
      <c r="F611" s="40">
        <f t="shared" si="283"/>
        <v>69</v>
      </c>
      <c r="G611" s="3">
        <f t="shared" si="284"/>
        <v>322.98800959233631</v>
      </c>
      <c r="H611" s="3">
        <f t="shared" si="285"/>
        <v>221.47275588995251</v>
      </c>
      <c r="I611">
        <f t="shared" si="270"/>
        <v>2.214727558899525E-4</v>
      </c>
      <c r="J611" s="4">
        <f t="shared" si="286"/>
        <v>2990.3153452443562</v>
      </c>
      <c r="K611" s="40">
        <f t="shared" si="287"/>
        <v>13.501955729174258</v>
      </c>
      <c r="L611" s="40">
        <f t="shared" si="271"/>
        <v>0</v>
      </c>
      <c r="M611" s="10">
        <f t="shared" si="288"/>
        <v>6.2885135551167233</v>
      </c>
      <c r="N611" s="10">
        <f t="shared" si="297"/>
        <v>17.20418640980624</v>
      </c>
      <c r="O611" s="10">
        <f t="shared" si="298"/>
        <v>-0.14810000000000001</v>
      </c>
      <c r="P611" s="10">
        <f t="shared" si="289"/>
        <v>13.102952919290837</v>
      </c>
      <c r="Q611" s="45">
        <f t="shared" si="290"/>
        <v>1.3657996153192455</v>
      </c>
      <c r="R611" s="4">
        <f t="shared" si="291"/>
        <v>461081.31471045874</v>
      </c>
      <c r="S611">
        <f t="shared" si="272"/>
        <v>4.6108131471045871E-4</v>
      </c>
      <c r="T611" s="44">
        <f t="shared" si="273"/>
        <v>1.615315079771545E-3</v>
      </c>
      <c r="U611" s="45">
        <f t="shared" si="292"/>
        <v>0.82305320082390432</v>
      </c>
      <c r="V611" s="45">
        <f t="shared" si="293"/>
        <v>1.5549515269371028</v>
      </c>
      <c r="W611" s="45">
        <f t="shared" si="294"/>
        <v>1.5415293774470438</v>
      </c>
      <c r="X611" s="45">
        <f t="shared" si="295"/>
        <v>1.3422149490059043E-2</v>
      </c>
      <c r="Y611" s="45">
        <f t="shared" si="299"/>
        <v>3.138380253943298E-2</v>
      </c>
      <c r="Z611" s="10">
        <f t="shared" si="296"/>
        <v>19.428904572519443</v>
      </c>
      <c r="AA611">
        <f t="shared" si="274"/>
        <v>6286963.9803058188</v>
      </c>
      <c r="AB611" s="10">
        <f t="shared" si="275"/>
        <v>6.2869639803058188</v>
      </c>
      <c r="AC611" s="10">
        <f t="shared" si="276"/>
        <v>6.1859639803058188</v>
      </c>
      <c r="AD611" s="3">
        <f t="shared" si="277"/>
        <v>897.16663963826238</v>
      </c>
      <c r="AI611" s="100">
        <f t="shared" si="278"/>
        <v>1.5415293774470438</v>
      </c>
    </row>
    <row r="612" spans="2:35">
      <c r="B612" s="39">
        <f t="shared" si="279"/>
        <v>584</v>
      </c>
      <c r="C612" s="45">
        <f t="shared" si="280"/>
        <v>17.155875299759149</v>
      </c>
      <c r="D612" s="10">
        <f t="shared" si="281"/>
        <v>7.3441247002410819</v>
      </c>
      <c r="E612" s="40">
        <f t="shared" si="282"/>
        <v>54.311750599517836</v>
      </c>
      <c r="F612" s="40">
        <f t="shared" si="283"/>
        <v>69</v>
      </c>
      <c r="G612" s="3">
        <f t="shared" si="284"/>
        <v>322.75299760192866</v>
      </c>
      <c r="H612" s="3">
        <f t="shared" si="285"/>
        <v>221.47275588995251</v>
      </c>
      <c r="I612">
        <f t="shared" si="270"/>
        <v>2.214727558899525E-4</v>
      </c>
      <c r="J612" s="4">
        <f t="shared" si="286"/>
        <v>2995.3250108780594</v>
      </c>
      <c r="K612" s="40">
        <f t="shared" si="287"/>
        <v>13.524575511971346</v>
      </c>
      <c r="L612" s="40">
        <f t="shared" si="271"/>
        <v>0</v>
      </c>
      <c r="M612" s="10">
        <f t="shared" si="288"/>
        <v>6.2869639803058188</v>
      </c>
      <c r="N612" s="10">
        <f t="shared" si="297"/>
        <v>17.20418640980624</v>
      </c>
      <c r="O612" s="10">
        <f t="shared" si="298"/>
        <v>-0.14810000000000001</v>
      </c>
      <c r="P612" s="10">
        <f t="shared" si="289"/>
        <v>13.103431164055843</v>
      </c>
      <c r="Q612" s="45">
        <f t="shared" si="290"/>
        <v>1.3680415089449045</v>
      </c>
      <c r="R612" s="4">
        <f t="shared" si="291"/>
        <v>459128.93890219077</v>
      </c>
      <c r="S612">
        <f t="shared" si="272"/>
        <v>4.5912893890219075E-4</v>
      </c>
      <c r="T612" s="44">
        <f t="shared" si="273"/>
        <v>1.6172674555798129E-3</v>
      </c>
      <c r="U612" s="45">
        <f t="shared" si="292"/>
        <v>0.81956811238735561</v>
      </c>
      <c r="V612" s="45">
        <f t="shared" si="293"/>
        <v>1.5545289021125313</v>
      </c>
      <c r="W612" s="45">
        <f t="shared" si="294"/>
        <v>1.5411433233281668</v>
      </c>
      <c r="X612" s="45">
        <f t="shared" si="295"/>
        <v>1.3385578784364416E-2</v>
      </c>
      <c r="Y612" s="45">
        <f t="shared" si="299"/>
        <v>3.1413811583185403E-2</v>
      </c>
      <c r="Z612" s="10">
        <f t="shared" si="296"/>
        <v>19.424005271857222</v>
      </c>
      <c r="AA612">
        <f t="shared" si="274"/>
        <v>6285404.0932153212</v>
      </c>
      <c r="AB612" s="10">
        <f t="shared" si="275"/>
        <v>6.2854040932153215</v>
      </c>
      <c r="AC612" s="10">
        <f t="shared" si="276"/>
        <v>6.1844040932153215</v>
      </c>
      <c r="AD612" s="3">
        <f t="shared" si="277"/>
        <v>896.94040510737068</v>
      </c>
      <c r="AI612" s="100">
        <f t="shared" si="278"/>
        <v>1.5411433233281668</v>
      </c>
    </row>
    <row r="613" spans="2:35">
      <c r="B613" s="39">
        <f t="shared" si="279"/>
        <v>585</v>
      </c>
      <c r="C613" s="45">
        <f t="shared" si="280"/>
        <v>17.185251798560106</v>
      </c>
      <c r="D613" s="10">
        <f t="shared" si="281"/>
        <v>7.3147482014401248</v>
      </c>
      <c r="E613" s="40">
        <f t="shared" si="282"/>
        <v>54.37050359711975</v>
      </c>
      <c r="F613" s="40">
        <f t="shared" si="283"/>
        <v>69</v>
      </c>
      <c r="G613" s="3">
        <f t="shared" si="284"/>
        <v>322.517985611521</v>
      </c>
      <c r="H613" s="3">
        <f t="shared" si="285"/>
        <v>221.47275588995251</v>
      </c>
      <c r="I613">
        <f t="shared" si="270"/>
        <v>2.214727558899525E-4</v>
      </c>
      <c r="J613" s="4">
        <f t="shared" si="286"/>
        <v>3000.340098766736</v>
      </c>
      <c r="K613" s="40">
        <f t="shared" si="287"/>
        <v>13.547219777486191</v>
      </c>
      <c r="L613" s="40">
        <f t="shared" si="271"/>
        <v>0</v>
      </c>
      <c r="M613" s="10">
        <f t="shared" si="288"/>
        <v>6.2854040932153215</v>
      </c>
      <c r="N613" s="10">
        <f t="shared" si="297"/>
        <v>17.20418640980624</v>
      </c>
      <c r="O613" s="10">
        <f t="shared" si="298"/>
        <v>-0.14810000000000001</v>
      </c>
      <c r="P613" s="10">
        <f t="shared" si="289"/>
        <v>13.10391272820207</v>
      </c>
      <c r="Q613" s="45">
        <f t="shared" si="290"/>
        <v>1.3702833201817677</v>
      </c>
      <c r="R613" s="4">
        <f t="shared" si="291"/>
        <v>457177.16898215492</v>
      </c>
      <c r="S613">
        <f t="shared" si="272"/>
        <v>4.5717716898215495E-4</v>
      </c>
      <c r="T613" s="44">
        <f t="shared" si="273"/>
        <v>1.6192192254998489E-3</v>
      </c>
      <c r="U613" s="45">
        <f t="shared" si="292"/>
        <v>0.81608410549159571</v>
      </c>
      <c r="V613" s="45">
        <f t="shared" si="293"/>
        <v>1.5541035919843282</v>
      </c>
      <c r="W613" s="45">
        <f t="shared" si="294"/>
        <v>1.5407547000541999</v>
      </c>
      <c r="X613" s="45">
        <f t="shared" si="295"/>
        <v>1.3348891930128337E-2</v>
      </c>
      <c r="Y613" s="45">
        <f t="shared" si="299"/>
        <v>3.1443737279114037E-2</v>
      </c>
      <c r="Z613" s="10">
        <f t="shared" si="296"/>
        <v>19.41907357813605</v>
      </c>
      <c r="AA613">
        <f t="shared" si="274"/>
        <v>6283833.8925070306</v>
      </c>
      <c r="AB613" s="10">
        <f t="shared" si="275"/>
        <v>6.2838338925070305</v>
      </c>
      <c r="AC613" s="10">
        <f t="shared" si="276"/>
        <v>6.1828338925070305</v>
      </c>
      <c r="AD613" s="3">
        <f t="shared" si="277"/>
        <v>896.7126747653416</v>
      </c>
      <c r="AI613" s="100">
        <f t="shared" si="278"/>
        <v>1.5407547000541999</v>
      </c>
    </row>
    <row r="614" spans="2:35">
      <c r="B614" s="39">
        <f t="shared" si="279"/>
        <v>586</v>
      </c>
      <c r="C614" s="45">
        <f t="shared" si="280"/>
        <v>17.214628297361063</v>
      </c>
      <c r="D614" s="10">
        <f t="shared" si="281"/>
        <v>7.2853717026391678</v>
      </c>
      <c r="E614" s="40">
        <f t="shared" si="282"/>
        <v>54.429256594721664</v>
      </c>
      <c r="F614" s="40">
        <f t="shared" si="283"/>
        <v>69</v>
      </c>
      <c r="G614" s="3">
        <f t="shared" si="284"/>
        <v>322.28297362111334</v>
      </c>
      <c r="H614" s="3">
        <f t="shared" si="285"/>
        <v>221.47275588995251</v>
      </c>
      <c r="I614">
        <f t="shared" si="270"/>
        <v>2.214727558899525E-4</v>
      </c>
      <c r="J614" s="4">
        <f t="shared" si="286"/>
        <v>3005.3606089103869</v>
      </c>
      <c r="K614" s="40">
        <f t="shared" si="287"/>
        <v>13.569888525718797</v>
      </c>
      <c r="L614" s="40">
        <f t="shared" si="271"/>
        <v>0</v>
      </c>
      <c r="M614" s="10">
        <f t="shared" si="288"/>
        <v>6.2838338925070305</v>
      </c>
      <c r="N614" s="10">
        <f t="shared" si="297"/>
        <v>17.20418640980624</v>
      </c>
      <c r="O614" s="10">
        <f t="shared" si="298"/>
        <v>-0.14810000000000001</v>
      </c>
      <c r="P614" s="10">
        <f t="shared" si="289"/>
        <v>13.104397614936916</v>
      </c>
      <c r="Q614" s="45">
        <f t="shared" si="290"/>
        <v>1.3725250484675053</v>
      </c>
      <c r="R614" s="4">
        <f t="shared" si="291"/>
        <v>455226.00877323595</v>
      </c>
      <c r="S614">
        <f t="shared" si="272"/>
        <v>4.5522600877323597E-4</v>
      </c>
      <c r="T614" s="44">
        <f t="shared" si="273"/>
        <v>1.6211703857087678E-3</v>
      </c>
      <c r="U614" s="45">
        <f t="shared" si="292"/>
        <v>0.81260118696066486</v>
      </c>
      <c r="V614" s="45">
        <f t="shared" si="293"/>
        <v>1.5536755962307809</v>
      </c>
      <c r="W614" s="45">
        <f t="shared" si="294"/>
        <v>1.5403635072917508</v>
      </c>
      <c r="X614" s="45">
        <f t="shared" si="295"/>
        <v>1.3312088939030131E-2</v>
      </c>
      <c r="Y614" s="45">
        <f t="shared" si="299"/>
        <v>3.1473579365430916E-2</v>
      </c>
      <c r="Z614" s="10">
        <f t="shared" si="296"/>
        <v>19.414109487122676</v>
      </c>
      <c r="AA614">
        <f t="shared" si="274"/>
        <v>6282253.376833125</v>
      </c>
      <c r="AB614" s="10">
        <f t="shared" si="275"/>
        <v>6.2822533768331255</v>
      </c>
      <c r="AC614" s="10">
        <f t="shared" si="276"/>
        <v>6.1812533768331255</v>
      </c>
      <c r="AD614" s="3">
        <f t="shared" si="277"/>
        <v>896.48344841669689</v>
      </c>
      <c r="AI614" s="100">
        <f t="shared" si="278"/>
        <v>1.5403635072917508</v>
      </c>
    </row>
    <row r="615" spans="2:35">
      <c r="B615" s="39">
        <f t="shared" si="279"/>
        <v>587</v>
      </c>
      <c r="C615" s="45">
        <f t="shared" si="280"/>
        <v>17.24400479616202</v>
      </c>
      <c r="D615" s="10">
        <f t="shared" si="281"/>
        <v>7.2559952038382107</v>
      </c>
      <c r="E615" s="40">
        <f t="shared" si="282"/>
        <v>54.488009592323579</v>
      </c>
      <c r="F615" s="40">
        <f t="shared" si="283"/>
        <v>69</v>
      </c>
      <c r="G615" s="3">
        <f t="shared" si="284"/>
        <v>322.04796163070569</v>
      </c>
      <c r="H615" s="3">
        <f t="shared" si="285"/>
        <v>221.47275588995251</v>
      </c>
      <c r="I615">
        <f t="shared" ref="I615:I678" si="300">H615/1000^2</f>
        <v>2.214727558899525E-4</v>
      </c>
      <c r="J615" s="4">
        <f t="shared" si="286"/>
        <v>3010.3865413090111</v>
      </c>
      <c r="K615" s="40">
        <f t="shared" si="287"/>
        <v>13.592581756669162</v>
      </c>
      <c r="L615" s="40">
        <f t="shared" ref="L615:L678" si="301">IF((gstar-K615)&lt;0,0,gstar-K615)</f>
        <v>0</v>
      </c>
      <c r="M615" s="10">
        <f t="shared" si="288"/>
        <v>6.2822533768331255</v>
      </c>
      <c r="N615" s="10">
        <f t="shared" si="297"/>
        <v>17.20418640980624</v>
      </c>
      <c r="O615" s="10">
        <f t="shared" si="298"/>
        <v>-0.14810000000000001</v>
      </c>
      <c r="P615" s="10">
        <f t="shared" si="289"/>
        <v>13.104885827492209</v>
      </c>
      <c r="Q615" s="45">
        <f t="shared" si="290"/>
        <v>1.3747666932393605</v>
      </c>
      <c r="R615" s="4">
        <f t="shared" si="291"/>
        <v>453275.46209831868</v>
      </c>
      <c r="S615">
        <f t="shared" ref="S615:S678" si="302">R615/1000^3</f>
        <v>4.532754620983187E-4</v>
      </c>
      <c r="T615" s="44">
        <f t="shared" ref="T615:T678" si="303">(vc/1000^3-S615)</f>
        <v>1.623120932383685E-3</v>
      </c>
      <c r="U615" s="45">
        <f t="shared" si="292"/>
        <v>0.80911936361860382</v>
      </c>
      <c r="V615" s="45">
        <f t="shared" si="293"/>
        <v>1.5532449145274232</v>
      </c>
      <c r="W615" s="45">
        <f t="shared" si="294"/>
        <v>1.5399697447050287</v>
      </c>
      <c r="X615" s="45">
        <f t="shared" si="295"/>
        <v>1.3275169822394517E-2</v>
      </c>
      <c r="Y615" s="45">
        <f t="shared" si="299"/>
        <v>3.1503337580458778E-2</v>
      </c>
      <c r="Z615" s="10">
        <f t="shared" si="296"/>
        <v>19.409112994552764</v>
      </c>
      <c r="AA615">
        <f t="shared" ref="AA615:AA678" si="304">Z615*rat*to+patm*1000000</f>
        <v>6280662.5448358813</v>
      </c>
      <c r="AB615" s="10">
        <f t="shared" ref="AB615:AB678" si="305">AA615/1000000</f>
        <v>6.2806625448358817</v>
      </c>
      <c r="AC615" s="10">
        <f t="shared" ref="AC615:AC678" si="306">AB615-patm</f>
        <v>6.1796625448358817</v>
      </c>
      <c r="AD615" s="3">
        <f t="shared" ref="AD615:AD678" si="307">AC615*1000000/6895</f>
        <v>896.25272586452229</v>
      </c>
      <c r="AI615" s="100">
        <f t="shared" ref="AI615:AI678" si="308">($M615-patm)*1000000*$I615/SQRT(rat*to)*SQRT(k)*(2/(k+1))^((k+1)/2/(k-1))</f>
        <v>1.5399697447050287</v>
      </c>
    </row>
    <row r="616" spans="2:35">
      <c r="B616" s="39">
        <f t="shared" ref="B616:B679" si="309">1+B615</f>
        <v>588</v>
      </c>
      <c r="C616" s="45">
        <f t="shared" ref="C616:C679" si="310">xincp+C615</f>
        <v>17.273381294962977</v>
      </c>
      <c r="D616" s="10">
        <f t="shared" ref="D616:D679" si="311">(F616-E616)/2</f>
        <v>7.2266187050372537</v>
      </c>
      <c r="E616" s="40">
        <f t="shared" ref="E616:E679" si="312">E615+ci*2*xincp</f>
        <v>54.546762589925493</v>
      </c>
      <c r="F616" s="40">
        <f t="shared" ref="F616:F679" si="313">F615-osi*2*xincp</f>
        <v>69</v>
      </c>
      <c r="G616" s="3">
        <f t="shared" ref="G616:G679" si="314">G615-ei*n*2*xincp</f>
        <v>321.81294964029803</v>
      </c>
      <c r="H616" s="3">
        <f t="shared" ref="H616:H679" si="315">PI()/4*(dto+erate*(two-D616)/two)^2</f>
        <v>221.47275588995251</v>
      </c>
      <c r="I616">
        <f t="shared" si="300"/>
        <v>2.214727558899525E-4</v>
      </c>
      <c r="J616" s="4">
        <f t="shared" ref="J616:J679" si="316">PI()/4*dc^2-PI()/4*(F616^2-E616^2)</f>
        <v>3015.4178959626097</v>
      </c>
      <c r="K616" s="40">
        <f t="shared" ref="K616:K679" si="317">J616/H616</f>
        <v>13.615299470337288</v>
      </c>
      <c r="L616" s="40">
        <f t="shared" si="301"/>
        <v>0</v>
      </c>
      <c r="M616" s="10">
        <f t="shared" ref="M616:M679" si="318">AB615</f>
        <v>6.2806625448358817</v>
      </c>
      <c r="N616" s="10">
        <f t="shared" si="297"/>
        <v>17.20418640980624</v>
      </c>
      <c r="O616" s="10">
        <f t="shared" si="298"/>
        <v>-0.14810000000000001</v>
      </c>
      <c r="P616" s="10">
        <f t="shared" ref="P616:P679" si="319">(1+kv*L616)*N616*M616^O616</f>
        <v>13.105377369124346</v>
      </c>
      <c r="Q616" s="45">
        <f t="shared" ref="Q616:Q679" si="320">xincp/P616+Q615</f>
        <v>1.3770082539341457</v>
      </c>
      <c r="R616" s="4">
        <f t="shared" ref="R616:R679" si="321">PI()/4*(F616^2-E616^2)*G616</f>
        <v>451325.53278028779</v>
      </c>
      <c r="S616">
        <f t="shared" si="302"/>
        <v>4.513255327802878E-4</v>
      </c>
      <c r="T616" s="44">
        <f t="shared" si="303"/>
        <v>1.625070861701716E-3</v>
      </c>
      <c r="U616" s="45">
        <f t="shared" ref="U616:U679" si="322">rhopgrain*R616/1000^2</f>
        <v>0.8056386422894527</v>
      </c>
      <c r="V616" s="45">
        <f t="shared" ref="V616:V679" si="323">(U615-U616)/(Q616-Q615)</f>
        <v>1.5528115465482193</v>
      </c>
      <c r="W616" s="45">
        <f t="shared" ref="W616:W679" si="324">IF(V616&lt;AI616,IF(AB615&gt;pbd,AI616,0),AI616)</f>
        <v>1.5395734119557765</v>
      </c>
      <c r="X616" s="45">
        <f t="shared" ref="X616:X679" si="325">V616-W616</f>
        <v>1.323813459244283E-2</v>
      </c>
      <c r="Y616" s="45">
        <f t="shared" si="299"/>
        <v>3.1533011662633476E-2</v>
      </c>
      <c r="Z616" s="10">
        <f t="shared" ref="Z616:Z679" si="326">Y616/T616</f>
        <v>19.404084096131804</v>
      </c>
      <c r="AA616">
        <f t="shared" si="304"/>
        <v>6279061.3951479746</v>
      </c>
      <c r="AB616" s="10">
        <f t="shared" si="305"/>
        <v>6.2790613951479743</v>
      </c>
      <c r="AC616" s="10">
        <f t="shared" si="306"/>
        <v>6.1780613951479744</v>
      </c>
      <c r="AD616" s="3">
        <f t="shared" si="307"/>
        <v>896.02050691051113</v>
      </c>
      <c r="AI616" s="100">
        <f t="shared" si="308"/>
        <v>1.5395734119557765</v>
      </c>
    </row>
    <row r="617" spans="2:35">
      <c r="B617" s="39">
        <f t="shared" si="309"/>
        <v>589</v>
      </c>
      <c r="C617" s="45">
        <f t="shared" si="310"/>
        <v>17.302757793763934</v>
      </c>
      <c r="D617" s="10">
        <f t="shared" si="311"/>
        <v>7.1972422062362966</v>
      </c>
      <c r="E617" s="40">
        <f t="shared" si="312"/>
        <v>54.605515587527407</v>
      </c>
      <c r="F617" s="40">
        <f t="shared" si="313"/>
        <v>69</v>
      </c>
      <c r="G617" s="3">
        <f t="shared" si="314"/>
        <v>321.57793764989037</v>
      </c>
      <c r="H617" s="3">
        <f t="shared" si="315"/>
        <v>221.47275588995251</v>
      </c>
      <c r="I617">
        <f t="shared" si="300"/>
        <v>2.214727558899525E-4</v>
      </c>
      <c r="J617" s="4">
        <f t="shared" si="316"/>
        <v>3020.4546728711821</v>
      </c>
      <c r="K617" s="40">
        <f t="shared" si="317"/>
        <v>13.638041666723172</v>
      </c>
      <c r="L617" s="40">
        <f t="shared" si="301"/>
        <v>0</v>
      </c>
      <c r="M617" s="10">
        <f t="shared" si="318"/>
        <v>6.2790613951479743</v>
      </c>
      <c r="N617" s="10">
        <f t="shared" si="297"/>
        <v>17.20418640980624</v>
      </c>
      <c r="O617" s="10">
        <f t="shared" si="298"/>
        <v>-0.14810000000000001</v>
      </c>
      <c r="P617" s="10">
        <f t="shared" si="319"/>
        <v>13.105872243114268</v>
      </c>
      <c r="Q617" s="45">
        <f t="shared" si="320"/>
        <v>1.3792497299882398</v>
      </c>
      <c r="R617" s="4">
        <f t="shared" si="321"/>
        <v>449376.2246420281</v>
      </c>
      <c r="S617">
        <f t="shared" si="302"/>
        <v>4.493762246420281E-4</v>
      </c>
      <c r="T617" s="44">
        <f t="shared" si="303"/>
        <v>1.6270201698399757E-3</v>
      </c>
      <c r="U617" s="45">
        <f t="shared" si="322"/>
        <v>0.80215902979725229</v>
      </c>
      <c r="V617" s="45">
        <f t="shared" si="323"/>
        <v>1.5523754919642612</v>
      </c>
      <c r="W617" s="45">
        <f t="shared" si="324"/>
        <v>1.539174508703345</v>
      </c>
      <c r="X617" s="45">
        <f t="shared" si="325"/>
        <v>1.3200983260916122E-2</v>
      </c>
      <c r="Y617" s="45">
        <f t="shared" si="299"/>
        <v>3.1562601350503316E-2</v>
      </c>
      <c r="Z617" s="10">
        <f t="shared" si="326"/>
        <v>19.399022787534115</v>
      </c>
      <c r="AA617">
        <f t="shared" si="304"/>
        <v>6277449.9263921492</v>
      </c>
      <c r="AB617" s="10">
        <f t="shared" si="305"/>
        <v>6.2774499263921495</v>
      </c>
      <c r="AC617" s="10">
        <f t="shared" si="306"/>
        <v>6.1764499263921495</v>
      </c>
      <c r="AD617" s="3">
        <f t="shared" si="307"/>
        <v>895.78679135491643</v>
      </c>
      <c r="AI617" s="100">
        <f t="shared" si="308"/>
        <v>1.539174508703345</v>
      </c>
    </row>
    <row r="618" spans="2:35">
      <c r="B618" s="39">
        <f t="shared" si="309"/>
        <v>590</v>
      </c>
      <c r="C618" s="45">
        <f t="shared" si="310"/>
        <v>17.332134292564891</v>
      </c>
      <c r="D618" s="10">
        <f t="shared" si="311"/>
        <v>7.1678657074353396</v>
      </c>
      <c r="E618" s="40">
        <f t="shared" si="312"/>
        <v>54.664268585129321</v>
      </c>
      <c r="F618" s="40">
        <f t="shared" si="313"/>
        <v>69</v>
      </c>
      <c r="G618" s="3">
        <f t="shared" si="314"/>
        <v>321.34292565948272</v>
      </c>
      <c r="H618" s="3">
        <f t="shared" si="315"/>
        <v>221.47275588995251</v>
      </c>
      <c r="I618">
        <f t="shared" si="300"/>
        <v>2.214727558899525E-4</v>
      </c>
      <c r="J618" s="4">
        <f t="shared" si="316"/>
        <v>3025.4968720347288</v>
      </c>
      <c r="K618" s="40">
        <f t="shared" si="317"/>
        <v>13.660808345826817</v>
      </c>
      <c r="L618" s="40">
        <f t="shared" si="301"/>
        <v>0</v>
      </c>
      <c r="M618" s="10">
        <f t="shared" si="318"/>
        <v>6.2774499263921495</v>
      </c>
      <c r="N618" s="10">
        <f t="shared" si="297"/>
        <v>17.20418640980624</v>
      </c>
      <c r="O618" s="10">
        <f t="shared" si="298"/>
        <v>-0.14810000000000001</v>
      </c>
      <c r="P618" s="10">
        <f t="shared" si="319"/>
        <v>13.106370452767639</v>
      </c>
      <c r="Q618" s="45">
        <f t="shared" si="320"/>
        <v>1.3814911208375846</v>
      </c>
      <c r="R618" s="4">
        <f t="shared" si="321"/>
        <v>447427.54150642449</v>
      </c>
      <c r="S618">
        <f t="shared" si="302"/>
        <v>4.4742754150642447E-4</v>
      </c>
      <c r="T618" s="44">
        <f t="shared" si="303"/>
        <v>1.6289688529755792E-3</v>
      </c>
      <c r="U618" s="45">
        <f t="shared" si="322"/>
        <v>0.79868053296604313</v>
      </c>
      <c r="V618" s="45">
        <f t="shared" si="323"/>
        <v>1.5519367504449046</v>
      </c>
      <c r="W618" s="45">
        <f t="shared" si="324"/>
        <v>1.5387730346046116</v>
      </c>
      <c r="X618" s="45">
        <f t="shared" si="325"/>
        <v>1.3163715840293078E-2</v>
      </c>
      <c r="Y618" s="45">
        <f t="shared" si="299"/>
        <v>3.1592106382731126E-2</v>
      </c>
      <c r="Z618" s="10">
        <f t="shared" si="326"/>
        <v>19.393929064403505</v>
      </c>
      <c r="AA618">
        <f t="shared" si="304"/>
        <v>6275828.1371814413</v>
      </c>
      <c r="AB618" s="10">
        <f t="shared" si="305"/>
        <v>6.2758281371814411</v>
      </c>
      <c r="AC618" s="10">
        <f t="shared" si="306"/>
        <v>6.1748281371814411</v>
      </c>
      <c r="AD618" s="3">
        <f t="shared" si="307"/>
        <v>895.5515789965832</v>
      </c>
      <c r="AI618" s="100">
        <f t="shared" si="308"/>
        <v>1.5387730346046116</v>
      </c>
    </row>
    <row r="619" spans="2:35">
      <c r="B619" s="39">
        <f t="shared" si="309"/>
        <v>591</v>
      </c>
      <c r="C619" s="45">
        <f t="shared" si="310"/>
        <v>17.361510791365848</v>
      </c>
      <c r="D619" s="10">
        <f t="shared" si="311"/>
        <v>7.1384892086343825</v>
      </c>
      <c r="E619" s="40">
        <f t="shared" si="312"/>
        <v>54.723021582731235</v>
      </c>
      <c r="F619" s="40">
        <f t="shared" si="313"/>
        <v>69</v>
      </c>
      <c r="G619" s="3">
        <f t="shared" si="314"/>
        <v>321.10791366907506</v>
      </c>
      <c r="H619" s="3">
        <f t="shared" si="315"/>
        <v>221.47275588995251</v>
      </c>
      <c r="I619">
        <f t="shared" si="300"/>
        <v>2.214727558899525E-4</v>
      </c>
      <c r="J619" s="4">
        <f t="shared" si="316"/>
        <v>3030.5444934532488</v>
      </c>
      <c r="K619" s="40">
        <f t="shared" si="317"/>
        <v>13.683599507648221</v>
      </c>
      <c r="L619" s="40">
        <f t="shared" si="301"/>
        <v>0</v>
      </c>
      <c r="M619" s="10">
        <f t="shared" si="318"/>
        <v>6.2758281371814411</v>
      </c>
      <c r="N619" s="10">
        <f t="shared" si="297"/>
        <v>17.20418640980624</v>
      </c>
      <c r="O619" s="10">
        <f t="shared" si="298"/>
        <v>-0.14810000000000001</v>
      </c>
      <c r="P619" s="10">
        <f t="shared" si="319"/>
        <v>13.106872001414825</v>
      </c>
      <c r="Q619" s="45">
        <f t="shared" si="320"/>
        <v>1.383732425917682</v>
      </c>
      <c r="R619" s="4">
        <f t="shared" si="321"/>
        <v>445479.48719636176</v>
      </c>
      <c r="S619">
        <f t="shared" si="302"/>
        <v>4.4547948719636174E-4</v>
      </c>
      <c r="T619" s="44">
        <f t="shared" si="303"/>
        <v>1.6309169072856421E-3</v>
      </c>
      <c r="U619" s="45">
        <f t="shared" si="322"/>
        <v>0.79520315861986557</v>
      </c>
      <c r="V619" s="45">
        <f t="shared" si="323"/>
        <v>1.5514953216572083</v>
      </c>
      <c r="W619" s="45">
        <f t="shared" si="324"/>
        <v>1.5383689893140333</v>
      </c>
      <c r="X619" s="45">
        <f t="shared" si="325"/>
        <v>1.3126332343174951E-2</v>
      </c>
      <c r="Y619" s="45">
        <f t="shared" si="299"/>
        <v>3.162152649809493E-2</v>
      </c>
      <c r="Z619" s="10">
        <f t="shared" si="326"/>
        <v>19.388802922353097</v>
      </c>
      <c r="AA619">
        <f t="shared" si="304"/>
        <v>6274196.0261191111</v>
      </c>
      <c r="AB619" s="10">
        <f t="shared" si="305"/>
        <v>6.2741960261191112</v>
      </c>
      <c r="AC619" s="10">
        <f t="shared" si="306"/>
        <v>6.1731960261191112</v>
      </c>
      <c r="AD619" s="3">
        <f t="shared" si="307"/>
        <v>895.31486963293855</v>
      </c>
      <c r="AI619" s="100">
        <f t="shared" si="308"/>
        <v>1.5383689893140333</v>
      </c>
    </row>
    <row r="620" spans="2:35">
      <c r="B620" s="39">
        <f t="shared" si="309"/>
        <v>592</v>
      </c>
      <c r="C620" s="45">
        <f t="shared" si="310"/>
        <v>17.390887290166805</v>
      </c>
      <c r="D620" s="10">
        <f t="shared" si="311"/>
        <v>7.1091127098334255</v>
      </c>
      <c r="E620" s="40">
        <f t="shared" si="312"/>
        <v>54.781774580333149</v>
      </c>
      <c r="F620" s="40">
        <f t="shared" si="313"/>
        <v>69</v>
      </c>
      <c r="G620" s="3">
        <f t="shared" si="314"/>
        <v>320.8729016786674</v>
      </c>
      <c r="H620" s="3">
        <f t="shared" si="315"/>
        <v>221.47275588995251</v>
      </c>
      <c r="I620">
        <f t="shared" si="300"/>
        <v>2.214727558899525E-4</v>
      </c>
      <c r="J620" s="4">
        <f t="shared" si="316"/>
        <v>3035.5975371267432</v>
      </c>
      <c r="K620" s="40">
        <f t="shared" si="317"/>
        <v>13.706415152187386</v>
      </c>
      <c r="L620" s="40">
        <f t="shared" si="301"/>
        <v>0</v>
      </c>
      <c r="M620" s="10">
        <f t="shared" si="318"/>
        <v>6.2741960261191112</v>
      </c>
      <c r="N620" s="10">
        <f t="shared" si="297"/>
        <v>17.20418640980624</v>
      </c>
      <c r="O620" s="10">
        <f t="shared" si="298"/>
        <v>-0.14810000000000001</v>
      </c>
      <c r="P620" s="10">
        <f t="shared" si="319"/>
        <v>13.107376892410999</v>
      </c>
      <c r="Q620" s="45">
        <f t="shared" si="320"/>
        <v>1.3859736446635904</v>
      </c>
      <c r="R620" s="4">
        <f t="shared" si="321"/>
        <v>443532.0655347248</v>
      </c>
      <c r="S620">
        <f t="shared" si="302"/>
        <v>4.4353206553472479E-4</v>
      </c>
      <c r="T620" s="44">
        <f t="shared" si="303"/>
        <v>1.6328643289472791E-3</v>
      </c>
      <c r="U620" s="45">
        <f t="shared" si="322"/>
        <v>0.79172691358276048</v>
      </c>
      <c r="V620" s="45">
        <f t="shared" si="323"/>
        <v>1.5510512052655778</v>
      </c>
      <c r="W620" s="45">
        <f t="shared" si="324"/>
        <v>1.5379623724836335</v>
      </c>
      <c r="X620" s="45">
        <f t="shared" si="325"/>
        <v>1.3088832781944282E-2</v>
      </c>
      <c r="Y620" s="45">
        <f t="shared" si="299"/>
        <v>3.1650861435487884E-2</v>
      </c>
      <c r="Z620" s="10">
        <f t="shared" si="326"/>
        <v>19.383644356964705</v>
      </c>
      <c r="AA620">
        <f t="shared" si="304"/>
        <v>6272553.5917984555</v>
      </c>
      <c r="AB620" s="10">
        <f t="shared" si="305"/>
        <v>6.2725535917984558</v>
      </c>
      <c r="AC620" s="10">
        <f t="shared" si="306"/>
        <v>6.1715535917984559</v>
      </c>
      <c r="AD620" s="3">
        <f t="shared" si="307"/>
        <v>895.07666305996452</v>
      </c>
      <c r="AI620" s="100">
        <f t="shared" si="308"/>
        <v>1.5379623724836335</v>
      </c>
    </row>
    <row r="621" spans="2:35">
      <c r="B621" s="39">
        <f t="shared" si="309"/>
        <v>593</v>
      </c>
      <c r="C621" s="45">
        <f t="shared" si="310"/>
        <v>17.420263788967763</v>
      </c>
      <c r="D621" s="10">
        <f t="shared" si="311"/>
        <v>7.0797362110324684</v>
      </c>
      <c r="E621" s="40">
        <f t="shared" si="312"/>
        <v>54.840527577935063</v>
      </c>
      <c r="F621" s="40">
        <f t="shared" si="313"/>
        <v>69</v>
      </c>
      <c r="G621" s="3">
        <f t="shared" si="314"/>
        <v>320.63788968825975</v>
      </c>
      <c r="H621" s="3">
        <f t="shared" si="315"/>
        <v>221.47275588995251</v>
      </c>
      <c r="I621">
        <f t="shared" si="300"/>
        <v>2.214727558899525E-4</v>
      </c>
      <c r="J621" s="4">
        <f t="shared" si="316"/>
        <v>3040.6560030552109</v>
      </c>
      <c r="K621" s="40">
        <f t="shared" si="317"/>
        <v>13.729255279444308</v>
      </c>
      <c r="L621" s="40">
        <f t="shared" si="301"/>
        <v>0</v>
      </c>
      <c r="M621" s="10">
        <f t="shared" si="318"/>
        <v>6.2725535917984558</v>
      </c>
      <c r="N621" s="10">
        <f t="shared" si="297"/>
        <v>17.20418640980624</v>
      </c>
      <c r="O621" s="10">
        <f t="shared" si="298"/>
        <v>-0.14810000000000001</v>
      </c>
      <c r="P621" s="10">
        <f t="shared" si="319"/>
        <v>13.10788512913626</v>
      </c>
      <c r="Q621" s="45">
        <f t="shared" si="320"/>
        <v>1.3882147765099215</v>
      </c>
      <c r="R621" s="4">
        <f t="shared" si="321"/>
        <v>441585.28034439823</v>
      </c>
      <c r="S621">
        <f t="shared" si="302"/>
        <v>4.4158528034439823E-4</v>
      </c>
      <c r="T621" s="44">
        <f t="shared" si="303"/>
        <v>1.6348111141376055E-3</v>
      </c>
      <c r="U621" s="45">
        <f t="shared" si="322"/>
        <v>0.78825180467876799</v>
      </c>
      <c r="V621" s="45">
        <f t="shared" si="323"/>
        <v>1.550604400933159</v>
      </c>
      <c r="W621" s="45">
        <f t="shared" si="324"/>
        <v>1.5375531837629521</v>
      </c>
      <c r="X621" s="45">
        <f t="shared" si="325"/>
        <v>1.3051217170206852E-2</v>
      </c>
      <c r="Y621" s="45">
        <f t="shared" si="299"/>
        <v>3.1680110933921417E-2</v>
      </c>
      <c r="Z621" s="10">
        <f t="shared" si="326"/>
        <v>19.378453363790157</v>
      </c>
      <c r="AA621">
        <f t="shared" si="304"/>
        <v>6270900.8328032224</v>
      </c>
      <c r="AB621" s="10">
        <f t="shared" si="305"/>
        <v>6.2709008328032221</v>
      </c>
      <c r="AC621" s="10">
        <f t="shared" si="306"/>
        <v>6.1699008328032221</v>
      </c>
      <c r="AD621" s="3">
        <f t="shared" si="307"/>
        <v>894.83695907225854</v>
      </c>
      <c r="AI621" s="100">
        <f t="shared" si="308"/>
        <v>1.5375531837629521</v>
      </c>
    </row>
    <row r="622" spans="2:35">
      <c r="B622" s="39">
        <f t="shared" si="309"/>
        <v>594</v>
      </c>
      <c r="C622" s="45">
        <f t="shared" si="310"/>
        <v>17.44964028776872</v>
      </c>
      <c r="D622" s="10">
        <f t="shared" si="311"/>
        <v>7.0503597122315114</v>
      </c>
      <c r="E622" s="40">
        <f t="shared" si="312"/>
        <v>54.899280575536977</v>
      </c>
      <c r="F622" s="40">
        <f t="shared" si="313"/>
        <v>69</v>
      </c>
      <c r="G622" s="3">
        <f t="shared" si="314"/>
        <v>320.40287769785209</v>
      </c>
      <c r="H622" s="3">
        <f t="shared" si="315"/>
        <v>221.47275588995251</v>
      </c>
      <c r="I622">
        <f t="shared" si="300"/>
        <v>2.214727558899525E-4</v>
      </c>
      <c r="J622" s="4">
        <f t="shared" si="316"/>
        <v>3045.719891238653</v>
      </c>
      <c r="K622" s="40">
        <f t="shared" si="317"/>
        <v>13.752119889418992</v>
      </c>
      <c r="L622" s="40">
        <f t="shared" si="301"/>
        <v>0</v>
      </c>
      <c r="M622" s="10">
        <f t="shared" si="318"/>
        <v>6.2709008328032221</v>
      </c>
      <c r="N622" s="10">
        <f t="shared" si="297"/>
        <v>17.20418640980624</v>
      </c>
      <c r="O622" s="10">
        <f t="shared" si="298"/>
        <v>-0.14810000000000001</v>
      </c>
      <c r="P622" s="10">
        <f t="shared" si="319"/>
        <v>13.108396714995571</v>
      </c>
      <c r="Q622" s="45">
        <f t="shared" si="320"/>
        <v>1.3904558208908375</v>
      </c>
      <c r="R622" s="4">
        <f t="shared" si="321"/>
        <v>439639.13544826693</v>
      </c>
      <c r="S622">
        <f t="shared" si="302"/>
        <v>4.3963913544826694E-4</v>
      </c>
      <c r="T622" s="44">
        <f t="shared" si="303"/>
        <v>1.6367572590337369E-3</v>
      </c>
      <c r="U622" s="45">
        <f t="shared" si="322"/>
        <v>0.78477783873192886</v>
      </c>
      <c r="V622" s="45">
        <f t="shared" si="323"/>
        <v>1.550154908319666</v>
      </c>
      <c r="W622" s="45">
        <f t="shared" si="324"/>
        <v>1.5371414227991502</v>
      </c>
      <c r="X622" s="45">
        <f t="shared" si="325"/>
        <v>1.3013485520515733E-2</v>
      </c>
      <c r="Y622" s="45">
        <f t="shared" si="299"/>
        <v>3.1709274732523302E-2</v>
      </c>
      <c r="Z622" s="10">
        <f t="shared" si="326"/>
        <v>19.373229938349525</v>
      </c>
      <c r="AA622">
        <f t="shared" si="304"/>
        <v>6269237.7477070466</v>
      </c>
      <c r="AB622" s="10">
        <f t="shared" si="305"/>
        <v>6.2692377477070469</v>
      </c>
      <c r="AC622" s="10">
        <f t="shared" si="306"/>
        <v>6.1682377477070469</v>
      </c>
      <c r="AD622" s="3">
        <f t="shared" si="307"/>
        <v>894.59575746295093</v>
      </c>
      <c r="AI622" s="100">
        <f t="shared" si="308"/>
        <v>1.5371414227991502</v>
      </c>
    </row>
    <row r="623" spans="2:35">
      <c r="B623" s="39">
        <f t="shared" si="309"/>
        <v>595</v>
      </c>
      <c r="C623" s="45">
        <f t="shared" si="310"/>
        <v>17.479016786569677</v>
      </c>
      <c r="D623" s="10">
        <f t="shared" si="311"/>
        <v>7.0209832134305543</v>
      </c>
      <c r="E623" s="40">
        <f t="shared" si="312"/>
        <v>54.958033573138891</v>
      </c>
      <c r="F623" s="40">
        <f t="shared" si="313"/>
        <v>69</v>
      </c>
      <c r="G623" s="3">
        <f t="shared" si="314"/>
        <v>320.16786570744443</v>
      </c>
      <c r="H623" s="3">
        <f t="shared" si="315"/>
        <v>221.47275588995251</v>
      </c>
      <c r="I623">
        <f t="shared" si="300"/>
        <v>2.214727558899525E-4</v>
      </c>
      <c r="J623" s="4">
        <f t="shared" si="316"/>
        <v>3050.7892016770693</v>
      </c>
      <c r="K623" s="40">
        <f t="shared" si="317"/>
        <v>13.775008982111435</v>
      </c>
      <c r="L623" s="40">
        <f t="shared" si="301"/>
        <v>0</v>
      </c>
      <c r="M623" s="10">
        <f t="shared" si="318"/>
        <v>6.2692377477070469</v>
      </c>
      <c r="N623" s="10">
        <f t="shared" si="297"/>
        <v>17.20418640980624</v>
      </c>
      <c r="O623" s="10">
        <f t="shared" si="298"/>
        <v>-0.14810000000000001</v>
      </c>
      <c r="P623" s="10">
        <f t="shared" si="319"/>
        <v>13.108911653419003</v>
      </c>
      <c r="Q623" s="45">
        <f t="shared" si="320"/>
        <v>1.3926967772400471</v>
      </c>
      <c r="R623" s="4">
        <f t="shared" si="321"/>
        <v>437693.63466921559</v>
      </c>
      <c r="S623">
        <f t="shared" si="302"/>
        <v>4.3769363466921558E-4</v>
      </c>
      <c r="T623" s="44">
        <f t="shared" si="303"/>
        <v>1.6387027598127883E-3</v>
      </c>
      <c r="U623" s="45">
        <f t="shared" si="322"/>
        <v>0.78130502256628331</v>
      </c>
      <c r="V623" s="45">
        <f t="shared" si="323"/>
        <v>1.5497027270836372</v>
      </c>
      <c r="W623" s="45">
        <f t="shared" si="324"/>
        <v>1.5367270892368701</v>
      </c>
      <c r="X623" s="45">
        <f t="shared" si="325"/>
        <v>1.2975637846767141E-2</v>
      </c>
      <c r="Y623" s="45">
        <f t="shared" si="299"/>
        <v>3.1738352570541056E-2</v>
      </c>
      <c r="Z623" s="10">
        <f t="shared" si="326"/>
        <v>19.367974076132615</v>
      </c>
      <c r="AA623">
        <f t="shared" si="304"/>
        <v>6267564.3350739311</v>
      </c>
      <c r="AB623" s="10">
        <f t="shared" si="305"/>
        <v>6.2675643350739314</v>
      </c>
      <c r="AC623" s="10">
        <f t="shared" si="306"/>
        <v>6.1665643350739314</v>
      </c>
      <c r="AD623" s="3">
        <f t="shared" si="307"/>
        <v>894.35305802377536</v>
      </c>
      <c r="AI623" s="100">
        <f t="shared" si="308"/>
        <v>1.5367270892368701</v>
      </c>
    </row>
    <row r="624" spans="2:35">
      <c r="B624" s="39">
        <f t="shared" si="309"/>
        <v>596</v>
      </c>
      <c r="C624" s="45">
        <f t="shared" si="310"/>
        <v>17.508393285370634</v>
      </c>
      <c r="D624" s="10">
        <f t="shared" si="311"/>
        <v>6.9916067146295973</v>
      </c>
      <c r="E624" s="40">
        <f t="shared" si="312"/>
        <v>55.016786570740805</v>
      </c>
      <c r="F624" s="40">
        <f t="shared" si="313"/>
        <v>69</v>
      </c>
      <c r="G624" s="3">
        <f t="shared" si="314"/>
        <v>319.93285371703678</v>
      </c>
      <c r="H624" s="3">
        <f t="shared" si="315"/>
        <v>221.47275588995251</v>
      </c>
      <c r="I624">
        <f t="shared" si="300"/>
        <v>2.214727558899525E-4</v>
      </c>
      <c r="J624" s="4">
        <f t="shared" si="316"/>
        <v>3055.863934370459</v>
      </c>
      <c r="K624" s="40">
        <f t="shared" si="317"/>
        <v>13.797922557521638</v>
      </c>
      <c r="L624" s="40">
        <f t="shared" si="301"/>
        <v>0</v>
      </c>
      <c r="M624" s="10">
        <f t="shared" si="318"/>
        <v>6.2675643350739314</v>
      </c>
      <c r="N624" s="10">
        <f t="shared" si="297"/>
        <v>17.20418640980624</v>
      </c>
      <c r="O624" s="10">
        <f t="shared" si="298"/>
        <v>-0.14810000000000001</v>
      </c>
      <c r="P624" s="10">
        <f t="shared" si="319"/>
        <v>13.109429947861665</v>
      </c>
      <c r="Q624" s="45">
        <f t="shared" si="320"/>
        <v>1.3949376449908031</v>
      </c>
      <c r="R624" s="4">
        <f t="shared" si="321"/>
        <v>435748.78183012921</v>
      </c>
      <c r="S624">
        <f t="shared" si="302"/>
        <v>4.3574878183012919E-4</v>
      </c>
      <c r="T624" s="44">
        <f t="shared" si="303"/>
        <v>1.6406476126518746E-3</v>
      </c>
      <c r="U624" s="45">
        <f t="shared" si="322"/>
        <v>0.77783336300587214</v>
      </c>
      <c r="V624" s="45">
        <f t="shared" si="323"/>
        <v>1.5492478568804624</v>
      </c>
      <c r="W624" s="45">
        <f t="shared" si="324"/>
        <v>1.5363101827183532</v>
      </c>
      <c r="X624" s="45">
        <f t="shared" si="325"/>
        <v>1.2937674162109225E-2</v>
      </c>
      <c r="Y624" s="45">
        <f t="shared" si="299"/>
        <v>3.1767344187340715E-2</v>
      </c>
      <c r="Z624" s="10">
        <f t="shared" si="326"/>
        <v>19.362685772597626</v>
      </c>
      <c r="AA624">
        <f t="shared" si="304"/>
        <v>6265880.5934578115</v>
      </c>
      <c r="AB624" s="10">
        <f t="shared" si="305"/>
        <v>6.2658805934578119</v>
      </c>
      <c r="AC624" s="10">
        <f t="shared" si="306"/>
        <v>6.1648805934578119</v>
      </c>
      <c r="AD624" s="3">
        <f t="shared" si="307"/>
        <v>894.10886054500531</v>
      </c>
      <c r="AI624" s="100">
        <f t="shared" si="308"/>
        <v>1.5363101827183532</v>
      </c>
    </row>
    <row r="625" spans="2:35">
      <c r="B625" s="39">
        <f t="shared" si="309"/>
        <v>597</v>
      </c>
      <c r="C625" s="45">
        <f t="shared" si="310"/>
        <v>17.537769784171591</v>
      </c>
      <c r="D625" s="10">
        <f t="shared" si="311"/>
        <v>6.9622302158286402</v>
      </c>
      <c r="E625" s="40">
        <f t="shared" si="312"/>
        <v>55.07553956834272</v>
      </c>
      <c r="F625" s="40">
        <f t="shared" si="313"/>
        <v>69</v>
      </c>
      <c r="G625" s="3">
        <f t="shared" si="314"/>
        <v>319.69784172662912</v>
      </c>
      <c r="H625" s="3">
        <f t="shared" si="315"/>
        <v>221.47275588995251</v>
      </c>
      <c r="I625">
        <f t="shared" si="300"/>
        <v>2.214727558899525E-4</v>
      </c>
      <c r="J625" s="4">
        <f t="shared" si="316"/>
        <v>3060.9440893188225</v>
      </c>
      <c r="K625" s="40">
        <f t="shared" si="317"/>
        <v>13.8208606156496</v>
      </c>
      <c r="L625" s="40">
        <f t="shared" si="301"/>
        <v>0</v>
      </c>
      <c r="M625" s="10">
        <f t="shared" si="318"/>
        <v>6.2658805934578119</v>
      </c>
      <c r="N625" s="10">
        <f t="shared" si="297"/>
        <v>17.20418640980624</v>
      </c>
      <c r="O625" s="10">
        <f t="shared" si="298"/>
        <v>-0.14810000000000001</v>
      </c>
      <c r="P625" s="10">
        <f t="shared" si="319"/>
        <v>13.1099516018039</v>
      </c>
      <c r="Q625" s="45">
        <f t="shared" si="320"/>
        <v>1.3971784235758984</v>
      </c>
      <c r="R625" s="4">
        <f t="shared" si="321"/>
        <v>433804.58075389249</v>
      </c>
      <c r="S625">
        <f t="shared" si="302"/>
        <v>4.338045807538925E-4</v>
      </c>
      <c r="T625" s="44">
        <f t="shared" si="303"/>
        <v>1.6425918137281113E-3</v>
      </c>
      <c r="U625" s="45">
        <f t="shared" si="322"/>
        <v>0.77436286687473577</v>
      </c>
      <c r="V625" s="45">
        <f t="shared" si="323"/>
        <v>1.5487902973638792</v>
      </c>
      <c r="W625" s="45">
        <f t="shared" si="324"/>
        <v>1.5358907028833344</v>
      </c>
      <c r="X625" s="45">
        <f t="shared" si="325"/>
        <v>1.2899594480544785E-2</v>
      </c>
      <c r="Y625" s="45">
        <f t="shared" si="299"/>
        <v>3.1796249322409133E-2</v>
      </c>
      <c r="Z625" s="10">
        <f t="shared" si="326"/>
        <v>19.357365023171962</v>
      </c>
      <c r="AA625">
        <f t="shared" si="304"/>
        <v>6264186.5214028209</v>
      </c>
      <c r="AB625" s="10">
        <f t="shared" si="305"/>
        <v>6.264186521402821</v>
      </c>
      <c r="AC625" s="10">
        <f t="shared" si="306"/>
        <v>6.163186521402821</v>
      </c>
      <c r="AD625" s="3">
        <f t="shared" si="307"/>
        <v>893.8631648154925</v>
      </c>
      <c r="AI625" s="100">
        <f t="shared" si="308"/>
        <v>1.5358907028833344</v>
      </c>
    </row>
    <row r="626" spans="2:35">
      <c r="B626" s="39">
        <f t="shared" si="309"/>
        <v>598</v>
      </c>
      <c r="C626" s="45">
        <f t="shared" si="310"/>
        <v>17.567146282972548</v>
      </c>
      <c r="D626" s="10">
        <f t="shared" si="311"/>
        <v>6.9328537170276832</v>
      </c>
      <c r="E626" s="40">
        <f t="shared" si="312"/>
        <v>55.134292565944634</v>
      </c>
      <c r="F626" s="40">
        <f t="shared" si="313"/>
        <v>69</v>
      </c>
      <c r="G626" s="3">
        <f t="shared" si="314"/>
        <v>319.46282973622147</v>
      </c>
      <c r="H626" s="3">
        <f t="shared" si="315"/>
        <v>221.47275588995251</v>
      </c>
      <c r="I626">
        <f t="shared" si="300"/>
        <v>2.214727558899525E-4</v>
      </c>
      <c r="J626" s="4">
        <f t="shared" si="316"/>
        <v>3066.0296665221604</v>
      </c>
      <c r="K626" s="40">
        <f t="shared" si="317"/>
        <v>13.843823156495322</v>
      </c>
      <c r="L626" s="40">
        <f t="shared" si="301"/>
        <v>0</v>
      </c>
      <c r="M626" s="10">
        <f t="shared" si="318"/>
        <v>6.264186521402821</v>
      </c>
      <c r="N626" s="10">
        <f t="shared" si="297"/>
        <v>17.20418640980624</v>
      </c>
      <c r="O626" s="10">
        <f t="shared" si="298"/>
        <v>-0.14810000000000001</v>
      </c>
      <c r="P626" s="10">
        <f t="shared" si="319"/>
        <v>13.110476618751271</v>
      </c>
      <c r="Q626" s="45">
        <f t="shared" si="320"/>
        <v>1.3994191124276631</v>
      </c>
      <c r="R626" s="4">
        <f t="shared" si="321"/>
        <v>431861.03526339022</v>
      </c>
      <c r="S626">
        <f t="shared" si="302"/>
        <v>4.3186103526339021E-4</v>
      </c>
      <c r="T626" s="44">
        <f t="shared" si="303"/>
        <v>1.6445353592186135E-3</v>
      </c>
      <c r="U626" s="45">
        <f t="shared" si="322"/>
        <v>0.77089354099691476</v>
      </c>
      <c r="V626" s="45">
        <f t="shared" si="323"/>
        <v>1.5483300481852149</v>
      </c>
      <c r="W626" s="45">
        <f t="shared" si="324"/>
        <v>1.5354686493691048</v>
      </c>
      <c r="X626" s="45">
        <f t="shared" si="325"/>
        <v>1.2861398816110148E-2</v>
      </c>
      <c r="Y626" s="45">
        <f t="shared" si="299"/>
        <v>3.1825067715354489E-2</v>
      </c>
      <c r="Z626" s="10">
        <f t="shared" si="326"/>
        <v>19.352011823251942</v>
      </c>
      <c r="AA626">
        <f t="shared" si="304"/>
        <v>6262482.1174431937</v>
      </c>
      <c r="AB626" s="10">
        <f t="shared" si="305"/>
        <v>6.2624821174431933</v>
      </c>
      <c r="AC626" s="10">
        <f t="shared" si="306"/>
        <v>6.1614821174431933</v>
      </c>
      <c r="AD626" s="3">
        <f t="shared" si="307"/>
        <v>893.61597062265321</v>
      </c>
      <c r="AI626" s="100">
        <f t="shared" si="308"/>
        <v>1.5354686493691048</v>
      </c>
    </row>
    <row r="627" spans="2:35">
      <c r="B627" s="39">
        <f t="shared" si="309"/>
        <v>599</v>
      </c>
      <c r="C627" s="45">
        <f t="shared" si="310"/>
        <v>17.596522781773505</v>
      </c>
      <c r="D627" s="10">
        <f t="shared" si="311"/>
        <v>6.9034772182267261</v>
      </c>
      <c r="E627" s="40">
        <f t="shared" si="312"/>
        <v>55.193045563546548</v>
      </c>
      <c r="F627" s="40">
        <f t="shared" si="313"/>
        <v>69</v>
      </c>
      <c r="G627" s="3">
        <f t="shared" si="314"/>
        <v>319.22781774581381</v>
      </c>
      <c r="H627" s="3">
        <f t="shared" si="315"/>
        <v>221.47275588995251</v>
      </c>
      <c r="I627">
        <f t="shared" si="300"/>
        <v>2.214727558899525E-4</v>
      </c>
      <c r="J627" s="4">
        <f t="shared" si="316"/>
        <v>3071.120665980472</v>
      </c>
      <c r="K627" s="40">
        <f t="shared" si="317"/>
        <v>13.866810180058804</v>
      </c>
      <c r="L627" s="40">
        <f t="shared" si="301"/>
        <v>0</v>
      </c>
      <c r="M627" s="10">
        <f t="shared" si="318"/>
        <v>6.2624821174431933</v>
      </c>
      <c r="N627" s="10">
        <f t="shared" si="297"/>
        <v>17.20418640980624</v>
      </c>
      <c r="O627" s="10">
        <f t="shared" si="298"/>
        <v>-0.14810000000000001</v>
      </c>
      <c r="P627" s="10">
        <f t="shared" si="319"/>
        <v>13.11100500223467</v>
      </c>
      <c r="Q627" s="45">
        <f t="shared" si="320"/>
        <v>1.4016597109779612</v>
      </c>
      <c r="R627" s="4">
        <f t="shared" si="321"/>
        <v>429918.14918150718</v>
      </c>
      <c r="S627">
        <f t="shared" si="302"/>
        <v>4.2991814918150715E-4</v>
      </c>
      <c r="T627" s="44">
        <f t="shared" si="303"/>
        <v>1.6464782453004968E-3</v>
      </c>
      <c r="U627" s="45">
        <f t="shared" si="322"/>
        <v>0.76742539219644945</v>
      </c>
      <c r="V627" s="45">
        <f t="shared" si="323"/>
        <v>1.5478671089937224</v>
      </c>
      <c r="W627" s="45">
        <f t="shared" si="324"/>
        <v>1.5350440218104902</v>
      </c>
      <c r="X627" s="45">
        <f t="shared" si="325"/>
        <v>1.2823087183232218E-2</v>
      </c>
      <c r="Y627" s="45">
        <f t="shared" si="299"/>
        <v>3.1853799105907583E-2</v>
      </c>
      <c r="Z627" s="10">
        <f t="shared" si="326"/>
        <v>19.34662616820302</v>
      </c>
      <c r="AA627">
        <f t="shared" si="304"/>
        <v>6260767.3801033385</v>
      </c>
      <c r="AB627" s="10">
        <f t="shared" si="305"/>
        <v>6.2607673801033386</v>
      </c>
      <c r="AC627" s="10">
        <f t="shared" si="306"/>
        <v>6.1597673801033386</v>
      </c>
      <c r="AD627" s="3">
        <f t="shared" si="307"/>
        <v>893.36727775247834</v>
      </c>
      <c r="AI627" s="100">
        <f t="shared" si="308"/>
        <v>1.5350440218104902</v>
      </c>
    </row>
    <row r="628" spans="2:35">
      <c r="B628" s="39">
        <f t="shared" si="309"/>
        <v>600</v>
      </c>
      <c r="C628" s="45">
        <f t="shared" si="310"/>
        <v>17.625899280574462</v>
      </c>
      <c r="D628" s="10">
        <f t="shared" si="311"/>
        <v>6.8741007194257691</v>
      </c>
      <c r="E628" s="40">
        <f t="shared" si="312"/>
        <v>55.251798561148462</v>
      </c>
      <c r="F628" s="40">
        <f t="shared" si="313"/>
        <v>69</v>
      </c>
      <c r="G628" s="3">
        <f t="shared" si="314"/>
        <v>318.99280575540615</v>
      </c>
      <c r="H628" s="3">
        <f t="shared" si="315"/>
        <v>221.47275588995251</v>
      </c>
      <c r="I628">
        <f t="shared" si="300"/>
        <v>2.214727558899525E-4</v>
      </c>
      <c r="J628" s="4">
        <f t="shared" si="316"/>
        <v>3076.2170876937571</v>
      </c>
      <c r="K628" s="40">
        <f t="shared" si="317"/>
        <v>13.889821686340044</v>
      </c>
      <c r="L628" s="40">
        <f t="shared" si="301"/>
        <v>0</v>
      </c>
      <c r="M628" s="10">
        <f t="shared" si="318"/>
        <v>6.2607673801033386</v>
      </c>
      <c r="N628" s="10">
        <f t="shared" si="297"/>
        <v>17.20418640980624</v>
      </c>
      <c r="O628" s="10">
        <f t="shared" si="298"/>
        <v>-0.14810000000000001</v>
      </c>
      <c r="P628" s="10">
        <f t="shared" si="319"/>
        <v>13.111536755810363</v>
      </c>
      <c r="Q628" s="45">
        <f t="shared" si="320"/>
        <v>1.403900218658187</v>
      </c>
      <c r="R628" s="4">
        <f t="shared" si="321"/>
        <v>427975.9263311284</v>
      </c>
      <c r="S628">
        <f t="shared" si="302"/>
        <v>4.2797592633112838E-4</v>
      </c>
      <c r="T628" s="44">
        <f t="shared" si="303"/>
        <v>1.6484204681508755E-3</v>
      </c>
      <c r="U628" s="45">
        <f t="shared" si="322"/>
        <v>0.76395842729738073</v>
      </c>
      <c r="V628" s="45">
        <f t="shared" si="323"/>
        <v>1.5474014794357682</v>
      </c>
      <c r="W628" s="45">
        <f t="shared" si="324"/>
        <v>1.5346168198398689</v>
      </c>
      <c r="X628" s="45">
        <f t="shared" si="325"/>
        <v>1.2784659595899361E-2</v>
      </c>
      <c r="Y628" s="45">
        <f t="shared" si="299"/>
        <v>3.1882443233921268E-2</v>
      </c>
      <c r="Z628" s="10">
        <f t="shared" si="326"/>
        <v>19.341208053358844</v>
      </c>
      <c r="AA628">
        <f t="shared" si="304"/>
        <v>6259042.307897537</v>
      </c>
      <c r="AB628" s="10">
        <f t="shared" si="305"/>
        <v>6.2590423078975368</v>
      </c>
      <c r="AC628" s="10">
        <f t="shared" si="306"/>
        <v>6.1580423078975368</v>
      </c>
      <c r="AD628" s="3">
        <f t="shared" si="307"/>
        <v>893.11708598949053</v>
      </c>
      <c r="AI628" s="100">
        <f t="shared" si="308"/>
        <v>1.5346168198398689</v>
      </c>
    </row>
    <row r="629" spans="2:35">
      <c r="B629" s="39">
        <f t="shared" si="309"/>
        <v>601</v>
      </c>
      <c r="C629" s="45">
        <f t="shared" si="310"/>
        <v>17.655275779375419</v>
      </c>
      <c r="D629" s="10">
        <f t="shared" si="311"/>
        <v>6.844724220624812</v>
      </c>
      <c r="E629" s="40">
        <f t="shared" si="312"/>
        <v>55.310551558750376</v>
      </c>
      <c r="F629" s="40">
        <f t="shared" si="313"/>
        <v>69</v>
      </c>
      <c r="G629" s="3">
        <f t="shared" si="314"/>
        <v>318.7577937649985</v>
      </c>
      <c r="H629" s="3">
        <f t="shared" si="315"/>
        <v>221.47275588995251</v>
      </c>
      <c r="I629">
        <f t="shared" si="300"/>
        <v>2.214727558899525E-4</v>
      </c>
      <c r="J629" s="4">
        <f t="shared" si="316"/>
        <v>3081.3189316620164</v>
      </c>
      <c r="K629" s="40">
        <f t="shared" si="317"/>
        <v>13.912857675339044</v>
      </c>
      <c r="L629" s="40">
        <f t="shared" si="301"/>
        <v>0</v>
      </c>
      <c r="M629" s="10">
        <f t="shared" si="318"/>
        <v>6.2590423078975368</v>
      </c>
      <c r="N629" s="10">
        <f t="shared" si="297"/>
        <v>17.20418640980624</v>
      </c>
      <c r="O629" s="10">
        <f t="shared" si="298"/>
        <v>-0.14810000000000001</v>
      </c>
      <c r="P629" s="10">
        <f t="shared" si="319"/>
        <v>13.11207188306016</v>
      </c>
      <c r="Q629" s="45">
        <f t="shared" si="320"/>
        <v>1.4061406348992627</v>
      </c>
      <c r="R629" s="4">
        <f t="shared" si="321"/>
        <v>426034.3705351383</v>
      </c>
      <c r="S629">
        <f t="shared" si="302"/>
        <v>4.2603437053513832E-4</v>
      </c>
      <c r="T629" s="44">
        <f t="shared" si="303"/>
        <v>1.6503620239468656E-3</v>
      </c>
      <c r="U629" s="45">
        <f t="shared" si="322"/>
        <v>0.76049265312374859</v>
      </c>
      <c r="V629" s="45">
        <f t="shared" si="323"/>
        <v>1.5469331591562729</v>
      </c>
      <c r="W629" s="45">
        <f t="shared" si="324"/>
        <v>1.5341870430870952</v>
      </c>
      <c r="X629" s="45">
        <f t="shared" si="325"/>
        <v>1.2746116069177749E-2</v>
      </c>
      <c r="Y629" s="45">
        <f t="shared" si="299"/>
        <v>3.1910999839373289E-2</v>
      </c>
      <c r="Z629" s="10">
        <f t="shared" si="326"/>
        <v>19.335757474022369</v>
      </c>
      <c r="AA629">
        <f t="shared" si="304"/>
        <v>6257306.8993302966</v>
      </c>
      <c r="AB629" s="10">
        <f t="shared" si="305"/>
        <v>6.2573068993302963</v>
      </c>
      <c r="AC629" s="10">
        <f t="shared" si="306"/>
        <v>6.1563068993302963</v>
      </c>
      <c r="AD629" s="3">
        <f t="shared" si="307"/>
        <v>892.86539511679428</v>
      </c>
      <c r="AI629" s="100">
        <f t="shared" si="308"/>
        <v>1.5341870430870952</v>
      </c>
    </row>
    <row r="630" spans="2:35">
      <c r="B630" s="39">
        <f t="shared" si="309"/>
        <v>602</v>
      </c>
      <c r="C630" s="45">
        <f t="shared" si="310"/>
        <v>17.684652278176376</v>
      </c>
      <c r="D630" s="10">
        <f t="shared" si="311"/>
        <v>6.815347721823855</v>
      </c>
      <c r="E630" s="40">
        <f t="shared" si="312"/>
        <v>55.36930455635229</v>
      </c>
      <c r="F630" s="40">
        <f t="shared" si="313"/>
        <v>69</v>
      </c>
      <c r="G630" s="3">
        <f t="shared" si="314"/>
        <v>318.52278177459084</v>
      </c>
      <c r="H630" s="3">
        <f t="shared" si="315"/>
        <v>221.47275588995251</v>
      </c>
      <c r="I630">
        <f t="shared" si="300"/>
        <v>2.214727558899525E-4</v>
      </c>
      <c r="J630" s="4">
        <f t="shared" si="316"/>
        <v>3086.4261978852501</v>
      </c>
      <c r="K630" s="40">
        <f t="shared" si="317"/>
        <v>13.935918147055807</v>
      </c>
      <c r="L630" s="40">
        <f t="shared" si="301"/>
        <v>0</v>
      </c>
      <c r="M630" s="10">
        <f t="shared" si="318"/>
        <v>6.2573068993302963</v>
      </c>
      <c r="N630" s="10">
        <f t="shared" si="297"/>
        <v>17.20418640980624</v>
      </c>
      <c r="O630" s="10">
        <f t="shared" si="298"/>
        <v>-0.14810000000000001</v>
      </c>
      <c r="P630" s="10">
        <f t="shared" si="319"/>
        <v>13.112610387591374</v>
      </c>
      <c r="Q630" s="45">
        <f t="shared" si="320"/>
        <v>1.4083809591316334</v>
      </c>
      <c r="R630" s="4">
        <f t="shared" si="321"/>
        <v>424093.48561642191</v>
      </c>
      <c r="S630">
        <f t="shared" si="302"/>
        <v>4.2409348561642192E-4</v>
      </c>
      <c r="T630" s="44">
        <f t="shared" si="303"/>
        <v>1.6523029088655818E-3</v>
      </c>
      <c r="U630" s="45">
        <f t="shared" si="322"/>
        <v>0.75702807649959392</v>
      </c>
      <c r="V630" s="45">
        <f t="shared" si="323"/>
        <v>1.5464621477974172</v>
      </c>
      <c r="W630" s="45">
        <f t="shared" si="324"/>
        <v>1.5337546911795892</v>
      </c>
      <c r="X630" s="45">
        <f t="shared" si="325"/>
        <v>1.2707456617828017E-2</v>
      </c>
      <c r="Y630" s="45">
        <f t="shared" si="299"/>
        <v>3.1939468662366008E-2</v>
      </c>
      <c r="Z630" s="10">
        <f t="shared" si="326"/>
        <v>19.330274425465138</v>
      </c>
      <c r="AA630">
        <f t="shared" si="304"/>
        <v>6255561.1528961267</v>
      </c>
      <c r="AB630" s="10">
        <f t="shared" si="305"/>
        <v>6.255561152896127</v>
      </c>
      <c r="AC630" s="10">
        <f t="shared" si="306"/>
        <v>6.154561152896127</v>
      </c>
      <c r="AD630" s="3">
        <f t="shared" si="307"/>
        <v>892.61220491604445</v>
      </c>
      <c r="AI630" s="100">
        <f t="shared" si="308"/>
        <v>1.5337546911795892</v>
      </c>
    </row>
    <row r="631" spans="2:35">
      <c r="B631" s="39">
        <f t="shared" si="309"/>
        <v>603</v>
      </c>
      <c r="C631" s="45">
        <f t="shared" si="310"/>
        <v>17.714028776977333</v>
      </c>
      <c r="D631" s="10">
        <f t="shared" si="311"/>
        <v>6.7859712230228979</v>
      </c>
      <c r="E631" s="40">
        <f t="shared" si="312"/>
        <v>55.428057553954204</v>
      </c>
      <c r="F631" s="40">
        <f t="shared" si="313"/>
        <v>69</v>
      </c>
      <c r="G631" s="3">
        <f t="shared" si="314"/>
        <v>318.28776978418318</v>
      </c>
      <c r="H631" s="3">
        <f t="shared" si="315"/>
        <v>221.47275588995251</v>
      </c>
      <c r="I631">
        <f t="shared" si="300"/>
        <v>2.214727558899525E-4</v>
      </c>
      <c r="J631" s="4">
        <f t="shared" si="316"/>
        <v>3091.5388863634571</v>
      </c>
      <c r="K631" s="40">
        <f t="shared" si="317"/>
        <v>13.959003101490326</v>
      </c>
      <c r="L631" s="40">
        <f t="shared" si="301"/>
        <v>0</v>
      </c>
      <c r="M631" s="10">
        <f t="shared" si="318"/>
        <v>6.255561152896127</v>
      </c>
      <c r="N631" s="10">
        <f t="shared" si="297"/>
        <v>17.20418640980624</v>
      </c>
      <c r="O631" s="10">
        <f t="shared" si="298"/>
        <v>-0.14810000000000001</v>
      </c>
      <c r="P631" s="10">
        <f t="shared" si="319"/>
        <v>13.113152273036969</v>
      </c>
      <c r="Q631" s="45">
        <f t="shared" si="320"/>
        <v>1.4106211907852657</v>
      </c>
      <c r="R631" s="4">
        <f t="shared" si="321"/>
        <v>422153.27539786411</v>
      </c>
      <c r="S631">
        <f t="shared" si="302"/>
        <v>4.2215327539786411E-4</v>
      </c>
      <c r="T631" s="44">
        <f t="shared" si="303"/>
        <v>1.6542431190841398E-3</v>
      </c>
      <c r="U631" s="45">
        <f t="shared" si="322"/>
        <v>0.75356470424895738</v>
      </c>
      <c r="V631" s="45">
        <f t="shared" si="323"/>
        <v>1.5459884449989998</v>
      </c>
      <c r="W631" s="45">
        <f t="shared" si="324"/>
        <v>1.5333197637422795</v>
      </c>
      <c r="X631" s="45">
        <f t="shared" si="325"/>
        <v>1.2668681256720271E-2</v>
      </c>
      <c r="Y631" s="45">
        <f t="shared" si="299"/>
        <v>3.196784944312709E-2</v>
      </c>
      <c r="Z631" s="10">
        <f t="shared" si="326"/>
        <v>19.32475890292708</v>
      </c>
      <c r="AA631">
        <f t="shared" si="304"/>
        <v>6253805.0670794696</v>
      </c>
      <c r="AB631" s="10">
        <f t="shared" si="305"/>
        <v>6.2538050670794698</v>
      </c>
      <c r="AC631" s="10">
        <f t="shared" si="306"/>
        <v>6.1528050670794698</v>
      </c>
      <c r="AD631" s="3">
        <f t="shared" si="307"/>
        <v>892.35751516743574</v>
      </c>
      <c r="AI631" s="100">
        <f t="shared" si="308"/>
        <v>1.5333197637422795</v>
      </c>
    </row>
    <row r="632" spans="2:35">
      <c r="B632" s="39">
        <f t="shared" si="309"/>
        <v>604</v>
      </c>
      <c r="C632" s="45">
        <f t="shared" si="310"/>
        <v>17.74340527577829</v>
      </c>
      <c r="D632" s="10">
        <f t="shared" si="311"/>
        <v>6.7565947242219409</v>
      </c>
      <c r="E632" s="40">
        <f t="shared" si="312"/>
        <v>55.486810551556118</v>
      </c>
      <c r="F632" s="40">
        <f t="shared" si="313"/>
        <v>69</v>
      </c>
      <c r="G632" s="3">
        <f t="shared" si="314"/>
        <v>318.05275779377553</v>
      </c>
      <c r="H632" s="3">
        <f t="shared" si="315"/>
        <v>221.47275588995251</v>
      </c>
      <c r="I632">
        <f t="shared" si="300"/>
        <v>2.214727558899525E-4</v>
      </c>
      <c r="J632" s="4">
        <f t="shared" si="316"/>
        <v>3096.6569970966384</v>
      </c>
      <c r="K632" s="40">
        <f t="shared" si="317"/>
        <v>13.982112538642607</v>
      </c>
      <c r="L632" s="40">
        <f t="shared" si="301"/>
        <v>0</v>
      </c>
      <c r="M632" s="10">
        <f t="shared" si="318"/>
        <v>6.2538050670794698</v>
      </c>
      <c r="N632" s="10">
        <f t="shared" si="297"/>
        <v>17.20418640980624</v>
      </c>
      <c r="O632" s="10">
        <f t="shared" si="298"/>
        <v>-0.14810000000000001</v>
      </c>
      <c r="P632" s="10">
        <f t="shared" si="319"/>
        <v>13.113697543055643</v>
      </c>
      <c r="Q632" s="45">
        <f t="shared" si="320"/>
        <v>1.412861329289643</v>
      </c>
      <c r="R632" s="4">
        <f t="shared" si="321"/>
        <v>420213.74370234949</v>
      </c>
      <c r="S632">
        <f t="shared" si="302"/>
        <v>4.202137437023495E-4</v>
      </c>
      <c r="T632" s="44">
        <f t="shared" si="303"/>
        <v>1.6561826507796543E-3</v>
      </c>
      <c r="U632" s="45">
        <f t="shared" si="322"/>
        <v>0.75010254319587899</v>
      </c>
      <c r="V632" s="45">
        <f t="shared" si="323"/>
        <v>1.5455120503992021</v>
      </c>
      <c r="W632" s="45">
        <f t="shared" si="324"/>
        <v>1.5328822603975869</v>
      </c>
      <c r="X632" s="45">
        <f t="shared" si="325"/>
        <v>1.2629790001615238E-2</v>
      </c>
      <c r="Y632" s="45">
        <f t="shared" si="299"/>
        <v>3.199614192201191E-2</v>
      </c>
      <c r="Z632" s="10">
        <f t="shared" si="326"/>
        <v>19.319210901617407</v>
      </c>
      <c r="AA632">
        <f t="shared" si="304"/>
        <v>6252038.6403549863</v>
      </c>
      <c r="AB632" s="10">
        <f t="shared" si="305"/>
        <v>6.2520386403549866</v>
      </c>
      <c r="AC632" s="10">
        <f t="shared" si="306"/>
        <v>6.1510386403549866</v>
      </c>
      <c r="AD632" s="3">
        <f t="shared" si="307"/>
        <v>892.10132564974424</v>
      </c>
      <c r="AI632" s="100">
        <f t="shared" si="308"/>
        <v>1.5328822603975869</v>
      </c>
    </row>
    <row r="633" spans="2:35">
      <c r="B633" s="39">
        <f t="shared" si="309"/>
        <v>605</v>
      </c>
      <c r="C633" s="45">
        <f t="shared" si="310"/>
        <v>17.772781774579247</v>
      </c>
      <c r="D633" s="10">
        <f t="shared" si="311"/>
        <v>6.7272182254209838</v>
      </c>
      <c r="E633" s="40">
        <f t="shared" si="312"/>
        <v>55.545563549158032</v>
      </c>
      <c r="F633" s="40">
        <f t="shared" si="313"/>
        <v>69</v>
      </c>
      <c r="G633" s="3">
        <f t="shared" si="314"/>
        <v>317.81774580336787</v>
      </c>
      <c r="H633" s="3">
        <f t="shared" si="315"/>
        <v>221.47275588995251</v>
      </c>
      <c r="I633">
        <f t="shared" si="300"/>
        <v>2.214727558899525E-4</v>
      </c>
      <c r="J633" s="4">
        <f t="shared" si="316"/>
        <v>3101.7805300847931</v>
      </c>
      <c r="K633" s="40">
        <f t="shared" si="317"/>
        <v>14.005246458512646</v>
      </c>
      <c r="L633" s="40">
        <f t="shared" si="301"/>
        <v>0</v>
      </c>
      <c r="M633" s="10">
        <f t="shared" si="318"/>
        <v>6.2520386403549866</v>
      </c>
      <c r="N633" s="10">
        <f t="shared" si="297"/>
        <v>17.20418640980624</v>
      </c>
      <c r="O633" s="10">
        <f t="shared" si="298"/>
        <v>-0.14810000000000001</v>
      </c>
      <c r="P633" s="10">
        <f t="shared" si="319"/>
        <v>13.114246201331843</v>
      </c>
      <c r="Q633" s="45">
        <f t="shared" si="320"/>
        <v>1.415101374073763</v>
      </c>
      <c r="R633" s="4">
        <f t="shared" si="321"/>
        <v>418274.89435276302</v>
      </c>
      <c r="S633">
        <f t="shared" si="302"/>
        <v>4.1827489435276302E-4</v>
      </c>
      <c r="T633" s="44">
        <f t="shared" si="303"/>
        <v>1.6581215001292408E-3</v>
      </c>
      <c r="U633" s="45">
        <f t="shared" si="322"/>
        <v>0.74664160016439962</v>
      </c>
      <c r="V633" s="45">
        <f t="shared" si="323"/>
        <v>1.5450329636329199</v>
      </c>
      <c r="W633" s="45">
        <f t="shared" si="324"/>
        <v>1.5324421807654951</v>
      </c>
      <c r="X633" s="45">
        <f t="shared" si="325"/>
        <v>1.2590782867424766E-2</v>
      </c>
      <c r="Y633" s="45">
        <f t="shared" si="299"/>
        <v>3.2024345839502075E-2</v>
      </c>
      <c r="Z633" s="10">
        <f t="shared" si="326"/>
        <v>19.31363041671311</v>
      </c>
      <c r="AA633">
        <f t="shared" si="304"/>
        <v>6250261.8711870816</v>
      </c>
      <c r="AB633" s="10">
        <f t="shared" si="305"/>
        <v>6.2502618711870817</v>
      </c>
      <c r="AC633" s="10">
        <f t="shared" si="306"/>
        <v>6.1492618711870817</v>
      </c>
      <c r="AD633" s="3">
        <f t="shared" si="307"/>
        <v>891.84363614025835</v>
      </c>
      <c r="AI633" s="100">
        <f t="shared" si="308"/>
        <v>1.5324421807654951</v>
      </c>
    </row>
    <row r="634" spans="2:35">
      <c r="B634" s="39">
        <f t="shared" si="309"/>
        <v>606</v>
      </c>
      <c r="C634" s="45">
        <f t="shared" si="310"/>
        <v>17.802158273380204</v>
      </c>
      <c r="D634" s="10">
        <f t="shared" si="311"/>
        <v>6.6978417266200267</v>
      </c>
      <c r="E634" s="40">
        <f t="shared" si="312"/>
        <v>55.604316546759947</v>
      </c>
      <c r="F634" s="40">
        <f t="shared" si="313"/>
        <v>69</v>
      </c>
      <c r="G634" s="3">
        <f t="shared" si="314"/>
        <v>317.58273381296021</v>
      </c>
      <c r="H634" s="3">
        <f t="shared" si="315"/>
        <v>221.47275588995251</v>
      </c>
      <c r="I634">
        <f t="shared" si="300"/>
        <v>2.214727558899525E-4</v>
      </c>
      <c r="J634" s="4">
        <f t="shared" si="316"/>
        <v>3106.9094853279221</v>
      </c>
      <c r="K634" s="40">
        <f t="shared" si="317"/>
        <v>14.028404861100446</v>
      </c>
      <c r="L634" s="40">
        <f t="shared" si="301"/>
        <v>0</v>
      </c>
      <c r="M634" s="10">
        <f t="shared" si="318"/>
        <v>6.2502618711870817</v>
      </c>
      <c r="N634" s="10">
        <f t="shared" si="297"/>
        <v>17.20418640980624</v>
      </c>
      <c r="O634" s="10">
        <f t="shared" si="298"/>
        <v>-0.14810000000000001</v>
      </c>
      <c r="P634" s="10">
        <f t="shared" si="319"/>
        <v>13.114798251575955</v>
      </c>
      <c r="Q634" s="45">
        <f t="shared" si="320"/>
        <v>1.4173413245661335</v>
      </c>
      <c r="R634" s="4">
        <f t="shared" si="321"/>
        <v>416336.73117198941</v>
      </c>
      <c r="S634">
        <f t="shared" si="302"/>
        <v>4.1633673117198939E-4</v>
      </c>
      <c r="T634" s="44">
        <f t="shared" si="303"/>
        <v>1.6600596633100143E-3</v>
      </c>
      <c r="U634" s="45">
        <f t="shared" si="322"/>
        <v>0.74318188197855961</v>
      </c>
      <c r="V634" s="45">
        <f t="shared" si="323"/>
        <v>1.544551184333856</v>
      </c>
      <c r="W634" s="45">
        <f t="shared" si="324"/>
        <v>1.5319995244634328</v>
      </c>
      <c r="X634" s="45">
        <f t="shared" si="325"/>
        <v>1.2551659870423171E-2</v>
      </c>
      <c r="Y634" s="45">
        <f t="shared" si="299"/>
        <v>3.2052460936208893E-2</v>
      </c>
      <c r="Z634" s="10">
        <f t="shared" si="326"/>
        <v>19.308017443360487</v>
      </c>
      <c r="AA634">
        <f t="shared" si="304"/>
        <v>6248474.7580303857</v>
      </c>
      <c r="AB634" s="10">
        <f t="shared" si="305"/>
        <v>6.2484747580303859</v>
      </c>
      <c r="AC634" s="10">
        <f t="shared" si="306"/>
        <v>6.1474747580303859</v>
      </c>
      <c r="AD634" s="3">
        <f t="shared" si="307"/>
        <v>891.58444641484925</v>
      </c>
      <c r="AI634" s="100">
        <f t="shared" si="308"/>
        <v>1.5319995244634328</v>
      </c>
    </row>
    <row r="635" spans="2:35">
      <c r="B635" s="39">
        <f t="shared" si="309"/>
        <v>607</v>
      </c>
      <c r="C635" s="45">
        <f t="shared" si="310"/>
        <v>17.831534772181161</v>
      </c>
      <c r="D635" s="10">
        <f t="shared" si="311"/>
        <v>6.6684652278190697</v>
      </c>
      <c r="E635" s="40">
        <f t="shared" si="312"/>
        <v>55.663069544361861</v>
      </c>
      <c r="F635" s="40">
        <f t="shared" si="313"/>
        <v>69</v>
      </c>
      <c r="G635" s="3">
        <f t="shared" si="314"/>
        <v>317.34772182255256</v>
      </c>
      <c r="H635" s="3">
        <f t="shared" si="315"/>
        <v>221.47275588995251</v>
      </c>
      <c r="I635">
        <f t="shared" si="300"/>
        <v>2.214727558899525E-4</v>
      </c>
      <c r="J635" s="4">
        <f t="shared" si="316"/>
        <v>3112.0438628260249</v>
      </c>
      <c r="K635" s="40">
        <f t="shared" si="317"/>
        <v>14.051587746406005</v>
      </c>
      <c r="L635" s="40">
        <f t="shared" si="301"/>
        <v>0</v>
      </c>
      <c r="M635" s="10">
        <f t="shared" si="318"/>
        <v>6.2484747580303859</v>
      </c>
      <c r="N635" s="10">
        <f t="shared" si="297"/>
        <v>17.20418640980624</v>
      </c>
      <c r="O635" s="10">
        <f t="shared" si="298"/>
        <v>-0.14810000000000001</v>
      </c>
      <c r="P635" s="10">
        <f t="shared" si="319"/>
        <v>13.115353697524247</v>
      </c>
      <c r="Q635" s="45">
        <f t="shared" si="320"/>
        <v>1.41958118019477</v>
      </c>
      <c r="R635" s="4">
        <f t="shared" si="321"/>
        <v>414399.25798291352</v>
      </c>
      <c r="S635">
        <f t="shared" si="302"/>
        <v>4.1439925798291354E-4</v>
      </c>
      <c r="T635" s="44">
        <f t="shared" si="303"/>
        <v>1.6619971364990904E-3</v>
      </c>
      <c r="U635" s="45">
        <f t="shared" si="322"/>
        <v>0.73972339546239985</v>
      </c>
      <c r="V635" s="45">
        <f t="shared" si="323"/>
        <v>1.5440667121322977</v>
      </c>
      <c r="W635" s="45">
        <f t="shared" si="324"/>
        <v>1.5315542911063942</v>
      </c>
      <c r="X635" s="45">
        <f t="shared" si="325"/>
        <v>1.2512421025903553E-2</v>
      </c>
      <c r="Y635" s="45">
        <f t="shared" si="299"/>
        <v>3.2080486952871634E-2</v>
      </c>
      <c r="Z635" s="10">
        <f t="shared" si="326"/>
        <v>19.302371976673495</v>
      </c>
      <c r="AA635">
        <f t="shared" si="304"/>
        <v>6246677.2993292324</v>
      </c>
      <c r="AB635" s="10">
        <f t="shared" si="305"/>
        <v>6.2466772993292325</v>
      </c>
      <c r="AC635" s="10">
        <f t="shared" si="306"/>
        <v>6.1456772993292326</v>
      </c>
      <c r="AD635" s="3">
        <f t="shared" si="307"/>
        <v>891.32375624789449</v>
      </c>
      <c r="AI635" s="100">
        <f t="shared" si="308"/>
        <v>1.5315542911063942</v>
      </c>
    </row>
    <row r="636" spans="2:35">
      <c r="B636" s="39">
        <f t="shared" si="309"/>
        <v>608</v>
      </c>
      <c r="C636" s="45">
        <f t="shared" si="310"/>
        <v>17.860911270982118</v>
      </c>
      <c r="D636" s="10">
        <f t="shared" si="311"/>
        <v>6.6390887290181126</v>
      </c>
      <c r="E636" s="40">
        <f t="shared" si="312"/>
        <v>55.721822541963775</v>
      </c>
      <c r="F636" s="40">
        <f t="shared" si="313"/>
        <v>69</v>
      </c>
      <c r="G636" s="3">
        <f t="shared" si="314"/>
        <v>317.1127098321449</v>
      </c>
      <c r="H636" s="3">
        <f t="shared" si="315"/>
        <v>221.47275588995251</v>
      </c>
      <c r="I636">
        <f t="shared" si="300"/>
        <v>2.214727558899525E-4</v>
      </c>
      <c r="J636" s="4">
        <f t="shared" si="316"/>
        <v>3117.183662579102</v>
      </c>
      <c r="K636" s="40">
        <f t="shared" si="317"/>
        <v>14.074795114429325</v>
      </c>
      <c r="L636" s="40">
        <f t="shared" si="301"/>
        <v>0</v>
      </c>
      <c r="M636" s="10">
        <f t="shared" si="318"/>
        <v>6.2466772993292325</v>
      </c>
      <c r="N636" s="10">
        <f t="shared" si="297"/>
        <v>17.20418640980624</v>
      </c>
      <c r="O636" s="10">
        <f t="shared" si="298"/>
        <v>-0.14810000000000001</v>
      </c>
      <c r="P636" s="10">
        <f t="shared" si="319"/>
        <v>13.115912542939116</v>
      </c>
      <c r="Q636" s="45">
        <f t="shared" si="320"/>
        <v>1.4218209403871915</v>
      </c>
      <c r="R636" s="4">
        <f t="shared" si="321"/>
        <v>412462.47860842</v>
      </c>
      <c r="S636">
        <f t="shared" si="302"/>
        <v>4.1246247860841998E-4</v>
      </c>
      <c r="T636" s="44">
        <f t="shared" si="303"/>
        <v>1.6639339158735838E-3</v>
      </c>
      <c r="U636" s="45">
        <f t="shared" si="322"/>
        <v>0.73626614743996011</v>
      </c>
      <c r="V636" s="45">
        <f t="shared" si="323"/>
        <v>1.5435795466575699</v>
      </c>
      <c r="W636" s="45">
        <f t="shared" si="324"/>
        <v>1.5311064803068062</v>
      </c>
      <c r="X636" s="45">
        <f t="shared" si="325"/>
        <v>1.2473066350763728E-2</v>
      </c>
      <c r="Y636" s="45">
        <f t="shared" si="299"/>
        <v>3.210842363036151E-2</v>
      </c>
      <c r="Z636" s="10">
        <f t="shared" si="326"/>
        <v>19.296694011735575</v>
      </c>
      <c r="AA636">
        <f t="shared" si="304"/>
        <v>6244869.4935182398</v>
      </c>
      <c r="AB636" s="10">
        <f t="shared" si="305"/>
        <v>6.2448694935182401</v>
      </c>
      <c r="AC636" s="10">
        <f t="shared" si="306"/>
        <v>6.1438694935182401</v>
      </c>
      <c r="AD636" s="3">
        <f t="shared" si="307"/>
        <v>891.0615654123626</v>
      </c>
      <c r="AI636" s="100">
        <f t="shared" si="308"/>
        <v>1.5311064803068062</v>
      </c>
    </row>
    <row r="637" spans="2:35">
      <c r="B637" s="39">
        <f t="shared" si="309"/>
        <v>609</v>
      </c>
      <c r="C637" s="45">
        <f t="shared" si="310"/>
        <v>17.890287769783075</v>
      </c>
      <c r="D637" s="10">
        <f t="shared" si="311"/>
        <v>6.6097122302171556</v>
      </c>
      <c r="E637" s="40">
        <f t="shared" si="312"/>
        <v>55.780575539565689</v>
      </c>
      <c r="F637" s="40">
        <f t="shared" si="313"/>
        <v>69</v>
      </c>
      <c r="G637" s="3">
        <f t="shared" si="314"/>
        <v>316.87769784173724</v>
      </c>
      <c r="H637" s="3">
        <f t="shared" si="315"/>
        <v>221.47275588995251</v>
      </c>
      <c r="I637">
        <f t="shared" si="300"/>
        <v>2.214727558899525E-4</v>
      </c>
      <c r="J637" s="4">
        <f t="shared" si="316"/>
        <v>3122.3288845871525</v>
      </c>
      <c r="K637" s="40">
        <f t="shared" si="317"/>
        <v>14.098026965170403</v>
      </c>
      <c r="L637" s="40">
        <f t="shared" si="301"/>
        <v>0</v>
      </c>
      <c r="M637" s="10">
        <f t="shared" si="318"/>
        <v>6.2448694935182401</v>
      </c>
      <c r="N637" s="10">
        <f t="shared" si="297"/>
        <v>17.20418640980624</v>
      </c>
      <c r="O637" s="10">
        <f t="shared" si="298"/>
        <v>-0.14810000000000001</v>
      </c>
      <c r="P637" s="10">
        <f t="shared" si="319"/>
        <v>13.116474791608962</v>
      </c>
      <c r="Q637" s="45">
        <f t="shared" si="320"/>
        <v>1.4240606045704178</v>
      </c>
      <c r="R637" s="4">
        <f t="shared" si="321"/>
        <v>410526.39687139384</v>
      </c>
      <c r="S637">
        <f t="shared" si="302"/>
        <v>4.1052639687139385E-4</v>
      </c>
      <c r="T637" s="44">
        <f t="shared" si="303"/>
        <v>1.6658699976106099E-3</v>
      </c>
      <c r="U637" s="45">
        <f t="shared" si="322"/>
        <v>0.73281014473528161</v>
      </c>
      <c r="V637" s="45">
        <f t="shared" si="323"/>
        <v>1.543089687535222</v>
      </c>
      <c r="W637" s="45">
        <f t="shared" si="324"/>
        <v>1.5306560916746781</v>
      </c>
      <c r="X637" s="45">
        <f t="shared" si="325"/>
        <v>1.2433595860543933E-2</v>
      </c>
      <c r="Y637" s="45">
        <f t="shared" si="299"/>
        <v>3.2136270709679081E-2</v>
      </c>
      <c r="Z637" s="10">
        <f t="shared" si="326"/>
        <v>19.290983543597498</v>
      </c>
      <c r="AA637">
        <f t="shared" si="304"/>
        <v>6243051.3390216259</v>
      </c>
      <c r="AB637" s="10">
        <f t="shared" si="305"/>
        <v>6.2430513390216262</v>
      </c>
      <c r="AC637" s="10">
        <f t="shared" si="306"/>
        <v>6.1420513390216263</v>
      </c>
      <c r="AD637" s="3">
        <f t="shared" si="307"/>
        <v>890.79787367971369</v>
      </c>
      <c r="AI637" s="100">
        <f t="shared" si="308"/>
        <v>1.5306560916746781</v>
      </c>
    </row>
    <row r="638" spans="2:35">
      <c r="B638" s="39">
        <f t="shared" si="309"/>
        <v>610</v>
      </c>
      <c r="C638" s="45">
        <f t="shared" si="310"/>
        <v>17.919664268584032</v>
      </c>
      <c r="D638" s="10">
        <f t="shared" si="311"/>
        <v>6.5803357314161985</v>
      </c>
      <c r="E638" s="40">
        <f t="shared" si="312"/>
        <v>55.839328537167603</v>
      </c>
      <c r="F638" s="40">
        <f t="shared" si="313"/>
        <v>69</v>
      </c>
      <c r="G638" s="3">
        <f t="shared" si="314"/>
        <v>316.64268585132959</v>
      </c>
      <c r="H638" s="3">
        <f t="shared" si="315"/>
        <v>221.47275588995251</v>
      </c>
      <c r="I638">
        <f t="shared" si="300"/>
        <v>2.214727558899525E-4</v>
      </c>
      <c r="J638" s="4">
        <f t="shared" si="316"/>
        <v>3127.4795288501773</v>
      </c>
      <c r="K638" s="40">
        <f t="shared" si="317"/>
        <v>14.12128329862924</v>
      </c>
      <c r="L638" s="40">
        <f t="shared" si="301"/>
        <v>0</v>
      </c>
      <c r="M638" s="10">
        <f t="shared" si="318"/>
        <v>6.2430513390216262</v>
      </c>
      <c r="N638" s="10">
        <f t="shared" si="297"/>
        <v>17.20418640980624</v>
      </c>
      <c r="O638" s="10">
        <f t="shared" si="298"/>
        <v>-0.14810000000000001</v>
      </c>
      <c r="P638" s="10">
        <f t="shared" si="319"/>
        <v>13.117040447348504</v>
      </c>
      <c r="Q638" s="45">
        <f t="shared" si="320"/>
        <v>1.4263001721709656</v>
      </c>
      <c r="R638" s="4">
        <f t="shared" si="321"/>
        <v>408591.01659471984</v>
      </c>
      <c r="S638">
        <f t="shared" si="302"/>
        <v>4.0859101659471983E-4</v>
      </c>
      <c r="T638" s="44">
        <f t="shared" si="303"/>
        <v>1.667805377887284E-3</v>
      </c>
      <c r="U638" s="45">
        <f t="shared" si="322"/>
        <v>0.72935539417240469</v>
      </c>
      <c r="V638" s="45">
        <f t="shared" si="323"/>
        <v>1.5425971343896565</v>
      </c>
      <c r="W638" s="45">
        <f t="shared" si="324"/>
        <v>1.5302031248174259</v>
      </c>
      <c r="X638" s="45">
        <f t="shared" si="325"/>
        <v>1.239400957223058E-2</v>
      </c>
      <c r="Y638" s="45">
        <f t="shared" si="299"/>
        <v>3.2164027931957925E-2</v>
      </c>
      <c r="Z638" s="10">
        <f t="shared" si="326"/>
        <v>19.285240567278997</v>
      </c>
      <c r="AA638">
        <f t="shared" si="304"/>
        <v>6241222.8342537209</v>
      </c>
      <c r="AB638" s="10">
        <f t="shared" si="305"/>
        <v>6.2412228342537208</v>
      </c>
      <c r="AC638" s="10">
        <f t="shared" si="306"/>
        <v>6.1402228342537208</v>
      </c>
      <c r="AD638" s="3">
        <f t="shared" si="307"/>
        <v>890.53268081997408</v>
      </c>
      <c r="AI638" s="100">
        <f t="shared" si="308"/>
        <v>1.5302031248174259</v>
      </c>
    </row>
    <row r="639" spans="2:35">
      <c r="B639" s="39">
        <f t="shared" si="309"/>
        <v>611</v>
      </c>
      <c r="C639" s="45">
        <f t="shared" si="310"/>
        <v>17.949040767384989</v>
      </c>
      <c r="D639" s="10">
        <f t="shared" si="311"/>
        <v>6.5509592326152415</v>
      </c>
      <c r="E639" s="40">
        <f t="shared" si="312"/>
        <v>55.898081534769517</v>
      </c>
      <c r="F639" s="40">
        <f t="shared" si="313"/>
        <v>69</v>
      </c>
      <c r="G639" s="3">
        <f t="shared" si="314"/>
        <v>316.40767386092193</v>
      </c>
      <c r="H639" s="3">
        <f t="shared" si="315"/>
        <v>221.47275588995251</v>
      </c>
      <c r="I639">
        <f t="shared" si="300"/>
        <v>2.214727558899525E-4</v>
      </c>
      <c r="J639" s="4">
        <f t="shared" si="316"/>
        <v>3132.6355953681755</v>
      </c>
      <c r="K639" s="40">
        <f t="shared" si="317"/>
        <v>14.144564114805837</v>
      </c>
      <c r="L639" s="40">
        <f t="shared" si="301"/>
        <v>0</v>
      </c>
      <c r="M639" s="10">
        <f t="shared" si="318"/>
        <v>6.2412228342537208</v>
      </c>
      <c r="N639" s="10">
        <f t="shared" si="297"/>
        <v>17.20418640980624</v>
      </c>
      <c r="O639" s="10">
        <f t="shared" si="298"/>
        <v>-0.14810000000000001</v>
      </c>
      <c r="P639" s="10">
        <f t="shared" si="319"/>
        <v>13.117609513998678</v>
      </c>
      <c r="Q639" s="45">
        <f t="shared" si="320"/>
        <v>1.4285396426148456</v>
      </c>
      <c r="R639" s="4">
        <f t="shared" si="321"/>
        <v>406656.34160128271</v>
      </c>
      <c r="S639">
        <f t="shared" si="302"/>
        <v>4.0665634160128272E-4</v>
      </c>
      <c r="T639" s="44">
        <f t="shared" si="303"/>
        <v>1.6697400528807211E-3</v>
      </c>
      <c r="U639" s="45">
        <f t="shared" si="322"/>
        <v>0.72590190257536968</v>
      </c>
      <c r="V639" s="45">
        <f t="shared" si="323"/>
        <v>1.5421018868423748</v>
      </c>
      <c r="W639" s="45">
        <f t="shared" si="324"/>
        <v>1.5297475793400026</v>
      </c>
      <c r="X639" s="45">
        <f t="shared" si="325"/>
        <v>1.2354307502372208E-2</v>
      </c>
      <c r="Y639" s="45">
        <f t="shared" si="299"/>
        <v>3.2191695038464092E-2</v>
      </c>
      <c r="Z639" s="10">
        <f t="shared" si="326"/>
        <v>19.279465077767842</v>
      </c>
      <c r="AA639">
        <f t="shared" si="304"/>
        <v>6239383.9776186869</v>
      </c>
      <c r="AB639" s="10">
        <f t="shared" si="305"/>
        <v>6.2393839776186866</v>
      </c>
      <c r="AC639" s="10">
        <f t="shared" si="306"/>
        <v>6.1383839776186866</v>
      </c>
      <c r="AD639" s="3">
        <f t="shared" si="307"/>
        <v>890.26598660169498</v>
      </c>
      <c r="AI639" s="100">
        <f t="shared" si="308"/>
        <v>1.5297475793400026</v>
      </c>
    </row>
    <row r="640" spans="2:35">
      <c r="B640" s="39">
        <f t="shared" si="309"/>
        <v>612</v>
      </c>
      <c r="C640" s="45">
        <f t="shared" si="310"/>
        <v>17.978417266185946</v>
      </c>
      <c r="D640" s="10">
        <f t="shared" si="311"/>
        <v>6.5215827338142844</v>
      </c>
      <c r="E640" s="40">
        <f t="shared" si="312"/>
        <v>55.956834532371431</v>
      </c>
      <c r="F640" s="40">
        <f t="shared" si="313"/>
        <v>69</v>
      </c>
      <c r="G640" s="3">
        <f t="shared" si="314"/>
        <v>316.17266187051428</v>
      </c>
      <c r="H640" s="3">
        <f t="shared" si="315"/>
        <v>221.47275588995251</v>
      </c>
      <c r="I640">
        <f t="shared" si="300"/>
        <v>2.214727558899525E-4</v>
      </c>
      <c r="J640" s="4">
        <f t="shared" si="316"/>
        <v>3137.7970841411479</v>
      </c>
      <c r="K640" s="40">
        <f t="shared" si="317"/>
        <v>14.167869413700195</v>
      </c>
      <c r="L640" s="40">
        <f t="shared" si="301"/>
        <v>0</v>
      </c>
      <c r="M640" s="10">
        <f t="shared" si="318"/>
        <v>6.2393839776186866</v>
      </c>
      <c r="N640" s="10">
        <f t="shared" si="297"/>
        <v>17.20418640980624</v>
      </c>
      <c r="O640" s="10">
        <f t="shared" si="298"/>
        <v>-0.14810000000000001</v>
      </c>
      <c r="P640" s="10">
        <f t="shared" si="319"/>
        <v>13.118181995426824</v>
      </c>
      <c r="Q640" s="45">
        <f t="shared" si="320"/>
        <v>1.4307790153275584</v>
      </c>
      <c r="R640" s="4">
        <f t="shared" si="321"/>
        <v>404722.37571396719</v>
      </c>
      <c r="S640">
        <f t="shared" si="302"/>
        <v>4.047223757139672E-4</v>
      </c>
      <c r="T640" s="44">
        <f t="shared" si="303"/>
        <v>1.6716740187680366E-3</v>
      </c>
      <c r="U640" s="45">
        <f t="shared" si="322"/>
        <v>0.72244967676821714</v>
      </c>
      <c r="V640" s="45">
        <f t="shared" si="323"/>
        <v>1.5416039445128753</v>
      </c>
      <c r="W640" s="45">
        <f t="shared" si="324"/>
        <v>1.5292894548448288</v>
      </c>
      <c r="X640" s="45">
        <f t="shared" si="325"/>
        <v>1.2314489668046491E-2</v>
      </c>
      <c r="Y640" s="45">
        <f t="shared" si="299"/>
        <v>3.2219271770597697E-2</v>
      </c>
      <c r="Z640" s="10">
        <f t="shared" si="326"/>
        <v>19.273657070020228</v>
      </c>
      <c r="AA640">
        <f t="shared" si="304"/>
        <v>6237534.7675106246</v>
      </c>
      <c r="AB640" s="10">
        <f t="shared" si="305"/>
        <v>6.237534767510625</v>
      </c>
      <c r="AC640" s="10">
        <f t="shared" si="306"/>
        <v>6.136534767510625</v>
      </c>
      <c r="AD640" s="3">
        <f t="shared" si="307"/>
        <v>889.99779079196878</v>
      </c>
      <c r="AI640" s="100">
        <f t="shared" si="308"/>
        <v>1.5292894548448288</v>
      </c>
    </row>
    <row r="641" spans="2:35">
      <c r="B641" s="39">
        <f t="shared" si="309"/>
        <v>613</v>
      </c>
      <c r="C641" s="45">
        <f t="shared" si="310"/>
        <v>18.007793764986904</v>
      </c>
      <c r="D641" s="10">
        <f t="shared" si="311"/>
        <v>6.4922062350133274</v>
      </c>
      <c r="E641" s="40">
        <f t="shared" si="312"/>
        <v>56.015587529973345</v>
      </c>
      <c r="F641" s="40">
        <f t="shared" si="313"/>
        <v>69</v>
      </c>
      <c r="G641" s="3">
        <f t="shared" si="314"/>
        <v>315.93764988010662</v>
      </c>
      <c r="H641" s="3">
        <f t="shared" si="315"/>
        <v>221.47275588995251</v>
      </c>
      <c r="I641">
        <f t="shared" si="300"/>
        <v>2.214727558899525E-4</v>
      </c>
      <c r="J641" s="4">
        <f t="shared" si="316"/>
        <v>3142.9639951690942</v>
      </c>
      <c r="K641" s="40">
        <f t="shared" si="317"/>
        <v>14.191199195312313</v>
      </c>
      <c r="L641" s="40">
        <f t="shared" si="301"/>
        <v>0</v>
      </c>
      <c r="M641" s="10">
        <f t="shared" si="318"/>
        <v>6.237534767510625</v>
      </c>
      <c r="N641" s="10">
        <f t="shared" si="297"/>
        <v>17.20418640980624</v>
      </c>
      <c r="O641" s="10">
        <f t="shared" si="298"/>
        <v>-0.14810000000000001</v>
      </c>
      <c r="P641" s="10">
        <f t="shared" si="319"/>
        <v>13.118757895526713</v>
      </c>
      <c r="Q641" s="45">
        <f t="shared" si="320"/>
        <v>1.4330182897340915</v>
      </c>
      <c r="R641" s="4">
        <f t="shared" si="321"/>
        <v>402789.12275565823</v>
      </c>
      <c r="S641">
        <f t="shared" si="302"/>
        <v>4.0278912275565825E-4</v>
      </c>
      <c r="T641" s="44">
        <f t="shared" si="303"/>
        <v>1.6736072717263456E-3</v>
      </c>
      <c r="U641" s="45">
        <f t="shared" si="322"/>
        <v>0.71899872357498773</v>
      </c>
      <c r="V641" s="45">
        <f t="shared" si="323"/>
        <v>1.5411033070181781</v>
      </c>
      <c r="W641" s="45">
        <f t="shared" si="324"/>
        <v>1.5288287509318179</v>
      </c>
      <c r="X641" s="45">
        <f t="shared" si="325"/>
        <v>1.2274556086360189E-2</v>
      </c>
      <c r="Y641" s="45">
        <f t="shared" si="299"/>
        <v>3.2246757869893443E-2</v>
      </c>
      <c r="Z641" s="10">
        <f t="shared" si="326"/>
        <v>19.267816538960503</v>
      </c>
      <c r="AA641">
        <f t="shared" si="304"/>
        <v>6235675.2023134995</v>
      </c>
      <c r="AB641" s="10">
        <f t="shared" si="305"/>
        <v>6.2356752023134998</v>
      </c>
      <c r="AC641" s="10">
        <f t="shared" si="306"/>
        <v>6.1346752023134998</v>
      </c>
      <c r="AD641" s="3">
        <f t="shared" si="307"/>
        <v>889.72809315641757</v>
      </c>
      <c r="AI641" s="100">
        <f t="shared" si="308"/>
        <v>1.5288287509318179</v>
      </c>
    </row>
    <row r="642" spans="2:35">
      <c r="B642" s="39">
        <f t="shared" si="309"/>
        <v>614</v>
      </c>
      <c r="C642" s="45">
        <f t="shared" si="310"/>
        <v>18.037170263787861</v>
      </c>
      <c r="D642" s="10">
        <f t="shared" si="311"/>
        <v>6.4628297362123703</v>
      </c>
      <c r="E642" s="40">
        <f t="shared" si="312"/>
        <v>56.074340527575259</v>
      </c>
      <c r="F642" s="40">
        <f t="shared" si="313"/>
        <v>69</v>
      </c>
      <c r="G642" s="3">
        <f t="shared" si="314"/>
        <v>315.70263788969896</v>
      </c>
      <c r="H642" s="3">
        <f t="shared" si="315"/>
        <v>221.47275588995251</v>
      </c>
      <c r="I642">
        <f t="shared" si="300"/>
        <v>2.214727558899525E-4</v>
      </c>
      <c r="J642" s="4">
        <f t="shared" si="316"/>
        <v>3148.1363284520144</v>
      </c>
      <c r="K642" s="40">
        <f t="shared" si="317"/>
        <v>14.214553459642188</v>
      </c>
      <c r="L642" s="40">
        <f t="shared" si="301"/>
        <v>0</v>
      </c>
      <c r="M642" s="10">
        <f t="shared" si="318"/>
        <v>6.2356752023134998</v>
      </c>
      <c r="N642" s="10">
        <f t="shared" si="297"/>
        <v>17.20418640980624</v>
      </c>
      <c r="O642" s="10">
        <f t="shared" si="298"/>
        <v>-0.14810000000000001</v>
      </c>
      <c r="P642" s="10">
        <f t="shared" si="319"/>
        <v>13.11933721821867</v>
      </c>
      <c r="Q642" s="45">
        <f t="shared" si="320"/>
        <v>1.4352574652589163</v>
      </c>
      <c r="R642" s="4">
        <f t="shared" si="321"/>
        <v>400856.58654924057</v>
      </c>
      <c r="S642">
        <f t="shared" si="302"/>
        <v>4.0085658654924055E-4</v>
      </c>
      <c r="T642" s="44">
        <f t="shared" si="303"/>
        <v>1.6755398079327632E-3</v>
      </c>
      <c r="U642" s="45">
        <f t="shared" si="322"/>
        <v>0.71554904981972189</v>
      </c>
      <c r="V642" s="45">
        <f t="shared" si="323"/>
        <v>1.5405999739729135</v>
      </c>
      <c r="W642" s="45">
        <f t="shared" si="324"/>
        <v>1.5283654671983584</v>
      </c>
      <c r="X642" s="45">
        <f t="shared" si="325"/>
        <v>1.2234506774555065E-2</v>
      </c>
      <c r="Y642" s="45">
        <f t="shared" si="299"/>
        <v>3.2274153078021332E-2</v>
      </c>
      <c r="Z642" s="10">
        <f t="shared" si="326"/>
        <v>19.261943479480998</v>
      </c>
      <c r="AA642">
        <f t="shared" si="304"/>
        <v>6233805.2804010827</v>
      </c>
      <c r="AB642" s="10">
        <f t="shared" si="305"/>
        <v>6.2338052804010831</v>
      </c>
      <c r="AC642" s="10">
        <f t="shared" si="306"/>
        <v>6.1328052804010831</v>
      </c>
      <c r="AD642" s="3">
        <f t="shared" si="307"/>
        <v>889.45689345918527</v>
      </c>
      <c r="AI642" s="100">
        <f t="shared" si="308"/>
        <v>1.5283654671983584</v>
      </c>
    </row>
    <row r="643" spans="2:35">
      <c r="B643" s="39">
        <f t="shared" si="309"/>
        <v>615</v>
      </c>
      <c r="C643" s="45">
        <f t="shared" si="310"/>
        <v>18.066546762588818</v>
      </c>
      <c r="D643" s="10">
        <f t="shared" si="311"/>
        <v>6.4334532374114133</v>
      </c>
      <c r="E643" s="40">
        <f t="shared" si="312"/>
        <v>56.133093525177173</v>
      </c>
      <c r="F643" s="40">
        <f t="shared" si="313"/>
        <v>69</v>
      </c>
      <c r="G643" s="3">
        <f t="shared" si="314"/>
        <v>315.46762589929131</v>
      </c>
      <c r="H643" s="3">
        <f t="shared" si="315"/>
        <v>221.47275588995251</v>
      </c>
      <c r="I643">
        <f t="shared" si="300"/>
        <v>2.214727558899525E-4</v>
      </c>
      <c r="J643" s="4">
        <f t="shared" si="316"/>
        <v>3153.3140839899088</v>
      </c>
      <c r="K643" s="40">
        <f t="shared" si="317"/>
        <v>14.237932206689827</v>
      </c>
      <c r="L643" s="40">
        <f t="shared" si="301"/>
        <v>0</v>
      </c>
      <c r="M643" s="10">
        <f t="shared" si="318"/>
        <v>6.2338052804010831</v>
      </c>
      <c r="N643" s="10">
        <f t="shared" si="297"/>
        <v>17.20418640980624</v>
      </c>
      <c r="O643" s="10">
        <f t="shared" si="298"/>
        <v>-0.14810000000000001</v>
      </c>
      <c r="P643" s="10">
        <f t="shared" si="319"/>
        <v>13.119919967449654</v>
      </c>
      <c r="Q643" s="45">
        <f t="shared" si="320"/>
        <v>1.4374965413259837</v>
      </c>
      <c r="R643" s="4">
        <f t="shared" si="321"/>
        <v>398924.77091759891</v>
      </c>
      <c r="S643">
        <f t="shared" si="302"/>
        <v>3.989247709175989E-4</v>
      </c>
      <c r="T643" s="44">
        <f t="shared" si="303"/>
        <v>1.6774716235644048E-3</v>
      </c>
      <c r="U643" s="45">
        <f t="shared" si="322"/>
        <v>0.71210066232645997</v>
      </c>
      <c r="V643" s="45">
        <f t="shared" si="323"/>
        <v>1.5400939449897237</v>
      </c>
      <c r="W643" s="45">
        <f t="shared" si="324"/>
        <v>1.5278996032392986</v>
      </c>
      <c r="X643" s="45">
        <f t="shared" si="325"/>
        <v>1.2194341750425108E-2</v>
      </c>
      <c r="Y643" s="45">
        <f t="shared" si="299"/>
        <v>3.230145713678835E-2</v>
      </c>
      <c r="Z643" s="10">
        <f t="shared" si="326"/>
        <v>19.256037886442478</v>
      </c>
      <c r="AA643">
        <f t="shared" si="304"/>
        <v>6231925.0001370944</v>
      </c>
      <c r="AB643" s="10">
        <f t="shared" si="305"/>
        <v>6.2319250001370943</v>
      </c>
      <c r="AC643" s="10">
        <f t="shared" si="306"/>
        <v>6.1309250001370943</v>
      </c>
      <c r="AD643" s="3">
        <f t="shared" si="307"/>
        <v>889.18419146295787</v>
      </c>
      <c r="AI643" s="100">
        <f t="shared" si="308"/>
        <v>1.5278996032392986</v>
      </c>
    </row>
    <row r="644" spans="2:35">
      <c r="B644" s="39">
        <f t="shared" si="309"/>
        <v>616</v>
      </c>
      <c r="C644" s="45">
        <f t="shared" si="310"/>
        <v>18.095923261389775</v>
      </c>
      <c r="D644" s="10">
        <f t="shared" si="311"/>
        <v>6.4040767386104562</v>
      </c>
      <c r="E644" s="40">
        <f t="shared" si="312"/>
        <v>56.191846522779088</v>
      </c>
      <c r="F644" s="40">
        <f t="shared" si="313"/>
        <v>69</v>
      </c>
      <c r="G644" s="3">
        <f t="shared" si="314"/>
        <v>315.23261390888365</v>
      </c>
      <c r="H644" s="3">
        <f t="shared" si="315"/>
        <v>221.47275588995251</v>
      </c>
      <c r="I644">
        <f t="shared" si="300"/>
        <v>2.214727558899525E-4</v>
      </c>
      <c r="J644" s="4">
        <f t="shared" si="316"/>
        <v>3158.4972617827771</v>
      </c>
      <c r="K644" s="40">
        <f t="shared" si="317"/>
        <v>14.261335436455223</v>
      </c>
      <c r="L644" s="40">
        <f t="shared" si="301"/>
        <v>0</v>
      </c>
      <c r="M644" s="10">
        <f t="shared" si="318"/>
        <v>6.2319250001370943</v>
      </c>
      <c r="N644" s="10">
        <f t="shared" si="297"/>
        <v>17.20418640980624</v>
      </c>
      <c r="O644" s="10">
        <f t="shared" si="298"/>
        <v>-0.14810000000000001</v>
      </c>
      <c r="P644" s="10">
        <f t="shared" si="319"/>
        <v>13.120506147193311</v>
      </c>
      <c r="Q644" s="45">
        <f t="shared" si="320"/>
        <v>1.4397355173587216</v>
      </c>
      <c r="R644" s="4">
        <f t="shared" si="321"/>
        <v>396993.67968361825</v>
      </c>
      <c r="S644">
        <f t="shared" si="302"/>
        <v>3.9699367968361825E-4</v>
      </c>
      <c r="T644" s="44">
        <f t="shared" si="303"/>
        <v>1.6794027147983856E-3</v>
      </c>
      <c r="U644" s="45">
        <f t="shared" si="322"/>
        <v>0.70865356791924283</v>
      </c>
      <c r="V644" s="45">
        <f t="shared" si="323"/>
        <v>1.5395852196782387</v>
      </c>
      <c r="W644" s="45">
        <f t="shared" si="324"/>
        <v>1.5274311586469833</v>
      </c>
      <c r="X644" s="45">
        <f t="shared" si="325"/>
        <v>1.2154061031255381E-2</v>
      </c>
      <c r="Y644" s="45">
        <f t="shared" si="299"/>
        <v>3.2328669788137768E-2</v>
      </c>
      <c r="Z644" s="10">
        <f t="shared" si="326"/>
        <v>19.250099754673116</v>
      </c>
      <c r="AA644">
        <f t="shared" si="304"/>
        <v>6230034.3598748762</v>
      </c>
      <c r="AB644" s="10">
        <f t="shared" si="305"/>
        <v>6.2300343598748764</v>
      </c>
      <c r="AC644" s="10">
        <f t="shared" si="306"/>
        <v>6.1290343598748764</v>
      </c>
      <c r="AD644" s="3">
        <f t="shared" si="307"/>
        <v>888.90998692891606</v>
      </c>
      <c r="AI644" s="100">
        <f t="shared" si="308"/>
        <v>1.5274311586469833</v>
      </c>
    </row>
    <row r="645" spans="2:35">
      <c r="B645" s="39">
        <f t="shared" si="309"/>
        <v>617</v>
      </c>
      <c r="C645" s="45">
        <f t="shared" si="310"/>
        <v>18.125299760190732</v>
      </c>
      <c r="D645" s="10">
        <f t="shared" si="311"/>
        <v>6.3747002398094992</v>
      </c>
      <c r="E645" s="40">
        <f t="shared" si="312"/>
        <v>56.250599520381002</v>
      </c>
      <c r="F645" s="40">
        <f t="shared" si="313"/>
        <v>69</v>
      </c>
      <c r="G645" s="3">
        <f t="shared" si="314"/>
        <v>314.99760191847599</v>
      </c>
      <c r="H645" s="3">
        <f t="shared" si="315"/>
        <v>221.47275588995251</v>
      </c>
      <c r="I645">
        <f t="shared" si="300"/>
        <v>2.214727558899525E-4</v>
      </c>
      <c r="J645" s="4">
        <f t="shared" si="316"/>
        <v>3163.6858618306187</v>
      </c>
      <c r="K645" s="40">
        <f t="shared" si="317"/>
        <v>14.284763148938378</v>
      </c>
      <c r="L645" s="40">
        <f t="shared" si="301"/>
        <v>0</v>
      </c>
      <c r="M645" s="10">
        <f t="shared" si="318"/>
        <v>6.2300343598748764</v>
      </c>
      <c r="N645" s="10">
        <f t="shared" si="297"/>
        <v>17.20418640980624</v>
      </c>
      <c r="O645" s="10">
        <f t="shared" si="298"/>
        <v>-0.14810000000000001</v>
      </c>
      <c r="P645" s="10">
        <f t="shared" si="319"/>
        <v>13.121095761450155</v>
      </c>
      <c r="Q645" s="45">
        <f t="shared" si="320"/>
        <v>1.441974392780031</v>
      </c>
      <c r="R645" s="4">
        <f t="shared" si="321"/>
        <v>395063.31667018344</v>
      </c>
      <c r="S645">
        <f t="shared" si="302"/>
        <v>3.9506331667018342E-4</v>
      </c>
      <c r="T645" s="44">
        <f t="shared" si="303"/>
        <v>1.6813330778118205E-3</v>
      </c>
      <c r="U645" s="45">
        <f t="shared" si="322"/>
        <v>0.70520777342211094</v>
      </c>
      <c r="V645" s="45">
        <f t="shared" si="323"/>
        <v>1.5390737976464193</v>
      </c>
      <c r="W645" s="45">
        <f t="shared" si="324"/>
        <v>1.5269601330111717</v>
      </c>
      <c r="X645" s="45">
        <f t="shared" si="325"/>
        <v>1.2113664635247545E-2</v>
      </c>
      <c r="Y645" s="45">
        <f t="shared" si="299"/>
        <v>3.2355790774151606E-2</v>
      </c>
      <c r="Z645" s="10">
        <f t="shared" si="326"/>
        <v>19.244129078969419</v>
      </c>
      <c r="AA645">
        <f t="shared" si="304"/>
        <v>6228133.3579576919</v>
      </c>
      <c r="AB645" s="10">
        <f t="shared" si="305"/>
        <v>6.2281333579576916</v>
      </c>
      <c r="AC645" s="10">
        <f t="shared" si="306"/>
        <v>6.1271333579576917</v>
      </c>
      <c r="AD645" s="3">
        <f t="shared" si="307"/>
        <v>888.63427961677905</v>
      </c>
      <c r="AI645" s="100">
        <f t="shared" si="308"/>
        <v>1.5269601330111717</v>
      </c>
    </row>
    <row r="646" spans="2:35">
      <c r="B646" s="39">
        <f t="shared" si="309"/>
        <v>618</v>
      </c>
      <c r="C646" s="45">
        <f t="shared" si="310"/>
        <v>18.154676258991689</v>
      </c>
      <c r="D646" s="10">
        <f t="shared" si="311"/>
        <v>6.3453237410085421</v>
      </c>
      <c r="E646" s="40">
        <f t="shared" si="312"/>
        <v>56.309352517982916</v>
      </c>
      <c r="F646" s="40">
        <f t="shared" si="313"/>
        <v>69</v>
      </c>
      <c r="G646" s="3">
        <f t="shared" si="314"/>
        <v>314.76258992806834</v>
      </c>
      <c r="H646" s="3">
        <f t="shared" si="315"/>
        <v>221.47275588995251</v>
      </c>
      <c r="I646">
        <f t="shared" si="300"/>
        <v>2.214727558899525E-4</v>
      </c>
      <c r="J646" s="4">
        <f t="shared" si="316"/>
        <v>3168.8798841334346</v>
      </c>
      <c r="K646" s="40">
        <f t="shared" si="317"/>
        <v>14.308215344139294</v>
      </c>
      <c r="L646" s="40">
        <f t="shared" si="301"/>
        <v>0</v>
      </c>
      <c r="M646" s="10">
        <f t="shared" si="318"/>
        <v>6.2281333579576916</v>
      </c>
      <c r="N646" s="10">
        <f t="shared" si="297"/>
        <v>17.20418640980624</v>
      </c>
      <c r="O646" s="10">
        <f t="shared" si="298"/>
        <v>-0.14810000000000001</v>
      </c>
      <c r="P646" s="10">
        <f t="shared" si="319"/>
        <v>13.12168881424755</v>
      </c>
      <c r="Q646" s="45">
        <f t="shared" si="320"/>
        <v>1.4442131670122824</v>
      </c>
      <c r="R646" s="4">
        <f t="shared" si="321"/>
        <v>393133.68570017896</v>
      </c>
      <c r="S646">
        <f t="shared" si="302"/>
        <v>3.9313368570017897E-4</v>
      </c>
      <c r="T646" s="44">
        <f t="shared" si="303"/>
        <v>1.6832627087818249E-3</v>
      </c>
      <c r="U646" s="45">
        <f t="shared" si="322"/>
        <v>0.70176328565910451</v>
      </c>
      <c r="V646" s="45">
        <f t="shared" si="323"/>
        <v>1.5385596784998474</v>
      </c>
      <c r="W646" s="45">
        <f t="shared" si="324"/>
        <v>1.5264865259191112</v>
      </c>
      <c r="X646" s="45">
        <f t="shared" si="325"/>
        <v>1.2073152580736268E-2</v>
      </c>
      <c r="Y646" s="45">
        <f t="shared" si="299"/>
        <v>3.2382819837051401E-2</v>
      </c>
      <c r="Z646" s="10">
        <f t="shared" si="326"/>
        <v>19.238125854096065</v>
      </c>
      <c r="AA646">
        <f t="shared" si="304"/>
        <v>6226221.9927186677</v>
      </c>
      <c r="AB646" s="10">
        <f t="shared" si="305"/>
        <v>6.2262219927186679</v>
      </c>
      <c r="AC646" s="10">
        <f t="shared" si="306"/>
        <v>6.125221992718668</v>
      </c>
      <c r="AD646" s="3">
        <f t="shared" si="307"/>
        <v>888.3570692847959</v>
      </c>
      <c r="AI646" s="100">
        <f t="shared" si="308"/>
        <v>1.5264865259191112</v>
      </c>
    </row>
    <row r="647" spans="2:35">
      <c r="B647" s="39">
        <f t="shared" si="309"/>
        <v>619</v>
      </c>
      <c r="C647" s="45">
        <f t="shared" si="310"/>
        <v>18.184052757792646</v>
      </c>
      <c r="D647" s="10">
        <f t="shared" si="311"/>
        <v>6.3159472422075851</v>
      </c>
      <c r="E647" s="40">
        <f t="shared" si="312"/>
        <v>56.36810551558483</v>
      </c>
      <c r="F647" s="40">
        <f t="shared" si="313"/>
        <v>69</v>
      </c>
      <c r="G647" s="3">
        <f t="shared" si="314"/>
        <v>314.52757793766068</v>
      </c>
      <c r="H647" s="3">
        <f t="shared" si="315"/>
        <v>221.47275588995251</v>
      </c>
      <c r="I647">
        <f t="shared" si="300"/>
        <v>2.214727558899525E-4</v>
      </c>
      <c r="J647" s="4">
        <f t="shared" si="316"/>
        <v>3174.079328691224</v>
      </c>
      <c r="K647" s="40">
        <f t="shared" si="317"/>
        <v>14.331692022057966</v>
      </c>
      <c r="L647" s="40">
        <f t="shared" si="301"/>
        <v>0</v>
      </c>
      <c r="M647" s="10">
        <f t="shared" si="318"/>
        <v>6.2262219927186679</v>
      </c>
      <c r="N647" s="10">
        <f t="shared" si="297"/>
        <v>17.20418640980624</v>
      </c>
      <c r="O647" s="10">
        <f t="shared" si="298"/>
        <v>-0.14810000000000001</v>
      </c>
      <c r="P647" s="10">
        <f t="shared" si="319"/>
        <v>13.122285309639825</v>
      </c>
      <c r="Q647" s="45">
        <f t="shared" si="320"/>
        <v>1.4464518394773125</v>
      </c>
      <c r="R647" s="4">
        <f t="shared" si="321"/>
        <v>391204.79059648979</v>
      </c>
      <c r="S647">
        <f t="shared" si="302"/>
        <v>3.9120479059648978E-4</v>
      </c>
      <c r="T647" s="44">
        <f t="shared" si="303"/>
        <v>1.685191603885514E-3</v>
      </c>
      <c r="U647" s="45">
        <f t="shared" si="322"/>
        <v>0.69832011145426409</v>
      </c>
      <c r="V647" s="45">
        <f t="shared" si="323"/>
        <v>1.5380428618414133</v>
      </c>
      <c r="W647" s="45">
        <f t="shared" si="324"/>
        <v>1.5260103369555249</v>
      </c>
      <c r="X647" s="45">
        <f t="shared" si="325"/>
        <v>1.2032524885888352E-2</v>
      </c>
      <c r="Y647" s="45">
        <f t="shared" si="299"/>
        <v>3.2409756719198227E-2</v>
      </c>
      <c r="Z647" s="10">
        <f t="shared" si="326"/>
        <v>19.232090074785365</v>
      </c>
      <c r="AA647">
        <f t="shared" si="304"/>
        <v>6224300.262480624</v>
      </c>
      <c r="AB647" s="10">
        <f t="shared" si="305"/>
        <v>6.2243002624806243</v>
      </c>
      <c r="AC647" s="10">
        <f t="shared" si="306"/>
        <v>6.1233002624806243</v>
      </c>
      <c r="AD647" s="3">
        <f t="shared" si="307"/>
        <v>888.07835568972064</v>
      </c>
      <c r="AI647" s="100">
        <f t="shared" si="308"/>
        <v>1.5260103369555249</v>
      </c>
    </row>
    <row r="648" spans="2:35">
      <c r="B648" s="39">
        <f t="shared" si="309"/>
        <v>620</v>
      </c>
      <c r="C648" s="45">
        <f t="shared" si="310"/>
        <v>18.213429256593603</v>
      </c>
      <c r="D648" s="10">
        <f t="shared" si="311"/>
        <v>6.286570743406628</v>
      </c>
      <c r="E648" s="40">
        <f t="shared" si="312"/>
        <v>56.426858513186744</v>
      </c>
      <c r="F648" s="40">
        <f t="shared" si="313"/>
        <v>69</v>
      </c>
      <c r="G648" s="3">
        <f t="shared" si="314"/>
        <v>314.29256594725302</v>
      </c>
      <c r="H648" s="3">
        <f t="shared" si="315"/>
        <v>221.47275588995251</v>
      </c>
      <c r="I648">
        <f t="shared" si="300"/>
        <v>2.214727558899525E-4</v>
      </c>
      <c r="J648" s="4">
        <f t="shared" si="316"/>
        <v>3179.284195503988</v>
      </c>
      <c r="K648" s="40">
        <f t="shared" si="317"/>
        <v>14.355193182694403</v>
      </c>
      <c r="L648" s="40">
        <f t="shared" si="301"/>
        <v>0</v>
      </c>
      <c r="M648" s="10">
        <f t="shared" si="318"/>
        <v>6.2243002624806243</v>
      </c>
      <c r="N648" s="10">
        <f t="shared" si="297"/>
        <v>17.20418640980624</v>
      </c>
      <c r="O648" s="10">
        <f t="shared" si="298"/>
        <v>-0.14810000000000001</v>
      </c>
      <c r="P648" s="10">
        <f t="shared" si="319"/>
        <v>13.122885251708398</v>
      </c>
      <c r="Q648" s="45">
        <f t="shared" si="320"/>
        <v>1.4486904095964206</v>
      </c>
      <c r="R648" s="4">
        <f t="shared" si="321"/>
        <v>389276.6351820007</v>
      </c>
      <c r="S648">
        <f t="shared" si="302"/>
        <v>3.8927663518200067E-4</v>
      </c>
      <c r="T648" s="44">
        <f t="shared" si="303"/>
        <v>1.687119759300003E-3</v>
      </c>
      <c r="U648" s="45">
        <f t="shared" si="322"/>
        <v>0.69487825763163036</v>
      </c>
      <c r="V648" s="45">
        <f t="shared" si="323"/>
        <v>1.5375233472718017</v>
      </c>
      <c r="W648" s="45">
        <f t="shared" si="324"/>
        <v>1.5255315657025679</v>
      </c>
      <c r="X648" s="45">
        <f t="shared" si="325"/>
        <v>1.1991781569233861E-2</v>
      </c>
      <c r="Y648" s="45">
        <f t="shared" si="299"/>
        <v>3.2436601163093985E-2</v>
      </c>
      <c r="Z648" s="10">
        <f t="shared" si="326"/>
        <v>19.226021735737444</v>
      </c>
      <c r="AA648">
        <f t="shared" si="304"/>
        <v>6222368.1655561365</v>
      </c>
      <c r="AB648" s="10">
        <f t="shared" si="305"/>
        <v>6.2223681655561363</v>
      </c>
      <c r="AC648" s="10">
        <f t="shared" si="306"/>
        <v>6.1213681655561363</v>
      </c>
      <c r="AD648" s="3">
        <f t="shared" si="307"/>
        <v>887.79813858682178</v>
      </c>
      <c r="AI648" s="100">
        <f t="shared" si="308"/>
        <v>1.5255315657025679</v>
      </c>
    </row>
    <row r="649" spans="2:35">
      <c r="B649" s="39">
        <f t="shared" si="309"/>
        <v>621</v>
      </c>
      <c r="C649" s="45">
        <f t="shared" si="310"/>
        <v>18.24280575539456</v>
      </c>
      <c r="D649" s="10">
        <f t="shared" si="311"/>
        <v>6.257194244605671</v>
      </c>
      <c r="E649" s="40">
        <f t="shared" si="312"/>
        <v>56.485611510788658</v>
      </c>
      <c r="F649" s="40">
        <f t="shared" si="313"/>
        <v>69</v>
      </c>
      <c r="G649" s="3">
        <f t="shared" si="314"/>
        <v>314.05755395684537</v>
      </c>
      <c r="H649" s="3">
        <f t="shared" si="315"/>
        <v>221.47275588995251</v>
      </c>
      <c r="I649">
        <f t="shared" si="300"/>
        <v>2.214727558899525E-4</v>
      </c>
      <c r="J649" s="4">
        <f t="shared" si="316"/>
        <v>3184.4944845717255</v>
      </c>
      <c r="K649" s="40">
        <f t="shared" si="317"/>
        <v>14.378718826048598</v>
      </c>
      <c r="L649" s="40">
        <f t="shared" si="301"/>
        <v>0</v>
      </c>
      <c r="M649" s="10">
        <f t="shared" si="318"/>
        <v>6.2223681655561363</v>
      </c>
      <c r="N649" s="10">
        <f t="shared" si="297"/>
        <v>17.20418640980624</v>
      </c>
      <c r="O649" s="10">
        <f t="shared" si="298"/>
        <v>-0.14810000000000001</v>
      </c>
      <c r="P649" s="10">
        <f t="shared" si="319"/>
        <v>13.123488644561856</v>
      </c>
      <c r="Q649" s="45">
        <f t="shared" si="320"/>
        <v>1.4509288767903654</v>
      </c>
      <c r="R649" s="4">
        <f t="shared" si="321"/>
        <v>387349.2232795966</v>
      </c>
      <c r="S649">
        <f t="shared" si="302"/>
        <v>3.8734922327959657E-4</v>
      </c>
      <c r="T649" s="44">
        <f t="shared" si="303"/>
        <v>1.6890471712024072E-3</v>
      </c>
      <c r="U649" s="45">
        <f t="shared" si="322"/>
        <v>0.69143773101524386</v>
      </c>
      <c r="V649" s="45">
        <f t="shared" si="323"/>
        <v>1.5370011343893293</v>
      </c>
      <c r="W649" s="45">
        <f t="shared" si="324"/>
        <v>1.5250502117398426</v>
      </c>
      <c r="X649" s="45">
        <f t="shared" si="325"/>
        <v>1.1950922649486717E-2</v>
      </c>
      <c r="Y649" s="45">
        <f t="shared" si="299"/>
        <v>3.2463352911382234E-2</v>
      </c>
      <c r="Z649" s="10">
        <f t="shared" si="326"/>
        <v>19.219920831620151</v>
      </c>
      <c r="AA649">
        <f t="shared" si="304"/>
        <v>6220425.7002475029</v>
      </c>
      <c r="AB649" s="10">
        <f t="shared" si="305"/>
        <v>6.2204257002475032</v>
      </c>
      <c r="AC649" s="10">
        <f t="shared" si="306"/>
        <v>6.1194257002475032</v>
      </c>
      <c r="AD649" s="3">
        <f t="shared" si="307"/>
        <v>887.51641772987716</v>
      </c>
      <c r="AI649" s="100">
        <f t="shared" si="308"/>
        <v>1.5250502117398426</v>
      </c>
    </row>
    <row r="650" spans="2:35">
      <c r="B650" s="39">
        <f t="shared" si="309"/>
        <v>622</v>
      </c>
      <c r="C650" s="45">
        <f t="shared" si="310"/>
        <v>18.272182254195517</v>
      </c>
      <c r="D650" s="10">
        <f t="shared" si="311"/>
        <v>6.2278177458047139</v>
      </c>
      <c r="E650" s="40">
        <f t="shared" si="312"/>
        <v>56.544364508390572</v>
      </c>
      <c r="F650" s="40">
        <f t="shared" si="313"/>
        <v>69</v>
      </c>
      <c r="G650" s="3">
        <f t="shared" si="314"/>
        <v>313.82254196643771</v>
      </c>
      <c r="H650" s="3">
        <f t="shared" si="315"/>
        <v>221.47275588995251</v>
      </c>
      <c r="I650">
        <f t="shared" si="300"/>
        <v>2.214727558899525E-4</v>
      </c>
      <c r="J650" s="4">
        <f t="shared" si="316"/>
        <v>3189.7101958944372</v>
      </c>
      <c r="K650" s="40">
        <f t="shared" si="317"/>
        <v>14.402268952120552</v>
      </c>
      <c r="L650" s="40">
        <f t="shared" si="301"/>
        <v>0</v>
      </c>
      <c r="M650" s="10">
        <f t="shared" si="318"/>
        <v>6.2204257002475032</v>
      </c>
      <c r="N650" s="10">
        <f t="shared" si="297"/>
        <v>17.20418640980624</v>
      </c>
      <c r="O650" s="10">
        <f t="shared" si="298"/>
        <v>-0.14810000000000001</v>
      </c>
      <c r="P650" s="10">
        <f t="shared" si="319"/>
        <v>13.124095492336043</v>
      </c>
      <c r="Q650" s="45">
        <f t="shared" si="320"/>
        <v>1.4531672404793612</v>
      </c>
      <c r="R650" s="4">
        <f t="shared" si="321"/>
        <v>385422.55871216214</v>
      </c>
      <c r="S650">
        <f t="shared" si="302"/>
        <v>3.8542255871216216E-4</v>
      </c>
      <c r="T650" s="44">
        <f t="shared" si="303"/>
        <v>1.6909738357698417E-3</v>
      </c>
      <c r="U650" s="45">
        <f t="shared" si="322"/>
        <v>0.68799853842914505</v>
      </c>
      <c r="V650" s="45">
        <f t="shared" si="323"/>
        <v>1.5364762227901361</v>
      </c>
      <c r="W650" s="45">
        <f t="shared" si="324"/>
        <v>1.5245662746443909</v>
      </c>
      <c r="X650" s="45">
        <f t="shared" si="325"/>
        <v>1.1909948145745197E-2</v>
      </c>
      <c r="Y650" s="45">
        <f t="shared" si="299"/>
        <v>3.2490011706849495E-2</v>
      </c>
      <c r="Z650" s="10">
        <f t="shared" si="326"/>
        <v>19.213787357069261</v>
      </c>
      <c r="AA650">
        <f t="shared" si="304"/>
        <v>6218472.8648468088</v>
      </c>
      <c r="AB650" s="10">
        <f t="shared" si="305"/>
        <v>6.2184728648468086</v>
      </c>
      <c r="AC650" s="10">
        <f t="shared" si="306"/>
        <v>6.1174728648468086</v>
      </c>
      <c r="AD650" s="3">
        <f t="shared" si="307"/>
        <v>887.23319287118329</v>
      </c>
      <c r="AI650" s="100">
        <f t="shared" si="308"/>
        <v>1.5245662746443909</v>
      </c>
    </row>
    <row r="651" spans="2:35">
      <c r="B651" s="39">
        <f t="shared" si="309"/>
        <v>623</v>
      </c>
      <c r="C651" s="45">
        <f t="shared" si="310"/>
        <v>18.301558752996474</v>
      </c>
      <c r="D651" s="10">
        <f t="shared" si="311"/>
        <v>6.1984412470037569</v>
      </c>
      <c r="E651" s="40">
        <f t="shared" si="312"/>
        <v>56.603117505992486</v>
      </c>
      <c r="F651" s="40">
        <f t="shared" si="313"/>
        <v>69</v>
      </c>
      <c r="G651" s="3">
        <f t="shared" si="314"/>
        <v>313.58752997603005</v>
      </c>
      <c r="H651" s="3">
        <f t="shared" si="315"/>
        <v>221.47275588995251</v>
      </c>
      <c r="I651">
        <f t="shared" si="300"/>
        <v>2.214727558899525E-4</v>
      </c>
      <c r="J651" s="4">
        <f t="shared" si="316"/>
        <v>3194.9313294721223</v>
      </c>
      <c r="K651" s="40">
        <f t="shared" si="317"/>
        <v>14.425843560910264</v>
      </c>
      <c r="L651" s="40">
        <f t="shared" si="301"/>
        <v>0</v>
      </c>
      <c r="M651" s="10">
        <f t="shared" si="318"/>
        <v>6.2184728648468086</v>
      </c>
      <c r="N651" s="10">
        <f t="shared" si="297"/>
        <v>17.20418640980624</v>
      </c>
      <c r="O651" s="10">
        <f t="shared" si="298"/>
        <v>-0.14810000000000001</v>
      </c>
      <c r="P651" s="10">
        <f t="shared" si="319"/>
        <v>13.124705799194126</v>
      </c>
      <c r="Q651" s="45">
        <f t="shared" si="320"/>
        <v>1.4554055000830746</v>
      </c>
      <c r="R651" s="4">
        <f t="shared" si="321"/>
        <v>383496.6453025823</v>
      </c>
      <c r="S651">
        <f t="shared" si="302"/>
        <v>3.834966453025823E-4</v>
      </c>
      <c r="T651" s="44">
        <f t="shared" si="303"/>
        <v>1.6928997491794215E-3</v>
      </c>
      <c r="U651" s="45">
        <f t="shared" si="322"/>
        <v>0.68456068669737458</v>
      </c>
      <c r="V651" s="45">
        <f t="shared" si="323"/>
        <v>1.5359486120675692</v>
      </c>
      <c r="W651" s="45">
        <f t="shared" si="324"/>
        <v>1.5240797539907109</v>
      </c>
      <c r="X651" s="45">
        <f t="shared" si="325"/>
        <v>1.1868858076858224E-2</v>
      </c>
      <c r="Y651" s="45">
        <f t="shared" si="299"/>
        <v>3.2516577292425131E-2</v>
      </c>
      <c r="Z651" s="10">
        <f t="shared" si="326"/>
        <v>19.207621306687823</v>
      </c>
      <c r="AA651">
        <f t="shared" si="304"/>
        <v>6216509.6576357204</v>
      </c>
      <c r="AB651" s="10">
        <f t="shared" si="305"/>
        <v>6.2165096576357204</v>
      </c>
      <c r="AC651" s="10">
        <f t="shared" si="306"/>
        <v>6.1155096576357204</v>
      </c>
      <c r="AD651" s="3">
        <f t="shared" si="307"/>
        <v>886.94846376152577</v>
      </c>
      <c r="AI651" s="100">
        <f t="shared" si="308"/>
        <v>1.5240797539907109</v>
      </c>
    </row>
    <row r="652" spans="2:35">
      <c r="B652" s="39">
        <f t="shared" si="309"/>
        <v>624</v>
      </c>
      <c r="C652" s="45">
        <f t="shared" si="310"/>
        <v>18.330935251797431</v>
      </c>
      <c r="D652" s="10">
        <f t="shared" si="311"/>
        <v>6.1690647482027998</v>
      </c>
      <c r="E652" s="40">
        <f t="shared" si="312"/>
        <v>56.6618705035944</v>
      </c>
      <c r="F652" s="40">
        <f t="shared" si="313"/>
        <v>69</v>
      </c>
      <c r="G652" s="3">
        <f t="shared" si="314"/>
        <v>313.3525179856224</v>
      </c>
      <c r="H652" s="3">
        <f t="shared" si="315"/>
        <v>221.47275588995251</v>
      </c>
      <c r="I652">
        <f t="shared" si="300"/>
        <v>2.214727558899525E-4</v>
      </c>
      <c r="J652" s="4">
        <f t="shared" si="316"/>
        <v>3200.1578853047818</v>
      </c>
      <c r="K652" s="40">
        <f t="shared" si="317"/>
        <v>14.449442652417739</v>
      </c>
      <c r="L652" s="40">
        <f t="shared" si="301"/>
        <v>0</v>
      </c>
      <c r="M652" s="10">
        <f t="shared" si="318"/>
        <v>6.2165096576357204</v>
      </c>
      <c r="N652" s="10">
        <f t="shared" si="297"/>
        <v>17.20418640980624</v>
      </c>
      <c r="O652" s="10">
        <f t="shared" si="298"/>
        <v>-0.14810000000000001</v>
      </c>
      <c r="P652" s="10">
        <f t="shared" si="319"/>
        <v>13.125319569326743</v>
      </c>
      <c r="Q652" s="45">
        <f t="shared" si="320"/>
        <v>1.4576436550206207</v>
      </c>
      <c r="R652" s="4">
        <f t="shared" si="321"/>
        <v>381571.48687374179</v>
      </c>
      <c r="S652">
        <f t="shared" si="302"/>
        <v>3.8157148687374177E-4</v>
      </c>
      <c r="T652" s="44">
        <f t="shared" si="303"/>
        <v>1.6948249076082621E-3</v>
      </c>
      <c r="U652" s="45">
        <f t="shared" si="322"/>
        <v>0.68112418264397279</v>
      </c>
      <c r="V652" s="45">
        <f t="shared" si="323"/>
        <v>1.535418301813176</v>
      </c>
      <c r="W652" s="45">
        <f t="shared" si="324"/>
        <v>1.5235906493507052</v>
      </c>
      <c r="X652" s="45">
        <f t="shared" si="325"/>
        <v>1.182765246247075E-2</v>
      </c>
      <c r="Y652" s="45">
        <f t="shared" si="299"/>
        <v>3.2543049411183592E-2</v>
      </c>
      <c r="Z652" s="10">
        <f t="shared" si="326"/>
        <v>19.201422675046924</v>
      </c>
      <c r="AA652">
        <f t="shared" si="304"/>
        <v>6214536.0768857263</v>
      </c>
      <c r="AB652" s="10">
        <f t="shared" si="305"/>
        <v>6.2145360768857261</v>
      </c>
      <c r="AC652" s="10">
        <f t="shared" si="306"/>
        <v>6.1135360768857261</v>
      </c>
      <c r="AD652" s="3">
        <f t="shared" si="307"/>
        <v>886.6622301502141</v>
      </c>
      <c r="AI652" s="100">
        <f t="shared" si="308"/>
        <v>1.5235906493507052</v>
      </c>
    </row>
    <row r="653" spans="2:35">
      <c r="B653" s="39">
        <f t="shared" si="309"/>
        <v>625</v>
      </c>
      <c r="C653" s="45">
        <f t="shared" si="310"/>
        <v>18.360311750598388</v>
      </c>
      <c r="D653" s="10">
        <f t="shared" si="311"/>
        <v>6.1396882494018428</v>
      </c>
      <c r="E653" s="40">
        <f t="shared" si="312"/>
        <v>56.720623501196314</v>
      </c>
      <c r="F653" s="40">
        <f t="shared" si="313"/>
        <v>69</v>
      </c>
      <c r="G653" s="3">
        <f t="shared" si="314"/>
        <v>313.11750599521474</v>
      </c>
      <c r="H653" s="3">
        <f t="shared" si="315"/>
        <v>221.47275588995251</v>
      </c>
      <c r="I653">
        <f t="shared" si="300"/>
        <v>2.214727558899525E-4</v>
      </c>
      <c r="J653" s="4">
        <f t="shared" si="316"/>
        <v>3205.3898633924155</v>
      </c>
      <c r="K653" s="40">
        <f t="shared" si="317"/>
        <v>14.473066226642974</v>
      </c>
      <c r="L653" s="40">
        <f t="shared" si="301"/>
        <v>0</v>
      </c>
      <c r="M653" s="10">
        <f t="shared" si="318"/>
        <v>6.2145360768857261</v>
      </c>
      <c r="N653" s="10">
        <f t="shared" si="297"/>
        <v>17.20418640980624</v>
      </c>
      <c r="O653" s="10">
        <f t="shared" si="298"/>
        <v>-0.14810000000000001</v>
      </c>
      <c r="P653" s="10">
        <f t="shared" si="319"/>
        <v>13.125936806952037</v>
      </c>
      <c r="Q653" s="45">
        <f t="shared" si="320"/>
        <v>1.4598817047105597</v>
      </c>
      <c r="R653" s="4">
        <f t="shared" si="321"/>
        <v>379647.08724852523</v>
      </c>
      <c r="S653">
        <f t="shared" si="302"/>
        <v>3.7964708724852524E-4</v>
      </c>
      <c r="T653" s="44">
        <f t="shared" si="303"/>
        <v>1.6967493072334787E-3</v>
      </c>
      <c r="U653" s="45">
        <f t="shared" si="322"/>
        <v>0.6776890330929799</v>
      </c>
      <c r="V653" s="45">
        <f t="shared" si="323"/>
        <v>1.5348852916158864</v>
      </c>
      <c r="W653" s="45">
        <f t="shared" si="324"/>
        <v>1.5230989602937388</v>
      </c>
      <c r="X653" s="45">
        <f t="shared" si="325"/>
        <v>1.178633132214757E-2</v>
      </c>
      <c r="Y653" s="45">
        <f t="shared" si="299"/>
        <v>3.2569427806344642E-2</v>
      </c>
      <c r="Z653" s="10">
        <f t="shared" si="326"/>
        <v>19.195191456685222</v>
      </c>
      <c r="AA653">
        <f t="shared" si="304"/>
        <v>6212552.1208579931</v>
      </c>
      <c r="AB653" s="10">
        <f t="shared" si="305"/>
        <v>6.2125521208579935</v>
      </c>
      <c r="AC653" s="10">
        <f t="shared" si="306"/>
        <v>6.1115521208579935</v>
      </c>
      <c r="AD653" s="3">
        <f t="shared" si="307"/>
        <v>886.37449178506063</v>
      </c>
      <c r="AI653" s="100">
        <f t="shared" si="308"/>
        <v>1.5230989602937388</v>
      </c>
    </row>
    <row r="654" spans="2:35">
      <c r="B654" s="39">
        <f t="shared" si="309"/>
        <v>626</v>
      </c>
      <c r="C654" s="45">
        <f t="shared" si="310"/>
        <v>18.389688249399345</v>
      </c>
      <c r="D654" s="10">
        <f t="shared" si="311"/>
        <v>6.1103117506008857</v>
      </c>
      <c r="E654" s="40">
        <f t="shared" si="312"/>
        <v>56.779376498798229</v>
      </c>
      <c r="F654" s="40">
        <f t="shared" si="313"/>
        <v>69</v>
      </c>
      <c r="G654" s="3">
        <f t="shared" si="314"/>
        <v>312.88249400480709</v>
      </c>
      <c r="H654" s="3">
        <f t="shared" si="315"/>
        <v>221.47275588995251</v>
      </c>
      <c r="I654">
        <f t="shared" si="300"/>
        <v>2.214727558899525E-4</v>
      </c>
      <c r="J654" s="4">
        <f t="shared" si="316"/>
        <v>3210.6272637350221</v>
      </c>
      <c r="K654" s="40">
        <f t="shared" si="317"/>
        <v>14.496714283585964</v>
      </c>
      <c r="L654" s="40">
        <f t="shared" si="301"/>
        <v>0</v>
      </c>
      <c r="M654" s="10">
        <f t="shared" si="318"/>
        <v>6.2125521208579935</v>
      </c>
      <c r="N654" s="10">
        <f t="shared" si="297"/>
        <v>17.20418640980624</v>
      </c>
      <c r="O654" s="10">
        <f t="shared" si="298"/>
        <v>-0.14810000000000001</v>
      </c>
      <c r="P654" s="10">
        <f t="shared" si="319"/>
        <v>13.126557516315762</v>
      </c>
      <c r="Q654" s="45">
        <f t="shared" si="320"/>
        <v>1.4621196485708936</v>
      </c>
      <c r="R654" s="4">
        <f t="shared" si="321"/>
        <v>377723.45024981775</v>
      </c>
      <c r="S654">
        <f t="shared" si="302"/>
        <v>3.7772345024981774E-4</v>
      </c>
      <c r="T654" s="44">
        <f t="shared" si="303"/>
        <v>1.698672944232186E-3</v>
      </c>
      <c r="U654" s="45">
        <f t="shared" si="322"/>
        <v>0.67425524486843713</v>
      </c>
      <c r="V654" s="45">
        <f t="shared" si="323"/>
        <v>1.5343495810616059</v>
      </c>
      <c r="W654" s="45">
        <f t="shared" si="324"/>
        <v>1.5226046863866074</v>
      </c>
      <c r="X654" s="45">
        <f t="shared" si="325"/>
        <v>1.1744894674998507E-2</v>
      </c>
      <c r="Y654" s="45">
        <f t="shared" si="299"/>
        <v>3.2595712221272825E-2</v>
      </c>
      <c r="Z654" s="10">
        <f t="shared" si="326"/>
        <v>19.188927646108095</v>
      </c>
      <c r="AA654">
        <f t="shared" si="304"/>
        <v>6210557.7878030874</v>
      </c>
      <c r="AB654" s="10">
        <f t="shared" si="305"/>
        <v>6.2105577878030873</v>
      </c>
      <c r="AC654" s="10">
        <f t="shared" si="306"/>
        <v>6.1095577878030873</v>
      </c>
      <c r="AD654" s="3">
        <f t="shared" si="307"/>
        <v>886.08524841234043</v>
      </c>
      <c r="AI654" s="100">
        <f t="shared" si="308"/>
        <v>1.5226046863866074</v>
      </c>
    </row>
    <row r="655" spans="2:35">
      <c r="B655" s="39">
        <f t="shared" si="309"/>
        <v>627</v>
      </c>
      <c r="C655" s="45">
        <f t="shared" si="310"/>
        <v>18.419064748200302</v>
      </c>
      <c r="D655" s="10">
        <f t="shared" si="311"/>
        <v>6.0809352517999287</v>
      </c>
      <c r="E655" s="40">
        <f t="shared" si="312"/>
        <v>56.838129496400143</v>
      </c>
      <c r="F655" s="40">
        <f t="shared" si="313"/>
        <v>69</v>
      </c>
      <c r="G655" s="3">
        <f t="shared" si="314"/>
        <v>312.64748201439943</v>
      </c>
      <c r="H655" s="3">
        <f t="shared" si="315"/>
        <v>221.47275588995251</v>
      </c>
      <c r="I655">
        <f t="shared" si="300"/>
        <v>2.214727558899525E-4</v>
      </c>
      <c r="J655" s="4">
        <f t="shared" si="316"/>
        <v>3215.8700863326035</v>
      </c>
      <c r="K655" s="40">
        <f t="shared" si="317"/>
        <v>14.520386823246719</v>
      </c>
      <c r="L655" s="40">
        <f t="shared" si="301"/>
        <v>0</v>
      </c>
      <c r="M655" s="10">
        <f t="shared" si="318"/>
        <v>6.2105577878030873</v>
      </c>
      <c r="N655" s="10">
        <f t="shared" si="297"/>
        <v>17.20418640980624</v>
      </c>
      <c r="O655" s="10">
        <f t="shared" si="298"/>
        <v>-0.14810000000000001</v>
      </c>
      <c r="P655" s="10">
        <f t="shared" si="319"/>
        <v>13.127181701691475</v>
      </c>
      <c r="Q655" s="45">
        <f t="shared" si="320"/>
        <v>1.4643574860190622</v>
      </c>
      <c r="R655" s="4">
        <f t="shared" si="321"/>
        <v>375800.57970050391</v>
      </c>
      <c r="S655">
        <f t="shared" si="302"/>
        <v>3.7580057970050388E-4</v>
      </c>
      <c r="T655" s="44">
        <f t="shared" si="303"/>
        <v>1.7005958147814999E-3</v>
      </c>
      <c r="U655" s="45">
        <f t="shared" si="322"/>
        <v>0.67082282479438449</v>
      </c>
      <c r="V655" s="45">
        <f t="shared" si="323"/>
        <v>1.5338111697351453</v>
      </c>
      <c r="W655" s="45">
        <f t="shared" si="324"/>
        <v>1.5221078271934656</v>
      </c>
      <c r="X655" s="45">
        <f t="shared" si="325"/>
        <v>1.1703342541679707E-2</v>
      </c>
      <c r="Y655" s="45">
        <f t="shared" si="299"/>
        <v>3.2621902399481338E-2</v>
      </c>
      <c r="Z655" s="10">
        <f t="shared" si="326"/>
        <v>19.182631237789295</v>
      </c>
      <c r="AA655">
        <f t="shared" si="304"/>
        <v>6208553.0759615116</v>
      </c>
      <c r="AB655" s="10">
        <f t="shared" si="305"/>
        <v>6.208553075961512</v>
      </c>
      <c r="AC655" s="10">
        <f t="shared" si="306"/>
        <v>6.107553075961512</v>
      </c>
      <c r="AD655" s="3">
        <f t="shared" si="307"/>
        <v>885.79449977686897</v>
      </c>
      <c r="AI655" s="100">
        <f t="shared" si="308"/>
        <v>1.5221078271934656</v>
      </c>
    </row>
    <row r="656" spans="2:35">
      <c r="B656" s="39">
        <f t="shared" si="309"/>
        <v>628</v>
      </c>
      <c r="C656" s="45">
        <f t="shared" si="310"/>
        <v>18.448441247001259</v>
      </c>
      <c r="D656" s="10">
        <f t="shared" si="311"/>
        <v>6.0515587529989716</v>
      </c>
      <c r="E656" s="40">
        <f t="shared" si="312"/>
        <v>56.896882494002057</v>
      </c>
      <c r="F656" s="40">
        <f t="shared" si="313"/>
        <v>69</v>
      </c>
      <c r="G656" s="3">
        <f t="shared" si="314"/>
        <v>312.41247002399177</v>
      </c>
      <c r="H656" s="3">
        <f t="shared" si="315"/>
        <v>221.47275588995251</v>
      </c>
      <c r="I656">
        <f t="shared" si="300"/>
        <v>2.214727558899525E-4</v>
      </c>
      <c r="J656" s="4">
        <f t="shared" si="316"/>
        <v>3221.1183311851582</v>
      </c>
      <c r="K656" s="40">
        <f t="shared" si="317"/>
        <v>14.544083845625229</v>
      </c>
      <c r="L656" s="40">
        <f t="shared" si="301"/>
        <v>0</v>
      </c>
      <c r="M656" s="10">
        <f t="shared" si="318"/>
        <v>6.208553075961512</v>
      </c>
      <c r="N656" s="10">
        <f t="shared" si="297"/>
        <v>17.20418640980624</v>
      </c>
      <c r="O656" s="10">
        <f t="shared" si="298"/>
        <v>-0.14810000000000001</v>
      </c>
      <c r="P656" s="10">
        <f t="shared" si="319"/>
        <v>13.127809367380459</v>
      </c>
      <c r="Q656" s="45">
        <f t="shared" si="320"/>
        <v>1.4665952164719398</v>
      </c>
      <c r="R656" s="4">
        <f t="shared" si="321"/>
        <v>373878.47942346864</v>
      </c>
      <c r="S656">
        <f t="shared" si="302"/>
        <v>3.7387847942346866E-4</v>
      </c>
      <c r="T656" s="44">
        <f t="shared" si="303"/>
        <v>1.7025179150585352E-3</v>
      </c>
      <c r="U656" s="45">
        <f t="shared" si="322"/>
        <v>0.66739177969486263</v>
      </c>
      <c r="V656" s="45">
        <f t="shared" si="323"/>
        <v>1.5332700572179176</v>
      </c>
      <c r="W656" s="45">
        <f t="shared" si="324"/>
        <v>1.5216083822759592</v>
      </c>
      <c r="X656" s="45">
        <f t="shared" si="325"/>
        <v>1.1661674941958466E-2</v>
      </c>
      <c r="Y656" s="45">
        <f t="shared" si="299"/>
        <v>3.2647998084630515E-2</v>
      </c>
      <c r="Z656" s="10">
        <f t="shared" si="326"/>
        <v>19.176302226169543</v>
      </c>
      <c r="AA656">
        <f t="shared" si="304"/>
        <v>6206537.9835632453</v>
      </c>
      <c r="AB656" s="10">
        <f t="shared" si="305"/>
        <v>6.206537983563245</v>
      </c>
      <c r="AC656" s="10">
        <f t="shared" si="306"/>
        <v>6.1055379835632451</v>
      </c>
      <c r="AD656" s="3">
        <f t="shared" si="307"/>
        <v>885.50224562193546</v>
      </c>
      <c r="AI656" s="100">
        <f t="shared" si="308"/>
        <v>1.5216083822759592</v>
      </c>
    </row>
    <row r="657" spans="2:35">
      <c r="B657" s="39">
        <f t="shared" si="309"/>
        <v>629</v>
      </c>
      <c r="C657" s="45">
        <f t="shared" si="310"/>
        <v>18.477817745802216</v>
      </c>
      <c r="D657" s="10">
        <f t="shared" si="311"/>
        <v>6.0221822541980146</v>
      </c>
      <c r="E657" s="40">
        <f t="shared" si="312"/>
        <v>56.955635491603971</v>
      </c>
      <c r="F657" s="40">
        <f t="shared" si="313"/>
        <v>69</v>
      </c>
      <c r="G657" s="3">
        <f t="shared" si="314"/>
        <v>312.17745803358412</v>
      </c>
      <c r="H657" s="3">
        <f t="shared" si="315"/>
        <v>221.47275588995251</v>
      </c>
      <c r="I657">
        <f t="shared" si="300"/>
        <v>2.214727558899525E-4</v>
      </c>
      <c r="J657" s="4">
        <f t="shared" si="316"/>
        <v>3226.3719982926873</v>
      </c>
      <c r="K657" s="40">
        <f t="shared" si="317"/>
        <v>14.567805350721502</v>
      </c>
      <c r="L657" s="40">
        <f t="shared" si="301"/>
        <v>0</v>
      </c>
      <c r="M657" s="10">
        <f t="shared" si="318"/>
        <v>6.206537983563245</v>
      </c>
      <c r="N657" s="10">
        <f t="shared" si="297"/>
        <v>17.20418640980624</v>
      </c>
      <c r="O657" s="10">
        <f t="shared" si="298"/>
        <v>-0.14810000000000001</v>
      </c>
      <c r="P657" s="10">
        <f t="shared" si="319"/>
        <v>13.128440517711953</v>
      </c>
      <c r="Q657" s="45">
        <f t="shared" si="320"/>
        <v>1.4688328393458314</v>
      </c>
      <c r="R657" s="4">
        <f t="shared" si="321"/>
        <v>371957.15324159665</v>
      </c>
      <c r="S657">
        <f t="shared" si="302"/>
        <v>3.7195715324159667E-4</v>
      </c>
      <c r="T657" s="44">
        <f t="shared" si="303"/>
        <v>1.7044392412404071E-3</v>
      </c>
      <c r="U657" s="45">
        <f t="shared" si="322"/>
        <v>0.66396211639391212</v>
      </c>
      <c r="V657" s="45">
        <f t="shared" si="323"/>
        <v>1.5327262430892679</v>
      </c>
      <c r="W657" s="45">
        <f t="shared" si="324"/>
        <v>1.5211063511931135</v>
      </c>
      <c r="X657" s="45">
        <f t="shared" si="325"/>
        <v>1.1619891896154311E-2</v>
      </c>
      <c r="Y657" s="45">
        <f t="shared" si="299"/>
        <v>3.2673999020529497E-2</v>
      </c>
      <c r="Z657" s="10">
        <f t="shared" si="326"/>
        <v>19.16994060565689</v>
      </c>
      <c r="AA657">
        <f t="shared" si="304"/>
        <v>6204512.5088278707</v>
      </c>
      <c r="AB657" s="10">
        <f t="shared" si="305"/>
        <v>6.2045125088278708</v>
      </c>
      <c r="AC657" s="10">
        <f t="shared" si="306"/>
        <v>6.1035125088278708</v>
      </c>
      <c r="AD657" s="3">
        <f t="shared" si="307"/>
        <v>885.20848568932138</v>
      </c>
      <c r="AI657" s="100">
        <f t="shared" si="308"/>
        <v>1.5211063511931135</v>
      </c>
    </row>
    <row r="658" spans="2:35">
      <c r="B658" s="39">
        <f t="shared" si="309"/>
        <v>630</v>
      </c>
      <c r="C658" s="45">
        <f t="shared" si="310"/>
        <v>18.507194244603173</v>
      </c>
      <c r="D658" s="10">
        <f t="shared" si="311"/>
        <v>5.9928057553970575</v>
      </c>
      <c r="E658" s="40">
        <f t="shared" si="312"/>
        <v>57.014388489205885</v>
      </c>
      <c r="F658" s="40">
        <f t="shared" si="313"/>
        <v>69</v>
      </c>
      <c r="G658" s="3">
        <f t="shared" si="314"/>
        <v>311.94244604317646</v>
      </c>
      <c r="H658" s="3">
        <f t="shared" si="315"/>
        <v>221.47275588995251</v>
      </c>
      <c r="I658">
        <f t="shared" si="300"/>
        <v>2.214727558899525E-4</v>
      </c>
      <c r="J658" s="4">
        <f t="shared" si="316"/>
        <v>3231.6310876551902</v>
      </c>
      <c r="K658" s="40">
        <f t="shared" si="317"/>
        <v>14.591551338535535</v>
      </c>
      <c r="L658" s="40">
        <f t="shared" si="301"/>
        <v>0</v>
      </c>
      <c r="M658" s="10">
        <f t="shared" si="318"/>
        <v>6.2045125088278708</v>
      </c>
      <c r="N658" s="10">
        <f t="shared" si="297"/>
        <v>17.20418640980624</v>
      </c>
      <c r="O658" s="10">
        <f t="shared" si="298"/>
        <v>-0.14810000000000001</v>
      </c>
      <c r="P658" s="10">
        <f t="shared" si="319"/>
        <v>13.129075157043198</v>
      </c>
      <c r="Q658" s="45">
        <f t="shared" si="320"/>
        <v>1.4710703540564696</v>
      </c>
      <c r="R658" s="4">
        <f t="shared" si="321"/>
        <v>370036.60497777275</v>
      </c>
      <c r="S658">
        <f t="shared" si="302"/>
        <v>3.7003660497777276E-4</v>
      </c>
      <c r="T658" s="44">
        <f t="shared" si="303"/>
        <v>1.706359789504231E-3</v>
      </c>
      <c r="U658" s="45">
        <f t="shared" si="322"/>
        <v>0.66053384171557317</v>
      </c>
      <c r="V658" s="45">
        <f t="shared" si="323"/>
        <v>1.5321797269262112</v>
      </c>
      <c r="W658" s="45">
        <f t="shared" si="324"/>
        <v>1.5206017335013631</v>
      </c>
      <c r="X658" s="45">
        <f t="shared" si="325"/>
        <v>1.157799342484811E-2</v>
      </c>
      <c r="Y658" s="45">
        <f t="shared" si="299"/>
        <v>3.2699904951137268E-2</v>
      </c>
      <c r="Z658" s="10">
        <f t="shared" si="326"/>
        <v>19.163546370626772</v>
      </c>
      <c r="AA658">
        <f t="shared" si="304"/>
        <v>6202476.6499645831</v>
      </c>
      <c r="AB658" s="10">
        <f t="shared" si="305"/>
        <v>6.2024766499645834</v>
      </c>
      <c r="AC658" s="10">
        <f t="shared" si="306"/>
        <v>6.1014766499645834</v>
      </c>
      <c r="AD658" s="3">
        <f t="shared" si="307"/>
        <v>884.91321971930142</v>
      </c>
      <c r="AI658" s="100">
        <f t="shared" si="308"/>
        <v>1.5206017335013631</v>
      </c>
    </row>
    <row r="659" spans="2:35">
      <c r="B659" s="39">
        <f t="shared" si="309"/>
        <v>631</v>
      </c>
      <c r="C659" s="45">
        <f t="shared" si="310"/>
        <v>18.53657074340413</v>
      </c>
      <c r="D659" s="10">
        <f t="shared" si="311"/>
        <v>5.9634292565961005</v>
      </c>
      <c r="E659" s="40">
        <f t="shared" si="312"/>
        <v>57.073141486807799</v>
      </c>
      <c r="F659" s="40">
        <f t="shared" si="313"/>
        <v>69</v>
      </c>
      <c r="G659" s="3">
        <f t="shared" si="314"/>
        <v>311.7074340527688</v>
      </c>
      <c r="H659" s="3">
        <f t="shared" si="315"/>
        <v>221.47275588995251</v>
      </c>
      <c r="I659">
        <f t="shared" si="300"/>
        <v>2.214727558899525E-4</v>
      </c>
      <c r="J659" s="4">
        <f t="shared" si="316"/>
        <v>3236.8955992726669</v>
      </c>
      <c r="K659" s="40">
        <f t="shared" si="317"/>
        <v>14.615321809067325</v>
      </c>
      <c r="L659" s="40">
        <f t="shared" si="301"/>
        <v>0</v>
      </c>
      <c r="M659" s="10">
        <f t="shared" si="318"/>
        <v>6.2024766499645834</v>
      </c>
      <c r="N659" s="10">
        <f t="shared" si="297"/>
        <v>17.20418640980624</v>
      </c>
      <c r="O659" s="10">
        <f t="shared" si="298"/>
        <v>-0.14810000000000001</v>
      </c>
      <c r="P659" s="10">
        <f t="shared" si="319"/>
        <v>13.129713289759549</v>
      </c>
      <c r="Q659" s="45">
        <f t="shared" si="320"/>
        <v>1.4733077600190103</v>
      </c>
      <c r="R659" s="4">
        <f t="shared" si="321"/>
        <v>368116.83845488192</v>
      </c>
      <c r="S659">
        <f t="shared" si="302"/>
        <v>3.681168384548819E-4</v>
      </c>
      <c r="T659" s="44">
        <f t="shared" si="303"/>
        <v>1.708279556027122E-3</v>
      </c>
      <c r="U659" s="45">
        <f t="shared" si="322"/>
        <v>0.657106962483887</v>
      </c>
      <c r="V659" s="45">
        <f t="shared" si="323"/>
        <v>1.5316305083028785</v>
      </c>
      <c r="W659" s="45">
        <f t="shared" si="324"/>
        <v>1.5200945287545555</v>
      </c>
      <c r="X659" s="45">
        <f t="shared" si="325"/>
        <v>1.1535979548322972E-2</v>
      </c>
      <c r="Y659" s="45">
        <f t="shared" si="299"/>
        <v>3.2725715620562437E-2</v>
      </c>
      <c r="Z659" s="10">
        <f t="shared" si="326"/>
        <v>19.157119515421314</v>
      </c>
      <c r="AA659">
        <f t="shared" si="304"/>
        <v>6200430.4051719755</v>
      </c>
      <c r="AB659" s="10">
        <f t="shared" si="305"/>
        <v>6.2004304051719759</v>
      </c>
      <c r="AC659" s="10">
        <f t="shared" si="306"/>
        <v>6.0994304051719759</v>
      </c>
      <c r="AD659" s="3">
        <f t="shared" si="307"/>
        <v>884.61644745061278</v>
      </c>
      <c r="AI659" s="100">
        <f t="shared" si="308"/>
        <v>1.5200945287545555</v>
      </c>
    </row>
    <row r="660" spans="2:35">
      <c r="B660" s="39">
        <f t="shared" si="309"/>
        <v>632</v>
      </c>
      <c r="C660" s="45">
        <f t="shared" si="310"/>
        <v>18.565947242205088</v>
      </c>
      <c r="D660" s="10">
        <f t="shared" si="311"/>
        <v>5.9340527577951434</v>
      </c>
      <c r="E660" s="40">
        <f t="shared" si="312"/>
        <v>57.131894484409713</v>
      </c>
      <c r="F660" s="40">
        <f t="shared" si="313"/>
        <v>69</v>
      </c>
      <c r="G660" s="3">
        <f t="shared" si="314"/>
        <v>311.47242206236115</v>
      </c>
      <c r="H660" s="3">
        <f t="shared" si="315"/>
        <v>221.47275588995251</v>
      </c>
      <c r="I660">
        <f t="shared" si="300"/>
        <v>2.214727558899525E-4</v>
      </c>
      <c r="J660" s="4">
        <f t="shared" si="316"/>
        <v>3242.1655331451175</v>
      </c>
      <c r="K660" s="40">
        <f t="shared" si="317"/>
        <v>14.639116762316876</v>
      </c>
      <c r="L660" s="40">
        <f t="shared" si="301"/>
        <v>0</v>
      </c>
      <c r="M660" s="10">
        <f t="shared" si="318"/>
        <v>6.2004304051719759</v>
      </c>
      <c r="N660" s="10">
        <f t="shared" si="297"/>
        <v>17.20418640980624</v>
      </c>
      <c r="O660" s="10">
        <f t="shared" si="298"/>
        <v>-0.14810000000000001</v>
      </c>
      <c r="P660" s="10">
        <f t="shared" si="319"/>
        <v>13.130354920274604</v>
      </c>
      <c r="Q660" s="45">
        <f t="shared" si="320"/>
        <v>1.4755450566480297</v>
      </c>
      <c r="R660" s="4">
        <f t="shared" si="321"/>
        <v>366197.8574958088</v>
      </c>
      <c r="S660">
        <f t="shared" si="302"/>
        <v>3.6619785749580881E-4</v>
      </c>
      <c r="T660" s="44">
        <f t="shared" si="303"/>
        <v>1.7101985369861951E-3</v>
      </c>
      <c r="U660" s="45">
        <f t="shared" si="322"/>
        <v>0.65368148552289351</v>
      </c>
      <c r="V660" s="45">
        <f t="shared" si="323"/>
        <v>1.5310785867919883</v>
      </c>
      <c r="W660" s="45">
        <f t="shared" si="324"/>
        <v>1.5195847365038953</v>
      </c>
      <c r="X660" s="45">
        <f t="shared" si="325"/>
        <v>1.1493850288093022E-2</v>
      </c>
      <c r="Y660" s="45">
        <f t="shared" si="299"/>
        <v>3.2751430773066442E-2</v>
      </c>
      <c r="Z660" s="10">
        <f t="shared" si="326"/>
        <v>19.150660034350629</v>
      </c>
      <c r="AA660">
        <f t="shared" si="304"/>
        <v>6198373.7726384439</v>
      </c>
      <c r="AB660" s="10">
        <f t="shared" si="305"/>
        <v>6.198373772638444</v>
      </c>
      <c r="AC660" s="10">
        <f t="shared" si="306"/>
        <v>6.097373772638444</v>
      </c>
      <c r="AD660" s="3">
        <f t="shared" si="307"/>
        <v>884.31816862051403</v>
      </c>
      <c r="AI660" s="100">
        <f t="shared" si="308"/>
        <v>1.5195847365038953</v>
      </c>
    </row>
    <row r="661" spans="2:35">
      <c r="B661" s="39">
        <f t="shared" si="309"/>
        <v>633</v>
      </c>
      <c r="C661" s="45">
        <f t="shared" si="310"/>
        <v>18.595323741006045</v>
      </c>
      <c r="D661" s="10">
        <f t="shared" si="311"/>
        <v>5.9046762589941864</v>
      </c>
      <c r="E661" s="40">
        <f t="shared" si="312"/>
        <v>57.190647482011627</v>
      </c>
      <c r="F661" s="40">
        <f t="shared" si="313"/>
        <v>69</v>
      </c>
      <c r="G661" s="3">
        <f t="shared" si="314"/>
        <v>311.23741007195349</v>
      </c>
      <c r="H661" s="3">
        <f t="shared" si="315"/>
        <v>221.47275588995251</v>
      </c>
      <c r="I661">
        <f t="shared" si="300"/>
        <v>2.214727558899525E-4</v>
      </c>
      <c r="J661" s="4">
        <f t="shared" si="316"/>
        <v>3247.4408892725419</v>
      </c>
      <c r="K661" s="40">
        <f t="shared" si="317"/>
        <v>14.662936198284186</v>
      </c>
      <c r="L661" s="40">
        <f t="shared" si="301"/>
        <v>0</v>
      </c>
      <c r="M661" s="10">
        <f t="shared" si="318"/>
        <v>6.198373772638444</v>
      </c>
      <c r="N661" s="10">
        <f t="shared" si="297"/>
        <v>17.20418640980624</v>
      </c>
      <c r="O661" s="10">
        <f t="shared" si="298"/>
        <v>-0.14810000000000001</v>
      </c>
      <c r="P661" s="10">
        <f t="shared" si="319"/>
        <v>13.131000053030203</v>
      </c>
      <c r="Q661" s="45">
        <f t="shared" si="320"/>
        <v>1.4777822433575203</v>
      </c>
      <c r="R661" s="4">
        <f t="shared" si="321"/>
        <v>364279.66592343809</v>
      </c>
      <c r="S661">
        <f t="shared" si="302"/>
        <v>3.642796659234381E-4</v>
      </c>
      <c r="T661" s="44">
        <f t="shared" si="303"/>
        <v>1.7121167285585658E-3</v>
      </c>
      <c r="U661" s="45">
        <f t="shared" si="322"/>
        <v>0.65025741765663314</v>
      </c>
      <c r="V661" s="45">
        <f t="shared" si="323"/>
        <v>1.5305239619629476</v>
      </c>
      <c r="W661" s="45">
        <f t="shared" si="324"/>
        <v>1.5190723562980482</v>
      </c>
      <c r="X661" s="45">
        <f t="shared" si="325"/>
        <v>1.1451605664899445E-2</v>
      </c>
      <c r="Y661" s="45">
        <f t="shared" si="299"/>
        <v>3.277705015306228E-2</v>
      </c>
      <c r="Z661" s="10">
        <f t="shared" si="326"/>
        <v>19.144167921691494</v>
      </c>
      <c r="AA661">
        <f t="shared" si="304"/>
        <v>6196306.7505417727</v>
      </c>
      <c r="AB661" s="10">
        <f t="shared" si="305"/>
        <v>6.1963067505417726</v>
      </c>
      <c r="AC661" s="10">
        <f t="shared" si="306"/>
        <v>6.0953067505417726</v>
      </c>
      <c r="AD661" s="3">
        <f t="shared" si="307"/>
        <v>884.01838296472408</v>
      </c>
      <c r="AI661" s="100">
        <f t="shared" si="308"/>
        <v>1.5190723562980482</v>
      </c>
    </row>
    <row r="662" spans="2:35">
      <c r="B662" s="39">
        <f t="shared" si="309"/>
        <v>634</v>
      </c>
      <c r="C662" s="45">
        <f t="shared" si="310"/>
        <v>18.624700239807002</v>
      </c>
      <c r="D662" s="10">
        <f t="shared" si="311"/>
        <v>5.8752997601932293</v>
      </c>
      <c r="E662" s="40">
        <f t="shared" si="312"/>
        <v>57.249400479613541</v>
      </c>
      <c r="F662" s="40">
        <f t="shared" si="313"/>
        <v>69</v>
      </c>
      <c r="G662" s="3">
        <f t="shared" si="314"/>
        <v>311.00239808154583</v>
      </c>
      <c r="H662" s="3">
        <f t="shared" si="315"/>
        <v>221.47275588995251</v>
      </c>
      <c r="I662">
        <f t="shared" si="300"/>
        <v>2.214727558899525E-4</v>
      </c>
      <c r="J662" s="4">
        <f t="shared" si="316"/>
        <v>3252.7216676549406</v>
      </c>
      <c r="K662" s="40">
        <f t="shared" si="317"/>
        <v>14.686780116969258</v>
      </c>
      <c r="L662" s="40">
        <f t="shared" si="301"/>
        <v>0</v>
      </c>
      <c r="M662" s="10">
        <f t="shared" si="318"/>
        <v>6.1963067505417726</v>
      </c>
      <c r="N662" s="10">
        <f t="shared" si="297"/>
        <v>17.20418640980624</v>
      </c>
      <c r="O662" s="10">
        <f t="shared" si="298"/>
        <v>-0.14810000000000001</v>
      </c>
      <c r="P662" s="10">
        <f t="shared" si="319"/>
        <v>13.131648692496622</v>
      </c>
      <c r="Q662" s="45">
        <f t="shared" si="320"/>
        <v>1.4800193195608871</v>
      </c>
      <c r="R662" s="4">
        <f t="shared" si="321"/>
        <v>362362.26756065479</v>
      </c>
      <c r="S662">
        <f t="shared" si="302"/>
        <v>3.6236226756065481E-4</v>
      </c>
      <c r="T662" s="44">
        <f t="shared" si="303"/>
        <v>1.714034126921349E-3</v>
      </c>
      <c r="U662" s="45">
        <f t="shared" si="322"/>
        <v>0.64683476570914689</v>
      </c>
      <c r="V662" s="45">
        <f t="shared" si="323"/>
        <v>1.5299666333829869</v>
      </c>
      <c r="W662" s="45">
        <f t="shared" si="324"/>
        <v>1.5185573876830358</v>
      </c>
      <c r="X662" s="45">
        <f t="shared" si="325"/>
        <v>1.1409245699951054E-2</v>
      </c>
      <c r="Y662" s="45">
        <f t="shared" si="299"/>
        <v>3.2802573505116006E-2</v>
      </c>
      <c r="Z662" s="10">
        <f t="shared" si="326"/>
        <v>19.137643171687678</v>
      </c>
      <c r="AA662">
        <f t="shared" si="304"/>
        <v>6194229.3370492393</v>
      </c>
      <c r="AB662" s="10">
        <f t="shared" si="305"/>
        <v>6.1942293370492392</v>
      </c>
      <c r="AC662" s="10">
        <f t="shared" si="306"/>
        <v>6.0932293370492392</v>
      </c>
      <c r="AD662" s="3">
        <f t="shared" si="307"/>
        <v>883.71709021743868</v>
      </c>
      <c r="AI662" s="100">
        <f t="shared" si="308"/>
        <v>1.5185573876830358</v>
      </c>
    </row>
    <row r="663" spans="2:35">
      <c r="B663" s="39">
        <f t="shared" si="309"/>
        <v>635</v>
      </c>
      <c r="C663" s="45">
        <f t="shared" si="310"/>
        <v>18.654076738607959</v>
      </c>
      <c r="D663" s="10">
        <f t="shared" si="311"/>
        <v>5.8459232613922723</v>
      </c>
      <c r="E663" s="40">
        <f t="shared" si="312"/>
        <v>57.308153477215455</v>
      </c>
      <c r="F663" s="40">
        <f t="shared" si="313"/>
        <v>69</v>
      </c>
      <c r="G663" s="3">
        <f t="shared" si="314"/>
        <v>310.76738609113818</v>
      </c>
      <c r="H663" s="3">
        <f t="shared" si="315"/>
        <v>221.47275588995251</v>
      </c>
      <c r="I663">
        <f t="shared" si="300"/>
        <v>2.214727558899525E-4</v>
      </c>
      <c r="J663" s="4">
        <f t="shared" si="316"/>
        <v>3258.0078682923127</v>
      </c>
      <c r="K663" s="40">
        <f t="shared" si="317"/>
        <v>14.710648518372086</v>
      </c>
      <c r="L663" s="40">
        <f t="shared" si="301"/>
        <v>0</v>
      </c>
      <c r="M663" s="10">
        <f t="shared" si="318"/>
        <v>6.1942293370492392</v>
      </c>
      <c r="N663" s="10">
        <f t="shared" si="297"/>
        <v>17.20418640980624</v>
      </c>
      <c r="O663" s="10">
        <f t="shared" si="298"/>
        <v>-0.14810000000000001</v>
      </c>
      <c r="P663" s="10">
        <f t="shared" si="319"/>
        <v>13.13230084317266</v>
      </c>
      <c r="Q663" s="45">
        <f t="shared" si="320"/>
        <v>1.4822562846709446</v>
      </c>
      <c r="R663" s="4">
        <f t="shared" si="321"/>
        <v>360445.66623034363</v>
      </c>
      <c r="S663">
        <f t="shared" si="302"/>
        <v>3.6044566623034361E-4</v>
      </c>
      <c r="T663" s="44">
        <f t="shared" si="303"/>
        <v>1.7159507282516603E-3</v>
      </c>
      <c r="U663" s="45">
        <f t="shared" si="322"/>
        <v>0.64341353650447497</v>
      </c>
      <c r="V663" s="45">
        <f t="shared" si="323"/>
        <v>1.529406600616982</v>
      </c>
      <c r="W663" s="45">
        <f t="shared" si="324"/>
        <v>1.5180398302022609</v>
      </c>
      <c r="X663" s="45">
        <f t="shared" si="325"/>
        <v>1.1366770414721117E-2</v>
      </c>
      <c r="Y663" s="45">
        <f t="shared" si="299"/>
        <v>3.2828000573947774E-2</v>
      </c>
      <c r="Z663" s="10">
        <f t="shared" si="326"/>
        <v>19.131085778549952</v>
      </c>
      <c r="AA663">
        <f t="shared" si="304"/>
        <v>6192141.5303176101</v>
      </c>
      <c r="AB663" s="10">
        <f t="shared" si="305"/>
        <v>6.1921415303176097</v>
      </c>
      <c r="AC663" s="10">
        <f t="shared" si="306"/>
        <v>6.0911415303176097</v>
      </c>
      <c r="AD663" s="3">
        <f t="shared" si="307"/>
        <v>883.41429011132857</v>
      </c>
      <c r="AI663" s="100">
        <f t="shared" si="308"/>
        <v>1.5180398302022609</v>
      </c>
    </row>
    <row r="664" spans="2:35">
      <c r="B664" s="39">
        <f t="shared" si="309"/>
        <v>636</v>
      </c>
      <c r="C664" s="45">
        <f t="shared" si="310"/>
        <v>18.683453237408916</v>
      </c>
      <c r="D664" s="10">
        <f t="shared" si="311"/>
        <v>5.8165467625913152</v>
      </c>
      <c r="E664" s="40">
        <f t="shared" si="312"/>
        <v>57.36690647481737</v>
      </c>
      <c r="F664" s="40">
        <f t="shared" si="313"/>
        <v>69</v>
      </c>
      <c r="G664" s="3">
        <f t="shared" si="314"/>
        <v>310.53237410073052</v>
      </c>
      <c r="H664" s="3">
        <f t="shared" si="315"/>
        <v>221.47275588995251</v>
      </c>
      <c r="I664">
        <f t="shared" si="300"/>
        <v>2.214727558899525E-4</v>
      </c>
      <c r="J664" s="4">
        <f t="shared" si="316"/>
        <v>3263.299491184659</v>
      </c>
      <c r="K664" s="40">
        <f t="shared" si="317"/>
        <v>14.734541402492676</v>
      </c>
      <c r="L664" s="40">
        <f t="shared" si="301"/>
        <v>0</v>
      </c>
      <c r="M664" s="10">
        <f t="shared" si="318"/>
        <v>6.1921415303176097</v>
      </c>
      <c r="N664" s="10">
        <f t="shared" si="297"/>
        <v>17.20418640980624</v>
      </c>
      <c r="O664" s="10">
        <f t="shared" si="298"/>
        <v>-0.14810000000000001</v>
      </c>
      <c r="P664" s="10">
        <f t="shared" si="319"/>
        <v>13.132956509585723</v>
      </c>
      <c r="Q664" s="45">
        <f t="shared" si="320"/>
        <v>1.4844931380999129</v>
      </c>
      <c r="R664" s="4">
        <f t="shared" si="321"/>
        <v>358529.86575538939</v>
      </c>
      <c r="S664">
        <f t="shared" si="302"/>
        <v>3.5852986575538937E-4</v>
      </c>
      <c r="T664" s="44">
        <f t="shared" si="303"/>
        <v>1.7178665287266143E-3</v>
      </c>
      <c r="U664" s="45">
        <f t="shared" si="322"/>
        <v>0.63999373686665784</v>
      </c>
      <c r="V664" s="45">
        <f t="shared" si="323"/>
        <v>1.52884386322731</v>
      </c>
      <c r="W664" s="45">
        <f t="shared" si="324"/>
        <v>1.5175196833965094</v>
      </c>
      <c r="X664" s="45">
        <f t="shared" si="325"/>
        <v>1.1324179830800585E-2</v>
      </c>
      <c r="Y664" s="45">
        <f t="shared" si="299"/>
        <v>3.2853331104432552E-2</v>
      </c>
      <c r="Z664" s="10">
        <f t="shared" si="326"/>
        <v>19.12449573645597</v>
      </c>
      <c r="AA664">
        <f t="shared" si="304"/>
        <v>6190043.3284931118</v>
      </c>
      <c r="AB664" s="10">
        <f t="shared" si="305"/>
        <v>6.190043328493112</v>
      </c>
      <c r="AC664" s="10">
        <f t="shared" si="306"/>
        <v>6.089043328493112</v>
      </c>
      <c r="AD664" s="3">
        <f t="shared" si="307"/>
        <v>883.1099823775362</v>
      </c>
      <c r="AI664" s="100">
        <f t="shared" si="308"/>
        <v>1.5175196833965094</v>
      </c>
    </row>
    <row r="665" spans="2:35">
      <c r="B665" s="39">
        <f t="shared" si="309"/>
        <v>637</v>
      </c>
      <c r="C665" s="45">
        <f t="shared" si="310"/>
        <v>18.712829736209873</v>
      </c>
      <c r="D665" s="10">
        <f t="shared" si="311"/>
        <v>5.7871702637903581</v>
      </c>
      <c r="E665" s="40">
        <f t="shared" si="312"/>
        <v>57.425659472419284</v>
      </c>
      <c r="F665" s="40">
        <f t="shared" si="313"/>
        <v>69</v>
      </c>
      <c r="G665" s="3">
        <f t="shared" si="314"/>
        <v>310.29736211032287</v>
      </c>
      <c r="H665" s="3">
        <f t="shared" si="315"/>
        <v>221.47275588995251</v>
      </c>
      <c r="I665">
        <f t="shared" si="300"/>
        <v>2.214727558899525E-4</v>
      </c>
      <c r="J665" s="4">
        <f t="shared" si="316"/>
        <v>3268.5965363319792</v>
      </c>
      <c r="K665" s="40">
        <f t="shared" si="317"/>
        <v>14.758458769331027</v>
      </c>
      <c r="L665" s="40">
        <f t="shared" si="301"/>
        <v>0</v>
      </c>
      <c r="M665" s="10">
        <f t="shared" si="318"/>
        <v>6.190043328493112</v>
      </c>
      <c r="N665" s="10">
        <f t="shared" si="297"/>
        <v>17.20418640980624</v>
      </c>
      <c r="O665" s="10">
        <f t="shared" si="298"/>
        <v>-0.14810000000000001</v>
      </c>
      <c r="P665" s="10">
        <f t="shared" si="319"/>
        <v>13.133615696291933</v>
      </c>
      <c r="Q665" s="45">
        <f t="shared" si="320"/>
        <v>1.4867298792594135</v>
      </c>
      <c r="R665" s="4">
        <f t="shared" si="321"/>
        <v>356614.86995867686</v>
      </c>
      <c r="S665">
        <f t="shared" si="302"/>
        <v>3.5661486995867687E-4</v>
      </c>
      <c r="T665" s="44">
        <f t="shared" si="303"/>
        <v>1.719781524523327E-3</v>
      </c>
      <c r="U665" s="45">
        <f t="shared" si="322"/>
        <v>0.63657537361973615</v>
      </c>
      <c r="V665" s="45">
        <f t="shared" si="323"/>
        <v>1.5282784207739797</v>
      </c>
      <c r="W665" s="45">
        <f t="shared" si="324"/>
        <v>1.5169969468039401</v>
      </c>
      <c r="X665" s="45">
        <f t="shared" si="325"/>
        <v>1.1281473970039535E-2</v>
      </c>
      <c r="Y665" s="45">
        <f t="shared" si="299"/>
        <v>3.2878564841601177E-2</v>
      </c>
      <c r="Z665" s="10">
        <f t="shared" si="326"/>
        <v>19.117873039550272</v>
      </c>
      <c r="AA665">
        <f t="shared" si="304"/>
        <v>6187934.7297114246</v>
      </c>
      <c r="AB665" s="10">
        <f t="shared" si="305"/>
        <v>6.1879347297114249</v>
      </c>
      <c r="AC665" s="10">
        <f t="shared" si="306"/>
        <v>6.0869347297114249</v>
      </c>
      <c r="AD665" s="3">
        <f t="shared" si="307"/>
        <v>882.80416674567437</v>
      </c>
      <c r="AI665" s="100">
        <f t="shared" si="308"/>
        <v>1.5169969468039401</v>
      </c>
    </row>
    <row r="666" spans="2:35">
      <c r="B666" s="39">
        <f t="shared" si="309"/>
        <v>638</v>
      </c>
      <c r="C666" s="45">
        <f t="shared" si="310"/>
        <v>18.74220623501083</v>
      </c>
      <c r="D666" s="10">
        <f t="shared" si="311"/>
        <v>5.7577937649894011</v>
      </c>
      <c r="E666" s="40">
        <f t="shared" si="312"/>
        <v>57.484412470021198</v>
      </c>
      <c r="F666" s="40">
        <f t="shared" si="313"/>
        <v>69</v>
      </c>
      <c r="G666" s="3">
        <f t="shared" si="314"/>
        <v>310.06235011991521</v>
      </c>
      <c r="H666" s="3">
        <f t="shared" si="315"/>
        <v>221.47275588995251</v>
      </c>
      <c r="I666">
        <f t="shared" si="300"/>
        <v>2.214727558899525E-4</v>
      </c>
      <c r="J666" s="4">
        <f t="shared" si="316"/>
        <v>3273.8990037342733</v>
      </c>
      <c r="K666" s="40">
        <f t="shared" si="317"/>
        <v>14.782400618887134</v>
      </c>
      <c r="L666" s="40">
        <f t="shared" si="301"/>
        <v>0</v>
      </c>
      <c r="M666" s="10">
        <f t="shared" si="318"/>
        <v>6.1879347297114249</v>
      </c>
      <c r="N666" s="10">
        <f t="shared" si="297"/>
        <v>17.20418640980624</v>
      </c>
      <c r="O666" s="10">
        <f t="shared" si="298"/>
        <v>-0.14810000000000001</v>
      </c>
      <c r="P666" s="10">
        <f t="shared" si="319"/>
        <v>13.134278407876234</v>
      </c>
      <c r="Q666" s="45">
        <f t="shared" si="320"/>
        <v>1.4889665075604659</v>
      </c>
      <c r="R666" s="4">
        <f t="shared" si="321"/>
        <v>354700.68266309093</v>
      </c>
      <c r="S666">
        <f t="shared" si="302"/>
        <v>3.5470068266309093E-4</v>
      </c>
      <c r="T666" s="44">
        <f t="shared" si="303"/>
        <v>1.7216957118189129E-3</v>
      </c>
      <c r="U666" s="45">
        <f t="shared" si="322"/>
        <v>0.63315845358775047</v>
      </c>
      <c r="V666" s="45">
        <f t="shared" si="323"/>
        <v>1.5277102728146128</v>
      </c>
      <c r="W666" s="45">
        <f t="shared" si="324"/>
        <v>1.5164716199600849</v>
      </c>
      <c r="X666" s="45">
        <f t="shared" si="325"/>
        <v>1.1238652854527853E-2</v>
      </c>
      <c r="Y666" s="45">
        <f t="shared" si="299"/>
        <v>3.2903701530641316E-2</v>
      </c>
      <c r="Z666" s="10">
        <f t="shared" si="326"/>
        <v>19.111217681944318</v>
      </c>
      <c r="AA666">
        <f t="shared" si="304"/>
        <v>6185815.7320976984</v>
      </c>
      <c r="AB666" s="10">
        <f t="shared" si="305"/>
        <v>6.1858157320976987</v>
      </c>
      <c r="AC666" s="10">
        <f t="shared" si="306"/>
        <v>6.0848157320976988</v>
      </c>
      <c r="AD666" s="3">
        <f t="shared" si="307"/>
        <v>882.4968429438286</v>
      </c>
      <c r="AI666" s="100">
        <f t="shared" si="308"/>
        <v>1.5164716199600849</v>
      </c>
    </row>
    <row r="667" spans="2:35">
      <c r="B667" s="39">
        <f t="shared" si="309"/>
        <v>639</v>
      </c>
      <c r="C667" s="45">
        <f t="shared" si="310"/>
        <v>18.771582733811787</v>
      </c>
      <c r="D667" s="10">
        <f t="shared" si="311"/>
        <v>5.728417266188444</v>
      </c>
      <c r="E667" s="40">
        <f t="shared" si="312"/>
        <v>57.543165467623112</v>
      </c>
      <c r="F667" s="40">
        <f t="shared" si="313"/>
        <v>69</v>
      </c>
      <c r="G667" s="3">
        <f t="shared" si="314"/>
        <v>309.82733812950755</v>
      </c>
      <c r="H667" s="3">
        <f t="shared" si="315"/>
        <v>221.47275588995251</v>
      </c>
      <c r="I667">
        <f t="shared" si="300"/>
        <v>2.214727558899525E-4</v>
      </c>
      <c r="J667" s="4">
        <f t="shared" si="316"/>
        <v>3279.2068933915416</v>
      </c>
      <c r="K667" s="40">
        <f t="shared" si="317"/>
        <v>14.806366951161005</v>
      </c>
      <c r="L667" s="40">
        <f t="shared" si="301"/>
        <v>0</v>
      </c>
      <c r="M667" s="10">
        <f t="shared" si="318"/>
        <v>6.1858157320976987</v>
      </c>
      <c r="N667" s="10">
        <f t="shared" si="297"/>
        <v>17.20418640980624</v>
      </c>
      <c r="O667" s="10">
        <f t="shared" si="298"/>
        <v>-0.14810000000000001</v>
      </c>
      <c r="P667" s="10">
        <f t="shared" si="319"/>
        <v>13.134944648952471</v>
      </c>
      <c r="Q667" s="45">
        <f t="shared" si="320"/>
        <v>1.4912030224134845</v>
      </c>
      <c r="R667" s="4">
        <f t="shared" si="321"/>
        <v>352787.3076915163</v>
      </c>
      <c r="S667">
        <f t="shared" si="302"/>
        <v>3.5278730769151628E-4</v>
      </c>
      <c r="T667" s="44">
        <f t="shared" si="303"/>
        <v>1.7236090867904876E-3</v>
      </c>
      <c r="U667" s="45">
        <f t="shared" si="322"/>
        <v>0.62974298359474123</v>
      </c>
      <c r="V667" s="45">
        <f t="shared" si="323"/>
        <v>1.5271394189041319</v>
      </c>
      <c r="W667" s="45">
        <f t="shared" si="324"/>
        <v>1.5159437023978521</v>
      </c>
      <c r="X667" s="45">
        <f t="shared" si="325"/>
        <v>1.1195716506279707E-2</v>
      </c>
      <c r="Y667" s="45">
        <f t="shared" si="299"/>
        <v>3.2928740916897799E-2</v>
      </c>
      <c r="Z667" s="10">
        <f t="shared" si="326"/>
        <v>19.104529657716078</v>
      </c>
      <c r="AA667">
        <f t="shared" si="304"/>
        <v>6183686.3337664194</v>
      </c>
      <c r="AB667" s="10">
        <f t="shared" si="305"/>
        <v>6.1836863337664196</v>
      </c>
      <c r="AC667" s="10">
        <f t="shared" si="306"/>
        <v>6.0826863337664197</v>
      </c>
      <c r="AD667" s="3">
        <f t="shared" si="307"/>
        <v>882.18801069853794</v>
      </c>
      <c r="AI667" s="100">
        <f t="shared" si="308"/>
        <v>1.5159437023978521</v>
      </c>
    </row>
    <row r="668" spans="2:35">
      <c r="B668" s="39">
        <f t="shared" si="309"/>
        <v>640</v>
      </c>
      <c r="C668" s="45">
        <f t="shared" si="310"/>
        <v>18.800959232612744</v>
      </c>
      <c r="D668" s="10">
        <f t="shared" si="311"/>
        <v>5.699040767387487</v>
      </c>
      <c r="E668" s="40">
        <f t="shared" si="312"/>
        <v>57.601918465225026</v>
      </c>
      <c r="F668" s="40">
        <f t="shared" si="313"/>
        <v>69</v>
      </c>
      <c r="G668" s="3">
        <f t="shared" si="314"/>
        <v>309.5923261390999</v>
      </c>
      <c r="H668" s="3">
        <f t="shared" si="315"/>
        <v>221.47275588995251</v>
      </c>
      <c r="I668">
        <f t="shared" si="300"/>
        <v>2.214727558899525E-4</v>
      </c>
      <c r="J668" s="4">
        <f t="shared" si="316"/>
        <v>3284.5202053037833</v>
      </c>
      <c r="K668" s="40">
        <f t="shared" si="317"/>
        <v>14.830357766152632</v>
      </c>
      <c r="L668" s="40">
        <f t="shared" si="301"/>
        <v>0</v>
      </c>
      <c r="M668" s="10">
        <f t="shared" si="318"/>
        <v>6.1836863337664196</v>
      </c>
      <c r="N668" s="10">
        <f t="shared" ref="N668:N731" si="327">IF(fueltype=1,VLOOKUP($M668,kndxbn_,4),IF(fueltype=2,VLOOKUP($M668,knsobn_,4),IF(fueltype=3,VLOOKUP($M668,knsbcobn_,4),IF(fueltype=4,VLOOKUP($M668,knsubn_,4),IF(fueltype=5,am_1,IF(fueltype=6,am_0,IF(fueltype=7,am_3,am_4)))))))</f>
        <v>17.20418640980624</v>
      </c>
      <c r="O668" s="10">
        <f t="shared" ref="O668:O731" si="328">IF(fueltype=1,VLOOKUP($M668,kndxbn_,5),IF(fueltype=2,VLOOKUP($M668,knsobn_,5),IF(fueltype=3,VLOOKUP($M668,knsbcobn_,5),IF(fueltype=4,VLOOKUP($M668,knsubn_,5),IF(fueltype=5,nm_1,IF(fueltype=6,an_0,IF(fueltype=7,nm_3,nm_4)))))))</f>
        <v>-0.14810000000000001</v>
      </c>
      <c r="P668" s="10">
        <f t="shared" si="319"/>
        <v>13.135614424163542</v>
      </c>
      <c r="Q668" s="45">
        <f t="shared" si="320"/>
        <v>1.4934394232282737</v>
      </c>
      <c r="R668" s="4">
        <f t="shared" si="321"/>
        <v>350874.74886683782</v>
      </c>
      <c r="S668">
        <f t="shared" si="302"/>
        <v>3.5087474886683783E-4</v>
      </c>
      <c r="T668" s="44">
        <f t="shared" si="303"/>
        <v>1.725521645615166E-3</v>
      </c>
      <c r="U668" s="45">
        <f t="shared" si="322"/>
        <v>0.62632897046474889</v>
      </c>
      <c r="V668" s="45">
        <f t="shared" si="323"/>
        <v>1.5265658585954536</v>
      </c>
      <c r="W668" s="45">
        <f t="shared" si="324"/>
        <v>1.5154131936474935</v>
      </c>
      <c r="X668" s="45">
        <f t="shared" si="325"/>
        <v>1.1152664947960078E-2</v>
      </c>
      <c r="Y668" s="45">
        <f t="shared" si="299"/>
        <v>3.2953682745874485E-2</v>
      </c>
      <c r="Z668" s="10">
        <f t="shared" si="326"/>
        <v>19.09780896091058</v>
      </c>
      <c r="AA668">
        <f t="shared" si="304"/>
        <v>6181546.5328215854</v>
      </c>
      <c r="AB668" s="10">
        <f t="shared" si="305"/>
        <v>6.1815465328215851</v>
      </c>
      <c r="AC668" s="10">
        <f t="shared" si="306"/>
        <v>6.0805465328215851</v>
      </c>
      <c r="AD668" s="3">
        <f t="shared" si="307"/>
        <v>881.87766973482019</v>
      </c>
      <c r="AI668" s="100">
        <f t="shared" si="308"/>
        <v>1.5154131936474935</v>
      </c>
    </row>
    <row r="669" spans="2:35">
      <c r="B669" s="39">
        <f t="shared" si="309"/>
        <v>641</v>
      </c>
      <c r="C669" s="45">
        <f t="shared" si="310"/>
        <v>18.830335731413701</v>
      </c>
      <c r="D669" s="10">
        <f t="shared" si="311"/>
        <v>5.6696642685865299</v>
      </c>
      <c r="E669" s="40">
        <f t="shared" si="312"/>
        <v>57.66067146282694</v>
      </c>
      <c r="F669" s="40">
        <f t="shared" si="313"/>
        <v>69</v>
      </c>
      <c r="G669" s="3">
        <f t="shared" si="314"/>
        <v>309.35731414869224</v>
      </c>
      <c r="H669" s="3">
        <f t="shared" si="315"/>
        <v>221.47275588995251</v>
      </c>
      <c r="I669">
        <f t="shared" si="300"/>
        <v>2.214727558899525E-4</v>
      </c>
      <c r="J669" s="4">
        <f t="shared" si="316"/>
        <v>3289.8389394709993</v>
      </c>
      <c r="K669" s="40">
        <f t="shared" si="317"/>
        <v>14.85437306386202</v>
      </c>
      <c r="L669" s="40">
        <f t="shared" si="301"/>
        <v>0</v>
      </c>
      <c r="M669" s="10">
        <f t="shared" si="318"/>
        <v>6.1815465328215851</v>
      </c>
      <c r="N669" s="10">
        <f t="shared" si="327"/>
        <v>17.20418640980624</v>
      </c>
      <c r="O669" s="10">
        <f t="shared" si="328"/>
        <v>-0.14810000000000001</v>
      </c>
      <c r="P669" s="10">
        <f t="shared" si="319"/>
        <v>13.136287738181442</v>
      </c>
      <c r="Q669" s="45">
        <f t="shared" si="320"/>
        <v>1.4956757094140256</v>
      </c>
      <c r="R669" s="4">
        <f t="shared" si="321"/>
        <v>348963.01001194032</v>
      </c>
      <c r="S669">
        <f t="shared" si="302"/>
        <v>3.4896301001194032E-4</v>
      </c>
      <c r="T669" s="44">
        <f t="shared" si="303"/>
        <v>1.7274333844700634E-3</v>
      </c>
      <c r="U669" s="45">
        <f t="shared" si="322"/>
        <v>0.6229164210218141</v>
      </c>
      <c r="V669" s="45">
        <f t="shared" si="323"/>
        <v>1.5259895914383652</v>
      </c>
      <c r="W669" s="45">
        <f t="shared" si="324"/>
        <v>1.5148800932366471</v>
      </c>
      <c r="X669" s="45">
        <f t="shared" si="325"/>
        <v>1.1109498201718138E-2</v>
      </c>
      <c r="Y669" s="45">
        <f t="shared" si="299"/>
        <v>3.2978526763233623E-2</v>
      </c>
      <c r="Z669" s="10">
        <f t="shared" si="326"/>
        <v>19.091055585538932</v>
      </c>
      <c r="AA669">
        <f t="shared" si="304"/>
        <v>6179396.3273563944</v>
      </c>
      <c r="AB669" s="10">
        <f t="shared" si="305"/>
        <v>6.1793963273563941</v>
      </c>
      <c r="AC669" s="10">
        <f t="shared" si="306"/>
        <v>6.0783963273563941</v>
      </c>
      <c r="AD669" s="3">
        <f t="shared" si="307"/>
        <v>881.56581977612677</v>
      </c>
      <c r="AI669" s="100">
        <f t="shared" si="308"/>
        <v>1.5148800932366471</v>
      </c>
    </row>
    <row r="670" spans="2:35">
      <c r="B670" s="39">
        <f t="shared" si="309"/>
        <v>642</v>
      </c>
      <c r="C670" s="45">
        <f t="shared" si="310"/>
        <v>18.859712230214658</v>
      </c>
      <c r="D670" s="10">
        <f t="shared" si="311"/>
        <v>5.6402877697855729</v>
      </c>
      <c r="E670" s="40">
        <f t="shared" si="312"/>
        <v>57.719424460428854</v>
      </c>
      <c r="F670" s="40">
        <f t="shared" si="313"/>
        <v>69</v>
      </c>
      <c r="G670" s="3">
        <f t="shared" si="314"/>
        <v>309.12230215828458</v>
      </c>
      <c r="H670" s="3">
        <f t="shared" si="315"/>
        <v>221.47275588995251</v>
      </c>
      <c r="I670">
        <f t="shared" si="300"/>
        <v>2.214727558899525E-4</v>
      </c>
      <c r="J670" s="4">
        <f t="shared" si="316"/>
        <v>3295.1630958931887</v>
      </c>
      <c r="K670" s="40">
        <f t="shared" si="317"/>
        <v>14.878412844289167</v>
      </c>
      <c r="L670" s="40">
        <f t="shared" si="301"/>
        <v>0</v>
      </c>
      <c r="M670" s="10">
        <f t="shared" si="318"/>
        <v>6.1793963273563941</v>
      </c>
      <c r="N670" s="10">
        <f t="shared" si="327"/>
        <v>17.20418640980624</v>
      </c>
      <c r="O670" s="10">
        <f t="shared" si="328"/>
        <v>-0.14810000000000001</v>
      </c>
      <c r="P670" s="10">
        <f t="shared" si="319"/>
        <v>13.136964595707461</v>
      </c>
      <c r="Q670" s="45">
        <f t="shared" si="320"/>
        <v>1.4979118803793152</v>
      </c>
      <c r="R670" s="4">
        <f t="shared" si="321"/>
        <v>347052.09494970855</v>
      </c>
      <c r="S670">
        <f t="shared" si="302"/>
        <v>3.4705209494970856E-4</v>
      </c>
      <c r="T670" s="44">
        <f t="shared" si="303"/>
        <v>1.7293442995322953E-3</v>
      </c>
      <c r="U670" s="45">
        <f t="shared" si="322"/>
        <v>0.61950534208997721</v>
      </c>
      <c r="V670" s="45">
        <f t="shared" si="323"/>
        <v>1.5254106169807666</v>
      </c>
      <c r="W670" s="45">
        <f t="shared" si="324"/>
        <v>1.5143444006902609</v>
      </c>
      <c r="X670" s="45">
        <f t="shared" si="325"/>
        <v>1.1066216290505748E-2</v>
      </c>
      <c r="Y670" s="45">
        <f t="shared" ref="Y670:Y733" si="329">IF((X670*(Q670-Q669)+Y669)&lt;0,0,X670*(Q670-Q669)+Y669)</f>
        <v>3.3003272714798068E-2</v>
      </c>
      <c r="Z670" s="10">
        <f t="shared" si="326"/>
        <v>19.084269525579071</v>
      </c>
      <c r="AA670">
        <f t="shared" si="304"/>
        <v>6177235.7154534841</v>
      </c>
      <c r="AB670" s="10">
        <f t="shared" si="305"/>
        <v>6.1772357154534845</v>
      </c>
      <c r="AC670" s="10">
        <f t="shared" si="306"/>
        <v>6.0762357154534845</v>
      </c>
      <c r="AD670" s="3">
        <f t="shared" si="307"/>
        <v>881.25246054437764</v>
      </c>
      <c r="AI670" s="100">
        <f t="shared" si="308"/>
        <v>1.5143444006902609</v>
      </c>
    </row>
    <row r="671" spans="2:35">
      <c r="B671" s="39">
        <f t="shared" si="309"/>
        <v>643</v>
      </c>
      <c r="C671" s="45">
        <f t="shared" si="310"/>
        <v>18.889088729015615</v>
      </c>
      <c r="D671" s="10">
        <f t="shared" si="311"/>
        <v>5.6109112709846158</v>
      </c>
      <c r="E671" s="40">
        <f t="shared" si="312"/>
        <v>57.778177458030768</v>
      </c>
      <c r="F671" s="40">
        <f t="shared" si="313"/>
        <v>69</v>
      </c>
      <c r="G671" s="3">
        <f t="shared" si="314"/>
        <v>308.88729016787693</v>
      </c>
      <c r="H671" s="3">
        <f t="shared" si="315"/>
        <v>221.47275588995251</v>
      </c>
      <c r="I671">
        <f t="shared" si="300"/>
        <v>2.214727558899525E-4</v>
      </c>
      <c r="J671" s="4">
        <f t="shared" si="316"/>
        <v>3300.4926745703524</v>
      </c>
      <c r="K671" s="40">
        <f t="shared" si="317"/>
        <v>14.902477107434075</v>
      </c>
      <c r="L671" s="40">
        <f t="shared" si="301"/>
        <v>0</v>
      </c>
      <c r="M671" s="10">
        <f t="shared" si="318"/>
        <v>6.1772357154534845</v>
      </c>
      <c r="N671" s="10">
        <f t="shared" si="327"/>
        <v>17.20418640980624</v>
      </c>
      <c r="O671" s="10">
        <f t="shared" si="328"/>
        <v>-0.14810000000000001</v>
      </c>
      <c r="P671" s="10">
        <f t="shared" si="319"/>
        <v>13.137645001472206</v>
      </c>
      <c r="Q671" s="45">
        <f t="shared" si="320"/>
        <v>1.5001479355320968</v>
      </c>
      <c r="R671" s="4">
        <f t="shared" si="321"/>
        <v>345142.00750302733</v>
      </c>
      <c r="S671">
        <f t="shared" si="302"/>
        <v>3.4514200750302733E-4</v>
      </c>
      <c r="T671" s="44">
        <f t="shared" si="303"/>
        <v>1.7312543869789764E-3</v>
      </c>
      <c r="U671" s="45">
        <f t="shared" si="322"/>
        <v>0.61609574049327898</v>
      </c>
      <c r="V671" s="45">
        <f t="shared" si="323"/>
        <v>1.5248289347679091</v>
      </c>
      <c r="W671" s="45">
        <f t="shared" si="324"/>
        <v>1.5138061155306521</v>
      </c>
      <c r="X671" s="45">
        <f t="shared" si="325"/>
        <v>1.1022819237257009E-2</v>
      </c>
      <c r="Y671" s="45">
        <f t="shared" si="329"/>
        <v>3.3027920346551713E-2</v>
      </c>
      <c r="Z671" s="10">
        <f t="shared" si="326"/>
        <v>19.077450774975446</v>
      </c>
      <c r="AA671">
        <f t="shared" si="304"/>
        <v>6175064.6951848287</v>
      </c>
      <c r="AB671" s="10">
        <f t="shared" si="305"/>
        <v>6.1750646951848287</v>
      </c>
      <c r="AC671" s="10">
        <f t="shared" si="306"/>
        <v>6.0740646951848287</v>
      </c>
      <c r="AD671" s="3">
        <f t="shared" si="307"/>
        <v>880.93759175994614</v>
      </c>
      <c r="AI671" s="100">
        <f t="shared" si="308"/>
        <v>1.5138061155306521</v>
      </c>
    </row>
    <row r="672" spans="2:35">
      <c r="B672" s="39">
        <f t="shared" si="309"/>
        <v>644</v>
      </c>
      <c r="C672" s="45">
        <f t="shared" si="310"/>
        <v>18.918465227816572</v>
      </c>
      <c r="D672" s="10">
        <f t="shared" si="311"/>
        <v>5.5815347721836588</v>
      </c>
      <c r="E672" s="40">
        <f t="shared" si="312"/>
        <v>57.836930455632682</v>
      </c>
      <c r="F672" s="40">
        <f t="shared" si="313"/>
        <v>69</v>
      </c>
      <c r="G672" s="3">
        <f t="shared" si="314"/>
        <v>308.65227817746927</v>
      </c>
      <c r="H672" s="3">
        <f t="shared" si="315"/>
        <v>221.47275588995251</v>
      </c>
      <c r="I672">
        <f t="shared" si="300"/>
        <v>2.214727558899525E-4</v>
      </c>
      <c r="J672" s="4">
        <f t="shared" si="316"/>
        <v>3305.8276755024899</v>
      </c>
      <c r="K672" s="40">
        <f t="shared" si="317"/>
        <v>14.926565853296742</v>
      </c>
      <c r="L672" s="40">
        <f t="shared" si="301"/>
        <v>0</v>
      </c>
      <c r="M672" s="10">
        <f t="shared" si="318"/>
        <v>6.1750646951848287</v>
      </c>
      <c r="N672" s="10">
        <f t="shared" si="327"/>
        <v>17.20418640980624</v>
      </c>
      <c r="O672" s="10">
        <f t="shared" si="328"/>
        <v>-0.14810000000000001</v>
      </c>
      <c r="P672" s="10">
        <f t="shared" si="319"/>
        <v>13.138328960235736</v>
      </c>
      <c r="Q672" s="45">
        <f t="shared" si="320"/>
        <v>1.5023838742797007</v>
      </c>
      <c r="R672" s="4">
        <f t="shared" si="321"/>
        <v>343232.75149478146</v>
      </c>
      <c r="S672">
        <f t="shared" si="302"/>
        <v>3.4323275149478145E-4</v>
      </c>
      <c r="T672" s="44">
        <f t="shared" si="303"/>
        <v>1.7331636429872223E-3</v>
      </c>
      <c r="U672" s="45">
        <f t="shared" si="322"/>
        <v>0.61268762305575974</v>
      </c>
      <c r="V672" s="45">
        <f t="shared" si="323"/>
        <v>1.5242445443425201</v>
      </c>
      <c r="W672" s="45">
        <f t="shared" si="324"/>
        <v>1.5132652372774811</v>
      </c>
      <c r="X672" s="45">
        <f t="shared" si="325"/>
        <v>1.0979307065039023E-2</v>
      </c>
      <c r="Y672" s="45">
        <f t="shared" si="329"/>
        <v>3.3052469404640274E-2</v>
      </c>
      <c r="Z672" s="10">
        <f t="shared" si="326"/>
        <v>19.070599327638881</v>
      </c>
      <c r="AA672">
        <f t="shared" si="304"/>
        <v>6172883.2646116968</v>
      </c>
      <c r="AB672" s="10">
        <f t="shared" si="305"/>
        <v>6.1728832646116967</v>
      </c>
      <c r="AC672" s="10">
        <f t="shared" si="306"/>
        <v>6.0718832646116967</v>
      </c>
      <c r="AD672" s="3">
        <f t="shared" si="307"/>
        <v>880.6212131416529</v>
      </c>
      <c r="AI672" s="100">
        <f t="shared" si="308"/>
        <v>1.5132652372774811</v>
      </c>
    </row>
    <row r="673" spans="2:35">
      <c r="B673" s="39">
        <f t="shared" si="309"/>
        <v>645</v>
      </c>
      <c r="C673" s="45">
        <f t="shared" si="310"/>
        <v>18.947841726617529</v>
      </c>
      <c r="D673" s="10">
        <f t="shared" si="311"/>
        <v>5.5521582733827017</v>
      </c>
      <c r="E673" s="40">
        <f t="shared" si="312"/>
        <v>57.895683453234597</v>
      </c>
      <c r="F673" s="40">
        <f t="shared" si="313"/>
        <v>69</v>
      </c>
      <c r="G673" s="3">
        <f t="shared" si="314"/>
        <v>308.41726618706161</v>
      </c>
      <c r="H673" s="3">
        <f t="shared" si="315"/>
        <v>221.47275588995251</v>
      </c>
      <c r="I673">
        <f t="shared" si="300"/>
        <v>2.214727558899525E-4</v>
      </c>
      <c r="J673" s="4">
        <f t="shared" si="316"/>
        <v>3311.1680986896017</v>
      </c>
      <c r="K673" s="40">
        <f t="shared" si="317"/>
        <v>14.950679081877169</v>
      </c>
      <c r="L673" s="40">
        <f t="shared" si="301"/>
        <v>0</v>
      </c>
      <c r="M673" s="10">
        <f t="shared" si="318"/>
        <v>6.1728832646116967</v>
      </c>
      <c r="N673" s="10">
        <f t="shared" si="327"/>
        <v>17.20418640980624</v>
      </c>
      <c r="O673" s="10">
        <f t="shared" si="328"/>
        <v>-0.14810000000000001</v>
      </c>
      <c r="P673" s="10">
        <f t="shared" si="319"/>
        <v>13.139016476787686</v>
      </c>
      <c r="Q673" s="45">
        <f t="shared" si="320"/>
        <v>1.5046196960288289</v>
      </c>
      <c r="R673" s="4">
        <f t="shared" si="321"/>
        <v>341324.33074785565</v>
      </c>
      <c r="S673">
        <f t="shared" si="302"/>
        <v>3.4132433074785564E-4</v>
      </c>
      <c r="T673" s="44">
        <f t="shared" si="303"/>
        <v>1.7350720637341482E-3</v>
      </c>
      <c r="U673" s="45">
        <f t="shared" si="322"/>
        <v>0.60928099660145973</v>
      </c>
      <c r="V673" s="45">
        <f t="shared" si="323"/>
        <v>1.5236574452449994</v>
      </c>
      <c r="W673" s="45">
        <f t="shared" si="324"/>
        <v>1.5127217654477401</v>
      </c>
      <c r="X673" s="45">
        <f t="shared" si="325"/>
        <v>1.093567979725929E-2</v>
      </c>
      <c r="Y673" s="45">
        <f t="shared" si="329"/>
        <v>3.3076919635372487E-2</v>
      </c>
      <c r="Z673" s="10">
        <f t="shared" si="326"/>
        <v>19.063715177446721</v>
      </c>
      <c r="AA673">
        <f t="shared" si="304"/>
        <v>6170691.421784698</v>
      </c>
      <c r="AB673" s="10">
        <f t="shared" si="305"/>
        <v>6.1706914217846984</v>
      </c>
      <c r="AC673" s="10">
        <f t="shared" si="306"/>
        <v>6.0696914217846984</v>
      </c>
      <c r="AD673" s="3">
        <f t="shared" si="307"/>
        <v>880.30332440677273</v>
      </c>
      <c r="AI673" s="100">
        <f t="shared" si="308"/>
        <v>1.5127217654477401</v>
      </c>
    </row>
    <row r="674" spans="2:35">
      <c r="B674" s="39">
        <f t="shared" si="309"/>
        <v>646</v>
      </c>
      <c r="C674" s="45">
        <f t="shared" si="310"/>
        <v>18.977218225418486</v>
      </c>
      <c r="D674" s="10">
        <f t="shared" si="311"/>
        <v>5.5227817745817447</v>
      </c>
      <c r="E674" s="40">
        <f t="shared" si="312"/>
        <v>57.954436450836511</v>
      </c>
      <c r="F674" s="40">
        <f t="shared" si="313"/>
        <v>69</v>
      </c>
      <c r="G674" s="3">
        <f t="shared" si="314"/>
        <v>308.18225419665396</v>
      </c>
      <c r="H674" s="3">
        <f t="shared" si="315"/>
        <v>221.47275588995251</v>
      </c>
      <c r="I674">
        <f t="shared" si="300"/>
        <v>2.214727558899525E-4</v>
      </c>
      <c r="J674" s="4">
        <f t="shared" si="316"/>
        <v>3316.5139441316869</v>
      </c>
      <c r="K674" s="40">
        <f t="shared" si="317"/>
        <v>14.974816793175355</v>
      </c>
      <c r="L674" s="40">
        <f t="shared" si="301"/>
        <v>0</v>
      </c>
      <c r="M674" s="10">
        <f t="shared" si="318"/>
        <v>6.1706914217846984</v>
      </c>
      <c r="N674" s="10">
        <f t="shared" si="327"/>
        <v>17.20418640980624</v>
      </c>
      <c r="O674" s="10">
        <f t="shared" si="328"/>
        <v>-0.14810000000000001</v>
      </c>
      <c r="P674" s="10">
        <f t="shared" si="319"/>
        <v>13.139707555947348</v>
      </c>
      <c r="Q674" s="45">
        <f t="shared" si="320"/>
        <v>1.5068554001855521</v>
      </c>
      <c r="R674" s="4">
        <f t="shared" si="321"/>
        <v>339416.74908513488</v>
      </c>
      <c r="S674">
        <f t="shared" si="302"/>
        <v>3.394167490851349E-4</v>
      </c>
      <c r="T674" s="44">
        <f t="shared" si="303"/>
        <v>1.7369796453968688E-3</v>
      </c>
      <c r="U674" s="45">
        <f t="shared" si="322"/>
        <v>0.60587586795442006</v>
      </c>
      <c r="V674" s="45">
        <f t="shared" si="323"/>
        <v>1.5230676370126535</v>
      </c>
      <c r="W674" s="45">
        <f t="shared" si="324"/>
        <v>1.512175699555768</v>
      </c>
      <c r="X674" s="45">
        <f t="shared" si="325"/>
        <v>1.0891937456885437E-2</v>
      </c>
      <c r="Y674" s="45">
        <f t="shared" si="329"/>
        <v>3.3101270785219614E-2</v>
      </c>
      <c r="Z674" s="10">
        <f t="shared" si="326"/>
        <v>19.056798318241988</v>
      </c>
      <c r="AA674">
        <f t="shared" si="304"/>
        <v>6168489.1647435138</v>
      </c>
      <c r="AB674" s="10">
        <f t="shared" si="305"/>
        <v>6.1684891647435141</v>
      </c>
      <c r="AC674" s="10">
        <f t="shared" si="306"/>
        <v>6.0674891647435141</v>
      </c>
      <c r="AD674" s="3">
        <f t="shared" si="307"/>
        <v>879.98392527099543</v>
      </c>
      <c r="AI674" s="100">
        <f t="shared" si="308"/>
        <v>1.512175699555768</v>
      </c>
    </row>
    <row r="675" spans="2:35">
      <c r="B675" s="39">
        <f t="shared" si="309"/>
        <v>647</v>
      </c>
      <c r="C675" s="45">
        <f t="shared" si="310"/>
        <v>19.006594724219443</v>
      </c>
      <c r="D675" s="10">
        <f t="shared" si="311"/>
        <v>5.4934052757807876</v>
      </c>
      <c r="E675" s="40">
        <f t="shared" si="312"/>
        <v>58.013189448438425</v>
      </c>
      <c r="F675" s="40">
        <f t="shared" si="313"/>
        <v>69</v>
      </c>
      <c r="G675" s="3">
        <f t="shared" si="314"/>
        <v>307.9472422062463</v>
      </c>
      <c r="H675" s="3">
        <f t="shared" si="315"/>
        <v>221.47275588995251</v>
      </c>
      <c r="I675">
        <f t="shared" si="300"/>
        <v>2.214727558899525E-4</v>
      </c>
      <c r="J675" s="4">
        <f t="shared" si="316"/>
        <v>3321.8652118287464</v>
      </c>
      <c r="K675" s="40">
        <f t="shared" si="317"/>
        <v>14.998978987191302</v>
      </c>
      <c r="L675" s="40">
        <f t="shared" si="301"/>
        <v>0</v>
      </c>
      <c r="M675" s="10">
        <f t="shared" si="318"/>
        <v>6.1684891647435141</v>
      </c>
      <c r="N675" s="10">
        <f t="shared" si="327"/>
        <v>17.20418640980624</v>
      </c>
      <c r="O675" s="10">
        <f t="shared" si="328"/>
        <v>-0.14810000000000001</v>
      </c>
      <c r="P675" s="10">
        <f t="shared" si="319"/>
        <v>13.140402202563862</v>
      </c>
      <c r="Q675" s="45">
        <f t="shared" si="320"/>
        <v>1.5090909861553046</v>
      </c>
      <c r="R675" s="4">
        <f t="shared" si="321"/>
        <v>337510.01032950397</v>
      </c>
      <c r="S675">
        <f t="shared" si="302"/>
        <v>3.3751001032950397E-4</v>
      </c>
      <c r="T675" s="44">
        <f t="shared" si="303"/>
        <v>1.7388863841524998E-3</v>
      </c>
      <c r="U675" s="45">
        <f t="shared" si="322"/>
        <v>0.60247224393868104</v>
      </c>
      <c r="V675" s="45">
        <f t="shared" si="323"/>
        <v>1.5224751191813262</v>
      </c>
      <c r="W675" s="45">
        <f t="shared" si="324"/>
        <v>1.511627039113179</v>
      </c>
      <c r="X675" s="45">
        <f t="shared" si="325"/>
        <v>1.0848080068147192E-2</v>
      </c>
      <c r="Y675" s="45">
        <f t="shared" si="329"/>
        <v>3.3125522600818712E-2</v>
      </c>
      <c r="Z675" s="10">
        <f t="shared" si="326"/>
        <v>19.049848743834673</v>
      </c>
      <c r="AA675">
        <f t="shared" si="304"/>
        <v>6166276.4915173091</v>
      </c>
      <c r="AB675" s="10">
        <f t="shared" si="305"/>
        <v>6.1662764915173094</v>
      </c>
      <c r="AC675" s="10">
        <f t="shared" si="306"/>
        <v>6.0652764915173094</v>
      </c>
      <c r="AD675" s="3">
        <f t="shared" si="307"/>
        <v>879.66301544848568</v>
      </c>
      <c r="AI675" s="100">
        <f t="shared" si="308"/>
        <v>1.511627039113179</v>
      </c>
    </row>
    <row r="676" spans="2:35">
      <c r="B676" s="39">
        <f t="shared" si="309"/>
        <v>648</v>
      </c>
      <c r="C676" s="45">
        <f t="shared" si="310"/>
        <v>19.0359712230204</v>
      </c>
      <c r="D676" s="10">
        <f t="shared" si="311"/>
        <v>5.4640287769798306</v>
      </c>
      <c r="E676" s="40">
        <f t="shared" si="312"/>
        <v>58.071942446040339</v>
      </c>
      <c r="F676" s="40">
        <f t="shared" si="313"/>
        <v>69</v>
      </c>
      <c r="G676" s="3">
        <f t="shared" si="314"/>
        <v>307.71223021583864</v>
      </c>
      <c r="H676" s="3">
        <f t="shared" si="315"/>
        <v>221.47275588995251</v>
      </c>
      <c r="I676">
        <f t="shared" si="300"/>
        <v>2.214727558899525E-4</v>
      </c>
      <c r="J676" s="4">
        <f t="shared" si="316"/>
        <v>3327.2219017807797</v>
      </c>
      <c r="K676" s="40">
        <f t="shared" si="317"/>
        <v>15.023165663925008</v>
      </c>
      <c r="L676" s="40">
        <f t="shared" si="301"/>
        <v>0</v>
      </c>
      <c r="M676" s="10">
        <f t="shared" si="318"/>
        <v>6.1662764915173094</v>
      </c>
      <c r="N676" s="10">
        <f t="shared" si="327"/>
        <v>17.20418640980624</v>
      </c>
      <c r="O676" s="10">
        <f t="shared" si="328"/>
        <v>-0.14810000000000001</v>
      </c>
      <c r="P676" s="10">
        <f t="shared" si="319"/>
        <v>13.141100421516196</v>
      </c>
      <c r="Q676" s="45">
        <f t="shared" si="320"/>
        <v>1.5113264533428818</v>
      </c>
      <c r="R676" s="4">
        <f t="shared" si="321"/>
        <v>335604.11830384744</v>
      </c>
      <c r="S676">
        <f t="shared" si="302"/>
        <v>3.3560411830384744E-4</v>
      </c>
      <c r="T676" s="44">
        <f t="shared" si="303"/>
        <v>1.7407922761781564E-3</v>
      </c>
      <c r="U676" s="45">
        <f t="shared" si="322"/>
        <v>0.59907013137828291</v>
      </c>
      <c r="V676" s="45">
        <f t="shared" si="323"/>
        <v>1.5218798912835851</v>
      </c>
      <c r="W676" s="45">
        <f t="shared" si="324"/>
        <v>1.5110757836289685</v>
      </c>
      <c r="X676" s="45">
        <f t="shared" si="325"/>
        <v>1.080410765461659E-2</v>
      </c>
      <c r="Y676" s="45">
        <f t="shared" si="329"/>
        <v>3.3149674828971659E-2</v>
      </c>
      <c r="Z676" s="10">
        <f t="shared" si="326"/>
        <v>19.04286644800063</v>
      </c>
      <c r="AA676">
        <f t="shared" si="304"/>
        <v>6164053.4001243794</v>
      </c>
      <c r="AB676" s="10">
        <f t="shared" si="305"/>
        <v>6.1640534001243799</v>
      </c>
      <c r="AC676" s="10">
        <f t="shared" si="306"/>
        <v>6.0630534001243799</v>
      </c>
      <c r="AD676" s="3">
        <f t="shared" si="307"/>
        <v>879.34059465183168</v>
      </c>
      <c r="AI676" s="100">
        <f t="shared" si="308"/>
        <v>1.5110757836289685</v>
      </c>
    </row>
    <row r="677" spans="2:35">
      <c r="B677" s="39">
        <f t="shared" si="309"/>
        <v>649</v>
      </c>
      <c r="C677" s="45">
        <f t="shared" si="310"/>
        <v>19.065347721821357</v>
      </c>
      <c r="D677" s="10">
        <f t="shared" si="311"/>
        <v>5.4346522781788735</v>
      </c>
      <c r="E677" s="40">
        <f t="shared" si="312"/>
        <v>58.130695443642253</v>
      </c>
      <c r="F677" s="40">
        <f t="shared" si="313"/>
        <v>69</v>
      </c>
      <c r="G677" s="3">
        <f t="shared" si="314"/>
        <v>307.47721822543099</v>
      </c>
      <c r="H677" s="3">
        <f t="shared" si="315"/>
        <v>221.47275588995251</v>
      </c>
      <c r="I677">
        <f t="shared" si="300"/>
        <v>2.214727558899525E-4</v>
      </c>
      <c r="J677" s="4">
        <f t="shared" si="316"/>
        <v>3332.5840139877869</v>
      </c>
      <c r="K677" s="40">
        <f t="shared" si="317"/>
        <v>15.047376823376474</v>
      </c>
      <c r="L677" s="40">
        <f t="shared" si="301"/>
        <v>0</v>
      </c>
      <c r="M677" s="10">
        <f t="shared" si="318"/>
        <v>6.1640534001243799</v>
      </c>
      <c r="N677" s="10">
        <f t="shared" si="327"/>
        <v>17.20418640980624</v>
      </c>
      <c r="O677" s="10">
        <f t="shared" si="328"/>
        <v>-0.14810000000000001</v>
      </c>
      <c r="P677" s="10">
        <f t="shared" si="319"/>
        <v>13.141802217713355</v>
      </c>
      <c r="Q677" s="45">
        <f t="shared" si="320"/>
        <v>1.5135618011524359</v>
      </c>
      <c r="R677" s="4">
        <f t="shared" si="321"/>
        <v>333699.07683105033</v>
      </c>
      <c r="S677">
        <f t="shared" si="302"/>
        <v>3.3369907683105033E-4</v>
      </c>
      <c r="T677" s="44">
        <f t="shared" si="303"/>
        <v>1.7426973176509534E-3</v>
      </c>
      <c r="U677" s="45">
        <f t="shared" si="322"/>
        <v>0.59566953709726644</v>
      </c>
      <c r="V677" s="45">
        <f t="shared" si="323"/>
        <v>1.5212819528496138</v>
      </c>
      <c r="W677" s="45">
        <f t="shared" si="324"/>
        <v>1.5105219326094237</v>
      </c>
      <c r="X677" s="45">
        <f t="shared" si="325"/>
        <v>1.0760020240190071E-2</v>
      </c>
      <c r="Y677" s="45">
        <f t="shared" si="329"/>
        <v>3.3173727216646326E-2</v>
      </c>
      <c r="Z677" s="10">
        <f t="shared" si="326"/>
        <v>19.035851424481692</v>
      </c>
      <c r="AA677">
        <f t="shared" si="304"/>
        <v>6161819.8885721872</v>
      </c>
      <c r="AB677" s="10">
        <f t="shared" si="305"/>
        <v>6.1618198885721869</v>
      </c>
      <c r="AC677" s="10">
        <f t="shared" si="306"/>
        <v>6.0608198885721869</v>
      </c>
      <c r="AD677" s="3">
        <f t="shared" si="307"/>
        <v>879.01666259205035</v>
      </c>
      <c r="AI677" s="100">
        <f t="shared" si="308"/>
        <v>1.5105219326094237</v>
      </c>
    </row>
    <row r="678" spans="2:35">
      <c r="B678" s="39">
        <f t="shared" si="309"/>
        <v>650</v>
      </c>
      <c r="C678" s="45">
        <f t="shared" si="310"/>
        <v>19.094724220622314</v>
      </c>
      <c r="D678" s="10">
        <f t="shared" si="311"/>
        <v>5.4052757793779165</v>
      </c>
      <c r="E678" s="40">
        <f t="shared" si="312"/>
        <v>58.189448441244167</v>
      </c>
      <c r="F678" s="40">
        <f t="shared" si="313"/>
        <v>69</v>
      </c>
      <c r="G678" s="3">
        <f t="shared" si="314"/>
        <v>307.24220623502333</v>
      </c>
      <c r="H678" s="3">
        <f t="shared" si="315"/>
        <v>221.47275588995251</v>
      </c>
      <c r="I678">
        <f t="shared" si="300"/>
        <v>2.214727558899525E-4</v>
      </c>
      <c r="J678" s="4">
        <f t="shared" si="316"/>
        <v>3337.9515484497679</v>
      </c>
      <c r="K678" s="40">
        <f t="shared" si="317"/>
        <v>15.0716124655457</v>
      </c>
      <c r="L678" s="40">
        <f t="shared" si="301"/>
        <v>0</v>
      </c>
      <c r="M678" s="10">
        <f t="shared" si="318"/>
        <v>6.1618198885721869</v>
      </c>
      <c r="N678" s="10">
        <f t="shared" si="327"/>
        <v>17.20418640980624</v>
      </c>
      <c r="O678" s="10">
        <f t="shared" si="328"/>
        <v>-0.14810000000000001</v>
      </c>
      <c r="P678" s="10">
        <f t="shared" si="319"/>
        <v>13.142507596094484</v>
      </c>
      <c r="Q678" s="45">
        <f t="shared" si="320"/>
        <v>1.5157970289874716</v>
      </c>
      <c r="R678" s="4">
        <f t="shared" si="321"/>
        <v>331794.88973399752</v>
      </c>
      <c r="S678">
        <f t="shared" si="302"/>
        <v>3.3179488973399753E-4</v>
      </c>
      <c r="T678" s="44">
        <f t="shared" si="303"/>
        <v>1.7446015047480063E-3</v>
      </c>
      <c r="U678" s="45">
        <f t="shared" si="322"/>
        <v>0.59227046791967231</v>
      </c>
      <c r="V678" s="45">
        <f t="shared" si="323"/>
        <v>1.5206813034071891</v>
      </c>
      <c r="W678" s="45">
        <f t="shared" si="324"/>
        <v>1.5099654855581317</v>
      </c>
      <c r="X678" s="45">
        <f t="shared" si="325"/>
        <v>1.0715817849057396E-2</v>
      </c>
      <c r="Y678" s="45">
        <f t="shared" si="329"/>
        <v>3.3197679510977712E-2</v>
      </c>
      <c r="Z678" s="10">
        <f t="shared" si="326"/>
        <v>19.028803666985745</v>
      </c>
      <c r="AA678">
        <f t="shared" si="304"/>
        <v>6159575.9548573894</v>
      </c>
      <c r="AB678" s="10">
        <f t="shared" si="305"/>
        <v>6.1595759548573898</v>
      </c>
      <c r="AC678" s="10">
        <f t="shared" si="306"/>
        <v>6.0585759548573899</v>
      </c>
      <c r="AD678" s="3">
        <f t="shared" si="307"/>
        <v>878.69121897859168</v>
      </c>
      <c r="AI678" s="100">
        <f t="shared" si="308"/>
        <v>1.5099654855581317</v>
      </c>
    </row>
    <row r="679" spans="2:35">
      <c r="B679" s="39">
        <f t="shared" si="309"/>
        <v>651</v>
      </c>
      <c r="C679" s="45">
        <f t="shared" si="310"/>
        <v>19.124100719423271</v>
      </c>
      <c r="D679" s="10">
        <f t="shared" si="311"/>
        <v>5.3758992805769594</v>
      </c>
      <c r="E679" s="40">
        <f t="shared" si="312"/>
        <v>58.248201438846081</v>
      </c>
      <c r="F679" s="40">
        <f t="shared" si="313"/>
        <v>69</v>
      </c>
      <c r="G679" s="3">
        <f t="shared" si="314"/>
        <v>307.00719424461568</v>
      </c>
      <c r="H679" s="3">
        <f t="shared" si="315"/>
        <v>221.47275588995251</v>
      </c>
      <c r="I679">
        <f t="shared" ref="I679:I742" si="330">H679/1000^2</f>
        <v>2.214727558899525E-4</v>
      </c>
      <c r="J679" s="4">
        <f t="shared" si="316"/>
        <v>3343.3245051667227</v>
      </c>
      <c r="K679" s="40">
        <f t="shared" si="317"/>
        <v>15.095872590432684</v>
      </c>
      <c r="L679" s="40">
        <f t="shared" ref="L679:L742" si="331">IF((gstar-K679)&lt;0,0,gstar-K679)</f>
        <v>0</v>
      </c>
      <c r="M679" s="10">
        <f t="shared" si="318"/>
        <v>6.1595759548573898</v>
      </c>
      <c r="N679" s="10">
        <f t="shared" si="327"/>
        <v>17.20418640980624</v>
      </c>
      <c r="O679" s="10">
        <f t="shared" si="328"/>
        <v>-0.14810000000000001</v>
      </c>
      <c r="P679" s="10">
        <f t="shared" si="319"/>
        <v>13.143216561628966</v>
      </c>
      <c r="Q679" s="45">
        <f t="shared" si="320"/>
        <v>1.5180321362508429</v>
      </c>
      <c r="R679" s="4">
        <f t="shared" si="321"/>
        <v>329891.56083557359</v>
      </c>
      <c r="S679">
        <f t="shared" ref="S679:S742" si="332">R679/1000^3</f>
        <v>3.2989156083557358E-4</v>
      </c>
      <c r="T679" s="44">
        <f t="shared" ref="T679:T742" si="333">(vc/1000^3-S679)</f>
        <v>1.7465048336464302E-3</v>
      </c>
      <c r="U679" s="45">
        <f t="shared" si="322"/>
        <v>0.58887293066954061</v>
      </c>
      <c r="V679" s="45">
        <f t="shared" si="323"/>
        <v>1.5200779424818682</v>
      </c>
      <c r="W679" s="45">
        <f t="shared" si="324"/>
        <v>1.5094064419759898</v>
      </c>
      <c r="X679" s="45">
        <f t="shared" si="325"/>
        <v>1.0671500505878395E-2</v>
      </c>
      <c r="Y679" s="45">
        <f t="shared" si="329"/>
        <v>3.3221531459269468E-2</v>
      </c>
      <c r="Z679" s="10">
        <f t="shared" si="326"/>
        <v>19.021723169187045</v>
      </c>
      <c r="AA679">
        <f t="shared" ref="AA679:AA742" si="334">Z679*rat*to+patm*1000000</f>
        <v>6157321.5969659351</v>
      </c>
      <c r="AB679" s="10">
        <f t="shared" ref="AB679:AB742" si="335">AA679/1000000</f>
        <v>6.157321596965935</v>
      </c>
      <c r="AC679" s="10">
        <f t="shared" ref="AC679:AC742" si="336">AB679-patm</f>
        <v>6.056321596965935</v>
      </c>
      <c r="AD679" s="3">
        <f t="shared" ref="AD679:AD742" si="337">AC679*1000000/6895</f>
        <v>878.36426351935245</v>
      </c>
      <c r="AI679" s="100">
        <f t="shared" ref="AI679:AI742" si="338">($M679-patm)*1000000*$I679/SQRT(rat*to)*SQRT(k)*(2/(k+1))^((k+1)/2/(k-1))</f>
        <v>1.5094064419759898</v>
      </c>
    </row>
    <row r="680" spans="2:35">
      <c r="B680" s="39">
        <f t="shared" ref="B680:B743" si="339">1+B679</f>
        <v>652</v>
      </c>
      <c r="C680" s="45">
        <f t="shared" ref="C680:C743" si="340">xincp+C679</f>
        <v>19.153477218224229</v>
      </c>
      <c r="D680" s="10">
        <f t="shared" ref="D680:D743" si="341">(F680-E680)/2</f>
        <v>5.3465227817760024</v>
      </c>
      <c r="E680" s="40">
        <f t="shared" ref="E680:E743" si="342">E679+ci*2*xincp</f>
        <v>58.306954436447995</v>
      </c>
      <c r="F680" s="40">
        <f t="shared" ref="F680:F743" si="343">F679-osi*2*xincp</f>
        <v>69</v>
      </c>
      <c r="G680" s="3">
        <f t="shared" ref="G680:G743" si="344">G679-ei*n*2*xincp</f>
        <v>306.77218225420802</v>
      </c>
      <c r="H680" s="3">
        <f t="shared" ref="H680:H743" si="345">PI()/4*(dto+erate*(two-D680)/two)^2</f>
        <v>221.47275588995251</v>
      </c>
      <c r="I680">
        <f t="shared" si="330"/>
        <v>2.214727558899525E-4</v>
      </c>
      <c r="J680" s="4">
        <f t="shared" ref="J680:J743" si="346">PI()/4*dc^2-PI()/4*(F680^2-E680^2)</f>
        <v>3348.7028841386514</v>
      </c>
      <c r="K680" s="40">
        <f t="shared" ref="K680:K743" si="347">J680/H680</f>
        <v>15.120157198037427</v>
      </c>
      <c r="L680" s="40">
        <f t="shared" si="331"/>
        <v>0</v>
      </c>
      <c r="M680" s="10">
        <f t="shared" ref="M680:M743" si="348">AB679</f>
        <v>6.157321596965935</v>
      </c>
      <c r="N680" s="10">
        <f t="shared" si="327"/>
        <v>17.20418640980624</v>
      </c>
      <c r="O680" s="10">
        <f t="shared" si="328"/>
        <v>-0.14810000000000001</v>
      </c>
      <c r="P680" s="10">
        <f t="shared" ref="P680:P743" si="349">(1+kv*L680)*N680*M680^O680</f>
        <v>13.143929119316502</v>
      </c>
      <c r="Q680" s="45">
        <f t="shared" ref="Q680:Q743" si="350">xincp/P680+Q679</f>
        <v>1.5202671223447488</v>
      </c>
      <c r="R680" s="4">
        <f t="shared" ref="R680:R743" si="351">PI()/4*(F680^2-E680^2)*G680</f>
        <v>327989.0939586634</v>
      </c>
      <c r="S680">
        <f t="shared" si="332"/>
        <v>3.2798909395866338E-4</v>
      </c>
      <c r="T680" s="44">
        <f t="shared" si="333"/>
        <v>1.7484073005233404E-3</v>
      </c>
      <c r="U680" s="45">
        <f t="shared" ref="U680:U743" si="352">rhopgrain*R680/1000^2</f>
        <v>0.58547693217091212</v>
      </c>
      <c r="V680" s="45">
        <f t="shared" ref="V680:V743" si="353">(U679-U680)/(Q680-Q679)</f>
        <v>1.5194718695960778</v>
      </c>
      <c r="W680" s="45">
        <f t="shared" ref="W680:W743" si="354">IF(V680&lt;AI680,IF(AB679&gt;pbd,AI680,0),AI680)</f>
        <v>1.5088448013612259</v>
      </c>
      <c r="X680" s="45">
        <f t="shared" ref="X680:X743" si="355">V680-W680</f>
        <v>1.0627068234851933E-2</v>
      </c>
      <c r="Y680" s="45">
        <f t="shared" si="329"/>
        <v>3.3245282808993352E-2</v>
      </c>
      <c r="Z680" s="10">
        <f t="shared" ref="Z680:Z743" si="356">Y680/T680</f>
        <v>19.014609924725342</v>
      </c>
      <c r="AA680">
        <f t="shared" si="334"/>
        <v>6155056.8128727833</v>
      </c>
      <c r="AB680" s="10">
        <f t="shared" si="335"/>
        <v>6.1550568128727834</v>
      </c>
      <c r="AC680" s="10">
        <f t="shared" si="336"/>
        <v>6.0540568128727834</v>
      </c>
      <c r="AD680" s="3">
        <f t="shared" si="337"/>
        <v>878.03579592063568</v>
      </c>
      <c r="AI680" s="100">
        <f t="shared" si="338"/>
        <v>1.5088448013612259</v>
      </c>
    </row>
    <row r="681" spans="2:35">
      <c r="B681" s="39">
        <f t="shared" si="339"/>
        <v>653</v>
      </c>
      <c r="C681" s="45">
        <f t="shared" si="340"/>
        <v>19.182853717025186</v>
      </c>
      <c r="D681" s="10">
        <f t="shared" si="341"/>
        <v>5.3171462829750453</v>
      </c>
      <c r="E681" s="40">
        <f t="shared" si="342"/>
        <v>58.365707434049909</v>
      </c>
      <c r="F681" s="40">
        <f t="shared" si="343"/>
        <v>69</v>
      </c>
      <c r="G681" s="3">
        <f t="shared" si="344"/>
        <v>306.53717026380036</v>
      </c>
      <c r="H681" s="3">
        <f t="shared" si="345"/>
        <v>221.47275588995251</v>
      </c>
      <c r="I681">
        <f t="shared" si="330"/>
        <v>2.214727558899525E-4</v>
      </c>
      <c r="J681" s="4">
        <f t="shared" si="346"/>
        <v>3354.0866853655543</v>
      </c>
      <c r="K681" s="40">
        <f t="shared" si="347"/>
        <v>15.144466288359933</v>
      </c>
      <c r="L681" s="40">
        <f t="shared" si="331"/>
        <v>0</v>
      </c>
      <c r="M681" s="10">
        <f t="shared" si="348"/>
        <v>6.1550568128727834</v>
      </c>
      <c r="N681" s="10">
        <f t="shared" si="327"/>
        <v>17.20418640980624</v>
      </c>
      <c r="O681" s="10">
        <f t="shared" si="328"/>
        <v>-0.14810000000000001</v>
      </c>
      <c r="P681" s="10">
        <f t="shared" si="349"/>
        <v>13.144645274187292</v>
      </c>
      <c r="Q681" s="45">
        <f t="shared" si="350"/>
        <v>1.5225019866707299</v>
      </c>
      <c r="R681" s="4">
        <f t="shared" si="351"/>
        <v>326087.49292615172</v>
      </c>
      <c r="S681">
        <f t="shared" si="332"/>
        <v>3.2608749292615174E-4</v>
      </c>
      <c r="T681" s="44">
        <f t="shared" si="333"/>
        <v>1.750308901555852E-3</v>
      </c>
      <c r="U681" s="45">
        <f t="shared" si="352"/>
        <v>0.58208247924782719</v>
      </c>
      <c r="V681" s="45">
        <f t="shared" si="353"/>
        <v>1.5188630842701425</v>
      </c>
      <c r="W681" s="45">
        <f t="shared" si="354"/>
        <v>1.5082805632093301</v>
      </c>
      <c r="X681" s="45">
        <f t="shared" si="355"/>
        <v>1.0582521060812367E-2</v>
      </c>
      <c r="Y681" s="45">
        <f t="shared" si="329"/>
        <v>3.3268933307791106E-2</v>
      </c>
      <c r="Z681" s="10">
        <f t="shared" si="356"/>
        <v>19.007463927206395</v>
      </c>
      <c r="AA681">
        <f t="shared" si="334"/>
        <v>6152781.6005420741</v>
      </c>
      <c r="AB681" s="10">
        <f t="shared" si="335"/>
        <v>6.1527816005420739</v>
      </c>
      <c r="AC681" s="10">
        <f t="shared" si="336"/>
        <v>6.0517816005420739</v>
      </c>
      <c r="AD681" s="3">
        <f t="shared" si="337"/>
        <v>877.70581588717539</v>
      </c>
      <c r="AI681" s="100">
        <f t="shared" si="338"/>
        <v>1.5082805632093301</v>
      </c>
    </row>
    <row r="682" spans="2:35">
      <c r="B682" s="39">
        <f t="shared" si="339"/>
        <v>654</v>
      </c>
      <c r="C682" s="45">
        <f t="shared" si="340"/>
        <v>19.212230215826143</v>
      </c>
      <c r="D682" s="10">
        <f t="shared" si="341"/>
        <v>5.2877697841740883</v>
      </c>
      <c r="E682" s="40">
        <f t="shared" si="342"/>
        <v>58.424460431651823</v>
      </c>
      <c r="F682" s="40">
        <f t="shared" si="343"/>
        <v>69</v>
      </c>
      <c r="G682" s="3">
        <f t="shared" si="344"/>
        <v>306.30215827339271</v>
      </c>
      <c r="H682" s="3">
        <f t="shared" si="345"/>
        <v>221.47275588995251</v>
      </c>
      <c r="I682">
        <f t="shared" si="330"/>
        <v>2.214727558899525E-4</v>
      </c>
      <c r="J682" s="4">
        <f t="shared" si="346"/>
        <v>3359.4759088474311</v>
      </c>
      <c r="K682" s="40">
        <f t="shared" si="347"/>
        <v>15.168799861400196</v>
      </c>
      <c r="L682" s="40">
        <f t="shared" si="331"/>
        <v>0</v>
      </c>
      <c r="M682" s="10">
        <f t="shared" si="348"/>
        <v>6.1527816005420739</v>
      </c>
      <c r="N682" s="10">
        <f t="shared" si="327"/>
        <v>17.20418640980624</v>
      </c>
      <c r="O682" s="10">
        <f t="shared" si="328"/>
        <v>-0.14810000000000001</v>
      </c>
      <c r="P682" s="10">
        <f t="shared" si="349"/>
        <v>13.145365031302124</v>
      </c>
      <c r="Q682" s="45">
        <f t="shared" si="350"/>
        <v>1.524736728629664</v>
      </c>
      <c r="R682" s="4">
        <f t="shared" si="351"/>
        <v>324186.76156092348</v>
      </c>
      <c r="S682">
        <f t="shared" si="332"/>
        <v>3.241867615609235E-4</v>
      </c>
      <c r="T682" s="44">
        <f t="shared" si="333"/>
        <v>1.7522096329210804E-3</v>
      </c>
      <c r="U682" s="45">
        <f t="shared" si="352"/>
        <v>0.57868957872432647</v>
      </c>
      <c r="V682" s="45">
        <f t="shared" si="353"/>
        <v>1.5182515860215757</v>
      </c>
      <c r="W682" s="45">
        <f t="shared" si="354"/>
        <v>1.507713727013098</v>
      </c>
      <c r="X682" s="45">
        <f t="shared" si="355"/>
        <v>1.0537859008477701E-2</v>
      </c>
      <c r="Y682" s="45">
        <f t="shared" si="329"/>
        <v>3.329248270347468E-2</v>
      </c>
      <c r="Z682" s="10">
        <f t="shared" si="356"/>
        <v>19.000285170201536</v>
      </c>
      <c r="AA682">
        <f t="shared" si="334"/>
        <v>6150495.9579269858</v>
      </c>
      <c r="AB682" s="10">
        <f t="shared" si="335"/>
        <v>6.150495957926986</v>
      </c>
      <c r="AC682" s="10">
        <f t="shared" si="336"/>
        <v>6.049495957926986</v>
      </c>
      <c r="AD682" s="3">
        <f t="shared" si="337"/>
        <v>877.37432312211547</v>
      </c>
      <c r="AI682" s="100">
        <f t="shared" si="338"/>
        <v>1.507713727013098</v>
      </c>
    </row>
    <row r="683" spans="2:35">
      <c r="B683" s="39">
        <f t="shared" si="339"/>
        <v>655</v>
      </c>
      <c r="C683" s="45">
        <f t="shared" si="340"/>
        <v>19.2416067146271</v>
      </c>
      <c r="D683" s="10">
        <f t="shared" si="341"/>
        <v>5.2583932853731312</v>
      </c>
      <c r="E683" s="40">
        <f t="shared" si="342"/>
        <v>58.483213429253738</v>
      </c>
      <c r="F683" s="40">
        <f t="shared" si="343"/>
        <v>69</v>
      </c>
      <c r="G683" s="3">
        <f t="shared" si="344"/>
        <v>306.06714628298505</v>
      </c>
      <c r="H683" s="3">
        <f t="shared" si="345"/>
        <v>221.47275588995251</v>
      </c>
      <c r="I683">
        <f t="shared" si="330"/>
        <v>2.214727558899525E-4</v>
      </c>
      <c r="J683" s="4">
        <f t="shared" si="346"/>
        <v>3364.8705545842818</v>
      </c>
      <c r="K683" s="40">
        <f t="shared" si="347"/>
        <v>15.193157917158221</v>
      </c>
      <c r="L683" s="40">
        <f t="shared" si="331"/>
        <v>0</v>
      </c>
      <c r="M683" s="10">
        <f t="shared" si="348"/>
        <v>6.150495957926986</v>
      </c>
      <c r="N683" s="10">
        <f t="shared" si="327"/>
        <v>17.20418640980624</v>
      </c>
      <c r="O683" s="10">
        <f t="shared" si="328"/>
        <v>-0.14810000000000001</v>
      </c>
      <c r="P683" s="10">
        <f t="shared" si="349"/>
        <v>13.146088395752496</v>
      </c>
      <c r="Q683" s="45">
        <f t="shared" si="350"/>
        <v>1.5269713476217628</v>
      </c>
      <c r="R683" s="4">
        <f t="shared" si="351"/>
        <v>322286.9036858633</v>
      </c>
      <c r="S683">
        <f t="shared" si="332"/>
        <v>3.2228690368586331E-4</v>
      </c>
      <c r="T683" s="44">
        <f t="shared" si="333"/>
        <v>1.7541094907961405E-3</v>
      </c>
      <c r="U683" s="45">
        <f t="shared" si="352"/>
        <v>0.5752982374244503</v>
      </c>
      <c r="V683" s="45">
        <f t="shared" si="353"/>
        <v>1.5176373743655593</v>
      </c>
      <c r="W683" s="45">
        <f t="shared" si="354"/>
        <v>1.5071442922625931</v>
      </c>
      <c r="X683" s="45">
        <f t="shared" si="355"/>
        <v>1.0493082102966289E-2</v>
      </c>
      <c r="Y683" s="45">
        <f t="shared" si="329"/>
        <v>3.3315930744027618E-2</v>
      </c>
      <c r="Z683" s="10">
        <f t="shared" si="356"/>
        <v>18.993073647247904</v>
      </c>
      <c r="AA683">
        <f t="shared" si="334"/>
        <v>6148199.8829698106</v>
      </c>
      <c r="AB683" s="10">
        <f t="shared" si="335"/>
        <v>6.148199882969811</v>
      </c>
      <c r="AC683" s="10">
        <f t="shared" si="336"/>
        <v>6.047199882969811</v>
      </c>
      <c r="AD683" s="3">
        <f t="shared" si="337"/>
        <v>877.04131732702115</v>
      </c>
      <c r="AI683" s="100">
        <f t="shared" si="338"/>
        <v>1.5071442922625931</v>
      </c>
    </row>
    <row r="684" spans="2:35">
      <c r="B684" s="39">
        <f t="shared" si="339"/>
        <v>656</v>
      </c>
      <c r="C684" s="45">
        <f t="shared" si="340"/>
        <v>19.270983213428057</v>
      </c>
      <c r="D684" s="10">
        <f t="shared" si="341"/>
        <v>5.2290167865721742</v>
      </c>
      <c r="E684" s="40">
        <f t="shared" si="342"/>
        <v>58.541966426855652</v>
      </c>
      <c r="F684" s="40">
        <f t="shared" si="343"/>
        <v>69</v>
      </c>
      <c r="G684" s="3">
        <f t="shared" si="344"/>
        <v>305.83213429257739</v>
      </c>
      <c r="H684" s="3">
        <f t="shared" si="345"/>
        <v>221.47275588995251</v>
      </c>
      <c r="I684">
        <f t="shared" si="330"/>
        <v>2.214727558899525E-4</v>
      </c>
      <c r="J684" s="4">
        <f t="shared" si="346"/>
        <v>3370.2706225761058</v>
      </c>
      <c r="K684" s="40">
        <f t="shared" si="347"/>
        <v>15.217540455634001</v>
      </c>
      <c r="L684" s="40">
        <f t="shared" si="331"/>
        <v>0</v>
      </c>
      <c r="M684" s="10">
        <f t="shared" si="348"/>
        <v>6.148199882969811</v>
      </c>
      <c r="N684" s="10">
        <f t="shared" si="327"/>
        <v>17.20418640980624</v>
      </c>
      <c r="O684" s="10">
        <f t="shared" si="328"/>
        <v>-0.14810000000000001</v>
      </c>
      <c r="P684" s="10">
        <f t="shared" si="349"/>
        <v>13.146815372660729</v>
      </c>
      <c r="Q684" s="45">
        <f t="shared" si="350"/>
        <v>1.5292058430465671</v>
      </c>
      <c r="R684" s="4">
        <f t="shared" si="351"/>
        <v>320387.92312385631</v>
      </c>
      <c r="S684">
        <f t="shared" si="332"/>
        <v>3.2038792312385632E-4</v>
      </c>
      <c r="T684" s="44">
        <f t="shared" si="333"/>
        <v>1.7560084713581475E-3</v>
      </c>
      <c r="U684" s="45">
        <f t="shared" si="352"/>
        <v>0.57190846217223967</v>
      </c>
      <c r="V684" s="45">
        <f t="shared" si="353"/>
        <v>1.5170204488144847</v>
      </c>
      <c r="W684" s="45">
        <f t="shared" si="354"/>
        <v>1.5065722584451671</v>
      </c>
      <c r="X684" s="45">
        <f t="shared" si="355"/>
        <v>1.0448190369317656E-2</v>
      </c>
      <c r="Y684" s="45">
        <f t="shared" si="329"/>
        <v>3.3339277177605341E-2</v>
      </c>
      <c r="Z684" s="10">
        <f t="shared" si="356"/>
        <v>18.98582935184805</v>
      </c>
      <c r="AA684">
        <f t="shared" si="334"/>
        <v>6145893.3736018259</v>
      </c>
      <c r="AB684" s="10">
        <f t="shared" si="335"/>
        <v>6.145893373601826</v>
      </c>
      <c r="AC684" s="10">
        <f t="shared" si="336"/>
        <v>6.044893373601826</v>
      </c>
      <c r="AD684" s="3">
        <f t="shared" si="337"/>
        <v>876.70679820186012</v>
      </c>
      <c r="AI684" s="100">
        <f t="shared" si="338"/>
        <v>1.5065722584451671</v>
      </c>
    </row>
    <row r="685" spans="2:35">
      <c r="B685" s="39">
        <f t="shared" si="339"/>
        <v>657</v>
      </c>
      <c r="C685" s="45">
        <f t="shared" si="340"/>
        <v>19.300359712229014</v>
      </c>
      <c r="D685" s="10">
        <f t="shared" si="341"/>
        <v>5.1996402877712171</v>
      </c>
      <c r="E685" s="40">
        <f t="shared" si="342"/>
        <v>58.600719424457566</v>
      </c>
      <c r="F685" s="40">
        <f t="shared" si="343"/>
        <v>69</v>
      </c>
      <c r="G685" s="3">
        <f t="shared" si="344"/>
        <v>305.59712230216974</v>
      </c>
      <c r="H685" s="3">
        <f t="shared" si="345"/>
        <v>221.47275588995251</v>
      </c>
      <c r="I685">
        <f t="shared" si="330"/>
        <v>2.214727558899525E-4</v>
      </c>
      <c r="J685" s="4">
        <f t="shared" si="346"/>
        <v>3375.6761128229045</v>
      </c>
      <c r="K685" s="40">
        <f t="shared" si="347"/>
        <v>15.241947476827546</v>
      </c>
      <c r="L685" s="40">
        <f t="shared" si="331"/>
        <v>0</v>
      </c>
      <c r="M685" s="10">
        <f t="shared" si="348"/>
        <v>6.145893373601826</v>
      </c>
      <c r="N685" s="10">
        <f t="shared" si="327"/>
        <v>17.20418640980624</v>
      </c>
      <c r="O685" s="10">
        <f t="shared" si="328"/>
        <v>-0.14810000000000001</v>
      </c>
      <c r="P685" s="10">
        <f t="shared" si="349"/>
        <v>13.147545967180108</v>
      </c>
      <c r="Q685" s="45">
        <f t="shared" si="350"/>
        <v>1.5314402143029437</v>
      </c>
      <c r="R685" s="4">
        <f t="shared" si="351"/>
        <v>318489.82369778689</v>
      </c>
      <c r="S685">
        <f t="shared" si="332"/>
        <v>3.1848982369778688E-4</v>
      </c>
      <c r="T685" s="44">
        <f t="shared" si="333"/>
        <v>1.7579065707842168E-3</v>
      </c>
      <c r="U685" s="45">
        <f t="shared" si="352"/>
        <v>0.56852025979173448</v>
      </c>
      <c r="V685" s="45">
        <f t="shared" si="353"/>
        <v>1.5164008088788778</v>
      </c>
      <c r="W685" s="45">
        <f t="shared" si="354"/>
        <v>1.5059976250454288</v>
      </c>
      <c r="X685" s="45">
        <f t="shared" si="355"/>
        <v>1.040318383344907E-2</v>
      </c>
      <c r="Y685" s="45">
        <f t="shared" si="329"/>
        <v>3.3362521752537601E-2</v>
      </c>
      <c r="Z685" s="10">
        <f t="shared" si="356"/>
        <v>18.978552277470754</v>
      </c>
      <c r="AA685">
        <f t="shared" si="334"/>
        <v>6143576.4277435597</v>
      </c>
      <c r="AB685" s="10">
        <f t="shared" si="335"/>
        <v>6.1435764277435601</v>
      </c>
      <c r="AC685" s="10">
        <f t="shared" si="336"/>
        <v>6.0425764277435601</v>
      </c>
      <c r="AD685" s="3">
        <f t="shared" si="337"/>
        <v>876.37076544504134</v>
      </c>
      <c r="AI685" s="100">
        <f t="shared" si="338"/>
        <v>1.5059976250454288</v>
      </c>
    </row>
    <row r="686" spans="2:35">
      <c r="B686" s="39">
        <f t="shared" si="339"/>
        <v>658</v>
      </c>
      <c r="C686" s="45">
        <f t="shared" si="340"/>
        <v>19.329736211029971</v>
      </c>
      <c r="D686" s="10">
        <f t="shared" si="341"/>
        <v>5.1702637889702601</v>
      </c>
      <c r="E686" s="40">
        <f t="shared" si="342"/>
        <v>58.65947242205948</v>
      </c>
      <c r="F686" s="40">
        <f t="shared" si="343"/>
        <v>69</v>
      </c>
      <c r="G686" s="3">
        <f t="shared" si="344"/>
        <v>305.36211031176208</v>
      </c>
      <c r="H686" s="3">
        <f t="shared" si="345"/>
        <v>221.47275588995251</v>
      </c>
      <c r="I686">
        <f t="shared" si="330"/>
        <v>2.214727558899525E-4</v>
      </c>
      <c r="J686" s="4">
        <f t="shared" si="346"/>
        <v>3381.0870253246767</v>
      </c>
      <c r="K686" s="40">
        <f t="shared" si="347"/>
        <v>15.266378980738848</v>
      </c>
      <c r="L686" s="40">
        <f t="shared" si="331"/>
        <v>0</v>
      </c>
      <c r="M686" s="10">
        <f t="shared" si="348"/>
        <v>6.1435764277435601</v>
      </c>
      <c r="N686" s="10">
        <f t="shared" si="327"/>
        <v>17.20418640980624</v>
      </c>
      <c r="O686" s="10">
        <f t="shared" si="328"/>
        <v>-0.14810000000000001</v>
      </c>
      <c r="P686" s="10">
        <f t="shared" si="349"/>
        <v>13.148280184494908</v>
      </c>
      <c r="Q686" s="45">
        <f t="shared" si="350"/>
        <v>1.5336744607890811</v>
      </c>
      <c r="R686" s="4">
        <f t="shared" si="351"/>
        <v>316592.60923054011</v>
      </c>
      <c r="S686">
        <f t="shared" si="332"/>
        <v>3.1659260923054013E-4</v>
      </c>
      <c r="T686" s="44">
        <f t="shared" si="333"/>
        <v>1.7598037852514636E-3</v>
      </c>
      <c r="U686" s="45">
        <f t="shared" si="352"/>
        <v>0.56513363710697562</v>
      </c>
      <c r="V686" s="45">
        <f t="shared" si="353"/>
        <v>1.515778454065644</v>
      </c>
      <c r="W686" s="45">
        <f t="shared" si="354"/>
        <v>1.5054203915453068</v>
      </c>
      <c r="X686" s="45">
        <f t="shared" si="355"/>
        <v>1.0358062520337219E-2</v>
      </c>
      <c r="Y686" s="45">
        <f t="shared" si="329"/>
        <v>3.3385664217326853E-2</v>
      </c>
      <c r="Z686" s="10">
        <f t="shared" si="356"/>
        <v>18.971242417549565</v>
      </c>
      <c r="AA686">
        <f t="shared" si="334"/>
        <v>6141249.0433043204</v>
      </c>
      <c r="AB686" s="10">
        <f t="shared" si="335"/>
        <v>6.1412490433043203</v>
      </c>
      <c r="AC686" s="10">
        <f t="shared" si="336"/>
        <v>6.0402490433043203</v>
      </c>
      <c r="AD686" s="3">
        <f t="shared" si="337"/>
        <v>876.03321875334598</v>
      </c>
      <c r="AI686" s="100">
        <f t="shared" si="338"/>
        <v>1.5054203915453068</v>
      </c>
    </row>
    <row r="687" spans="2:35">
      <c r="B687" s="39">
        <f t="shared" si="339"/>
        <v>659</v>
      </c>
      <c r="C687" s="45">
        <f t="shared" si="340"/>
        <v>19.359112709830928</v>
      </c>
      <c r="D687" s="10">
        <f t="shared" si="341"/>
        <v>5.140887290169303</v>
      </c>
      <c r="E687" s="40">
        <f t="shared" si="342"/>
        <v>58.718225419661394</v>
      </c>
      <c r="F687" s="40">
        <f t="shared" si="343"/>
        <v>69</v>
      </c>
      <c r="G687" s="3">
        <f t="shared" si="344"/>
        <v>305.12709832135442</v>
      </c>
      <c r="H687" s="3">
        <f t="shared" si="345"/>
        <v>221.47275588995251</v>
      </c>
      <c r="I687">
        <f t="shared" si="330"/>
        <v>2.214727558899525E-4</v>
      </c>
      <c r="J687" s="4">
        <f t="shared" si="346"/>
        <v>3386.5033600814231</v>
      </c>
      <c r="K687" s="40">
        <f t="shared" si="347"/>
        <v>15.29083496736791</v>
      </c>
      <c r="L687" s="40">
        <f t="shared" si="331"/>
        <v>0</v>
      </c>
      <c r="M687" s="10">
        <f t="shared" si="348"/>
        <v>6.1412490433043203</v>
      </c>
      <c r="N687" s="10">
        <f t="shared" si="327"/>
        <v>17.20418640980624</v>
      </c>
      <c r="O687" s="10">
        <f t="shared" si="328"/>
        <v>-0.14810000000000001</v>
      </c>
      <c r="P687" s="10">
        <f t="shared" si="349"/>
        <v>13.149018029820679</v>
      </c>
      <c r="Q687" s="45">
        <f t="shared" si="350"/>
        <v>1.5359085819024856</v>
      </c>
      <c r="R687" s="4">
        <f t="shared" si="351"/>
        <v>314696.28354500077</v>
      </c>
      <c r="S687">
        <f t="shared" si="332"/>
        <v>3.1469628354500079E-4</v>
      </c>
      <c r="T687" s="44">
        <f t="shared" si="333"/>
        <v>1.761700110937003E-3</v>
      </c>
      <c r="U687" s="45">
        <f t="shared" si="352"/>
        <v>0.56174860094200363</v>
      </c>
      <c r="V687" s="45">
        <f t="shared" si="353"/>
        <v>1.5151533838797442</v>
      </c>
      <c r="W687" s="45">
        <f t="shared" si="354"/>
        <v>1.5048405574239363</v>
      </c>
      <c r="X687" s="45">
        <f t="shared" si="355"/>
        <v>1.0312826455807889E-2</v>
      </c>
      <c r="Y687" s="45">
        <f t="shared" si="329"/>
        <v>3.3408704320650649E-2</v>
      </c>
      <c r="Z687" s="10">
        <f t="shared" si="356"/>
        <v>18.963899765483593</v>
      </c>
      <c r="AA687">
        <f t="shared" si="334"/>
        <v>6138911.2181824511</v>
      </c>
      <c r="AB687" s="10">
        <f t="shared" si="335"/>
        <v>6.138911218182451</v>
      </c>
      <c r="AC687" s="10">
        <f t="shared" si="336"/>
        <v>6.037911218182451</v>
      </c>
      <c r="AD687" s="3">
        <f t="shared" si="337"/>
        <v>875.6941578219654</v>
      </c>
      <c r="AI687" s="100">
        <f t="shared" si="338"/>
        <v>1.5048405574239363</v>
      </c>
    </row>
    <row r="688" spans="2:35">
      <c r="B688" s="39">
        <f t="shared" si="339"/>
        <v>660</v>
      </c>
      <c r="C688" s="45">
        <f t="shared" si="340"/>
        <v>19.388489208631885</v>
      </c>
      <c r="D688" s="10">
        <f t="shared" si="341"/>
        <v>5.111510791368346</v>
      </c>
      <c r="E688" s="40">
        <f t="shared" si="342"/>
        <v>58.776978417263308</v>
      </c>
      <c r="F688" s="40">
        <f t="shared" si="343"/>
        <v>69</v>
      </c>
      <c r="G688" s="3">
        <f t="shared" si="344"/>
        <v>304.89208633094677</v>
      </c>
      <c r="H688" s="3">
        <f t="shared" si="345"/>
        <v>221.47275588995251</v>
      </c>
      <c r="I688">
        <f t="shared" si="330"/>
        <v>2.214727558899525E-4</v>
      </c>
      <c r="J688" s="4">
        <f t="shared" si="346"/>
        <v>3391.9251170931429</v>
      </c>
      <c r="K688" s="40">
        <f t="shared" si="347"/>
        <v>15.31531543671473</v>
      </c>
      <c r="L688" s="40">
        <f t="shared" si="331"/>
        <v>0</v>
      </c>
      <c r="M688" s="10">
        <f t="shared" si="348"/>
        <v>6.138911218182451</v>
      </c>
      <c r="N688" s="10">
        <f t="shared" si="327"/>
        <v>17.20418640980624</v>
      </c>
      <c r="O688" s="10">
        <f t="shared" si="328"/>
        <v>-0.14810000000000001</v>
      </c>
      <c r="P688" s="10">
        <f t="shared" si="349"/>
        <v>13.149759508404255</v>
      </c>
      <c r="Q688" s="45">
        <f t="shared" si="350"/>
        <v>1.538142577039977</v>
      </c>
      <c r="R688" s="4">
        <f t="shared" si="351"/>
        <v>312800.85046405363</v>
      </c>
      <c r="S688">
        <f t="shared" si="332"/>
        <v>3.1280085046405363E-4</v>
      </c>
      <c r="T688" s="44">
        <f t="shared" si="333"/>
        <v>1.7635955440179502E-3</v>
      </c>
      <c r="U688" s="45">
        <f t="shared" si="352"/>
        <v>0.55836515812085896</v>
      </c>
      <c r="V688" s="45">
        <f t="shared" si="353"/>
        <v>1.5145255978237839</v>
      </c>
      <c r="W688" s="45">
        <f t="shared" si="354"/>
        <v>1.5042581221577196</v>
      </c>
      <c r="X688" s="45">
        <f t="shared" si="355"/>
        <v>1.0267475666064341E-2</v>
      </c>
      <c r="Y688" s="45">
        <f t="shared" si="329"/>
        <v>3.3431641811362947E-2</v>
      </c>
      <c r="Z688" s="10">
        <f t="shared" si="356"/>
        <v>18.956524314637683</v>
      </c>
      <c r="AA688">
        <f t="shared" si="334"/>
        <v>6136562.9502653889</v>
      </c>
      <c r="AB688" s="10">
        <f t="shared" si="335"/>
        <v>6.1365629502653887</v>
      </c>
      <c r="AC688" s="10">
        <f t="shared" si="336"/>
        <v>6.0355629502653887</v>
      </c>
      <c r="AD688" s="3">
        <f t="shared" si="337"/>
        <v>875.35358234450894</v>
      </c>
      <c r="AI688" s="100">
        <f t="shared" si="338"/>
        <v>1.5042581221577196</v>
      </c>
    </row>
    <row r="689" spans="2:35">
      <c r="B689" s="39">
        <f t="shared" si="339"/>
        <v>661</v>
      </c>
      <c r="C689" s="45">
        <f t="shared" si="340"/>
        <v>19.417865707432842</v>
      </c>
      <c r="D689" s="10">
        <f t="shared" si="341"/>
        <v>5.0821342925673889</v>
      </c>
      <c r="E689" s="40">
        <f t="shared" si="342"/>
        <v>58.835731414865222</v>
      </c>
      <c r="F689" s="40">
        <f t="shared" si="343"/>
        <v>69</v>
      </c>
      <c r="G689" s="3">
        <f t="shared" si="344"/>
        <v>304.65707434053911</v>
      </c>
      <c r="H689" s="3">
        <f t="shared" si="345"/>
        <v>221.47275588995251</v>
      </c>
      <c r="I689">
        <f t="shared" si="330"/>
        <v>2.214727558899525E-4</v>
      </c>
      <c r="J689" s="4">
        <f t="shared" si="346"/>
        <v>3397.3522963598371</v>
      </c>
      <c r="K689" s="40">
        <f t="shared" si="347"/>
        <v>15.339820388779312</v>
      </c>
      <c r="L689" s="40">
        <f t="shared" si="331"/>
        <v>0</v>
      </c>
      <c r="M689" s="10">
        <f t="shared" si="348"/>
        <v>6.1365629502653887</v>
      </c>
      <c r="N689" s="10">
        <f t="shared" si="327"/>
        <v>17.20418640980624</v>
      </c>
      <c r="O689" s="10">
        <f t="shared" si="328"/>
        <v>-0.14810000000000001</v>
      </c>
      <c r="P689" s="10">
        <f t="shared" si="349"/>
        <v>13.150504625523864</v>
      </c>
      <c r="Q689" s="45">
        <f t="shared" si="350"/>
        <v>1.5403764455976856</v>
      </c>
      <c r="R689" s="4">
        <f t="shared" si="351"/>
        <v>310906.31381058344</v>
      </c>
      <c r="S689">
        <f t="shared" si="332"/>
        <v>3.1090631381058343E-4</v>
      </c>
      <c r="T689" s="44">
        <f t="shared" si="333"/>
        <v>1.7654900806714203E-3</v>
      </c>
      <c r="U689" s="45">
        <f t="shared" si="352"/>
        <v>0.55498331546758195</v>
      </c>
      <c r="V689" s="45">
        <f t="shared" si="353"/>
        <v>1.5138950953971932</v>
      </c>
      <c r="W689" s="45">
        <f t="shared" si="354"/>
        <v>1.5036730852203417</v>
      </c>
      <c r="X689" s="45">
        <f t="shared" si="355"/>
        <v>1.0222010176851537E-2</v>
      </c>
      <c r="Y689" s="45">
        <f t="shared" si="329"/>
        <v>3.3454476438493592E-2</v>
      </c>
      <c r="Z689" s="10">
        <f t="shared" si="356"/>
        <v>18.949116058341588</v>
      </c>
      <c r="AA689">
        <f t="shared" si="334"/>
        <v>6134204.2374293935</v>
      </c>
      <c r="AB689" s="10">
        <f t="shared" si="335"/>
        <v>6.134204237429393</v>
      </c>
      <c r="AC689" s="10">
        <f t="shared" si="336"/>
        <v>6.033204237429393</v>
      </c>
      <c r="AD689" s="3">
        <f t="shared" si="337"/>
        <v>875.01149201296494</v>
      </c>
      <c r="AI689" s="100">
        <f t="shared" si="338"/>
        <v>1.5036730852203417</v>
      </c>
    </row>
    <row r="690" spans="2:35">
      <c r="B690" s="39">
        <f t="shared" si="339"/>
        <v>662</v>
      </c>
      <c r="C690" s="45">
        <f t="shared" si="340"/>
        <v>19.447242206233799</v>
      </c>
      <c r="D690" s="10">
        <f t="shared" si="341"/>
        <v>5.0527577937664319</v>
      </c>
      <c r="E690" s="40">
        <f t="shared" si="342"/>
        <v>58.894484412467136</v>
      </c>
      <c r="F690" s="40">
        <f t="shared" si="343"/>
        <v>69</v>
      </c>
      <c r="G690" s="3">
        <f t="shared" si="344"/>
        <v>304.42206235013145</v>
      </c>
      <c r="H690" s="3">
        <f t="shared" si="345"/>
        <v>221.47275588995251</v>
      </c>
      <c r="I690">
        <f t="shared" si="330"/>
        <v>2.214727558899525E-4</v>
      </c>
      <c r="J690" s="4">
        <f t="shared" si="346"/>
        <v>3402.7848978815055</v>
      </c>
      <c r="K690" s="40">
        <f t="shared" si="347"/>
        <v>15.364349823561655</v>
      </c>
      <c r="L690" s="40">
        <f t="shared" si="331"/>
        <v>0</v>
      </c>
      <c r="M690" s="10">
        <f t="shared" si="348"/>
        <v>6.134204237429393</v>
      </c>
      <c r="N690" s="10">
        <f t="shared" si="327"/>
        <v>17.20418640980624</v>
      </c>
      <c r="O690" s="10">
        <f t="shared" si="328"/>
        <v>-0.14810000000000001</v>
      </c>
      <c r="P690" s="10">
        <f t="shared" si="349"/>
        <v>13.151253386489328</v>
      </c>
      <c r="Q690" s="45">
        <f t="shared" si="350"/>
        <v>1.5426101869710469</v>
      </c>
      <c r="R690" s="4">
        <f t="shared" si="351"/>
        <v>309012.6774074749</v>
      </c>
      <c r="S690">
        <f t="shared" si="332"/>
        <v>3.090126774074749E-4</v>
      </c>
      <c r="T690" s="44">
        <f t="shared" si="333"/>
        <v>1.7673837170745289E-3</v>
      </c>
      <c r="U690" s="45">
        <f t="shared" si="352"/>
        <v>0.55160307980621304</v>
      </c>
      <c r="V690" s="45">
        <f t="shared" si="353"/>
        <v>1.5132618760973164</v>
      </c>
      <c r="W690" s="45">
        <f t="shared" si="354"/>
        <v>1.5030854460827043</v>
      </c>
      <c r="X690" s="45">
        <f t="shared" si="355"/>
        <v>1.0176430014612103E-2</v>
      </c>
      <c r="Y690" s="45">
        <f t="shared" si="329"/>
        <v>3.3477207951250344E-2</v>
      </c>
      <c r="Z690" s="10">
        <f t="shared" si="356"/>
        <v>18.941674989890519</v>
      </c>
      <c r="AA690">
        <f t="shared" si="334"/>
        <v>6131835.0775397308</v>
      </c>
      <c r="AB690" s="10">
        <f t="shared" si="335"/>
        <v>6.1318350775397308</v>
      </c>
      <c r="AC690" s="10">
        <f t="shared" si="336"/>
        <v>6.0308350775397308</v>
      </c>
      <c r="AD690" s="3">
        <f t="shared" si="337"/>
        <v>874.66788651772742</v>
      </c>
      <c r="AI690" s="100">
        <f t="shared" si="338"/>
        <v>1.5030854460827043</v>
      </c>
    </row>
    <row r="691" spans="2:35">
      <c r="B691" s="39">
        <f t="shared" si="339"/>
        <v>663</v>
      </c>
      <c r="C691" s="45">
        <f t="shared" si="340"/>
        <v>19.476618705034756</v>
      </c>
      <c r="D691" s="10">
        <f t="shared" si="341"/>
        <v>5.0233812949654748</v>
      </c>
      <c r="E691" s="40">
        <f t="shared" si="342"/>
        <v>58.95323741006905</v>
      </c>
      <c r="F691" s="40">
        <f t="shared" si="343"/>
        <v>69</v>
      </c>
      <c r="G691" s="3">
        <f t="shared" si="344"/>
        <v>304.1870503597238</v>
      </c>
      <c r="H691" s="3">
        <f t="shared" si="345"/>
        <v>221.47275588995251</v>
      </c>
      <c r="I691">
        <f t="shared" si="330"/>
        <v>2.214727558899525E-4</v>
      </c>
      <c r="J691" s="4">
        <f t="shared" si="346"/>
        <v>3408.2229216581472</v>
      </c>
      <c r="K691" s="40">
        <f t="shared" si="347"/>
        <v>15.388903741061757</v>
      </c>
      <c r="L691" s="40">
        <f t="shared" si="331"/>
        <v>0</v>
      </c>
      <c r="M691" s="10">
        <f t="shared" si="348"/>
        <v>6.1318350775397308</v>
      </c>
      <c r="N691" s="10">
        <f t="shared" si="327"/>
        <v>17.20418640980624</v>
      </c>
      <c r="O691" s="10">
        <f t="shared" si="328"/>
        <v>-0.14810000000000001</v>
      </c>
      <c r="P691" s="10">
        <f t="shared" si="349"/>
        <v>13.152005796642133</v>
      </c>
      <c r="Q691" s="45">
        <f t="shared" si="350"/>
        <v>1.5448438005547984</v>
      </c>
      <c r="R691" s="4">
        <f t="shared" si="351"/>
        <v>307119.94507761305</v>
      </c>
      <c r="S691">
        <f t="shared" si="332"/>
        <v>3.0711994507761308E-4</v>
      </c>
      <c r="T691" s="44">
        <f t="shared" si="333"/>
        <v>1.7692764494043906E-3</v>
      </c>
      <c r="U691" s="45">
        <f t="shared" si="352"/>
        <v>0.54822445796079322</v>
      </c>
      <c r="V691" s="45">
        <f t="shared" si="353"/>
        <v>1.5126259394183919</v>
      </c>
      <c r="W691" s="45">
        <f t="shared" si="354"/>
        <v>1.5024952042129691</v>
      </c>
      <c r="X691" s="45">
        <f t="shared" si="355"/>
        <v>1.0130735205422736E-2</v>
      </c>
      <c r="Y691" s="45">
        <f t="shared" si="329"/>
        <v>3.3499836099018569E-2</v>
      </c>
      <c r="Z691" s="10">
        <f t="shared" si="356"/>
        <v>18.934201102544463</v>
      </c>
      <c r="AA691">
        <f t="shared" si="334"/>
        <v>6129455.4684504485</v>
      </c>
      <c r="AB691" s="10">
        <f t="shared" si="335"/>
        <v>6.1294554684504483</v>
      </c>
      <c r="AC691" s="10">
        <f t="shared" si="336"/>
        <v>6.0284554684504483</v>
      </c>
      <c r="AD691" s="3">
        <f t="shared" si="337"/>
        <v>874.32276554756322</v>
      </c>
      <c r="AI691" s="100">
        <f t="shared" si="338"/>
        <v>1.5024952042129691</v>
      </c>
    </row>
    <row r="692" spans="2:35">
      <c r="B692" s="39">
        <f t="shared" si="339"/>
        <v>664</v>
      </c>
      <c r="C692" s="45">
        <f t="shared" si="340"/>
        <v>19.505995203835713</v>
      </c>
      <c r="D692" s="10">
        <f t="shared" si="341"/>
        <v>4.9940047961645178</v>
      </c>
      <c r="E692" s="40">
        <f t="shared" si="342"/>
        <v>59.011990407670964</v>
      </c>
      <c r="F692" s="40">
        <f t="shared" si="343"/>
        <v>69</v>
      </c>
      <c r="G692" s="3">
        <f t="shared" si="344"/>
        <v>303.95203836931614</v>
      </c>
      <c r="H692" s="3">
        <f t="shared" si="345"/>
        <v>221.47275588995251</v>
      </c>
      <c r="I692">
        <f t="shared" si="330"/>
        <v>2.214727558899525E-4</v>
      </c>
      <c r="J692" s="4">
        <f t="shared" si="346"/>
        <v>3413.6663676897629</v>
      </c>
      <c r="K692" s="40">
        <f t="shared" si="347"/>
        <v>15.413482141279616</v>
      </c>
      <c r="L692" s="40">
        <f t="shared" si="331"/>
        <v>0</v>
      </c>
      <c r="M692" s="10">
        <f t="shared" si="348"/>
        <v>6.1294554684504483</v>
      </c>
      <c r="N692" s="10">
        <f t="shared" si="327"/>
        <v>17.20418640980624</v>
      </c>
      <c r="O692" s="10">
        <f t="shared" si="328"/>
        <v>-0.14810000000000001</v>
      </c>
      <c r="P692" s="10">
        <f t="shared" si="349"/>
        <v>13.1527618613556</v>
      </c>
      <c r="Q692" s="45">
        <f t="shared" si="350"/>
        <v>1.5470772857429755</v>
      </c>
      <c r="R692" s="4">
        <f t="shared" si="351"/>
        <v>305228.12064388266</v>
      </c>
      <c r="S692">
        <f t="shared" si="332"/>
        <v>3.0522812064388269E-4</v>
      </c>
      <c r="T692" s="44">
        <f t="shared" si="333"/>
        <v>1.7711682738381211E-3</v>
      </c>
      <c r="U692" s="45">
        <f t="shared" si="352"/>
        <v>0.54484745675536284</v>
      </c>
      <c r="V692" s="45">
        <f t="shared" si="353"/>
        <v>1.5119872848525837</v>
      </c>
      <c r="W692" s="45">
        <f t="shared" si="354"/>
        <v>1.501902359076503</v>
      </c>
      <c r="X692" s="45">
        <f t="shared" si="355"/>
        <v>1.0084925776080667E-2</v>
      </c>
      <c r="Y692" s="45">
        <f t="shared" si="329"/>
        <v>3.352236063136331E-2</v>
      </c>
      <c r="Z692" s="10">
        <f t="shared" si="356"/>
        <v>18.926694389528762</v>
      </c>
      <c r="AA692">
        <f t="shared" si="334"/>
        <v>6127065.4080045661</v>
      </c>
      <c r="AB692" s="10">
        <f t="shared" si="335"/>
        <v>6.1270654080045661</v>
      </c>
      <c r="AC692" s="10">
        <f t="shared" si="336"/>
        <v>6.0260654080045661</v>
      </c>
      <c r="AD692" s="3">
        <f t="shared" si="337"/>
        <v>873.9761287896398</v>
      </c>
      <c r="AI692" s="100">
        <f t="shared" si="338"/>
        <v>1.501902359076503</v>
      </c>
    </row>
    <row r="693" spans="2:35">
      <c r="B693" s="39">
        <f t="shared" si="339"/>
        <v>665</v>
      </c>
      <c r="C693" s="45">
        <f t="shared" si="340"/>
        <v>19.53537170263667</v>
      </c>
      <c r="D693" s="10">
        <f t="shared" si="341"/>
        <v>4.9646282973635607</v>
      </c>
      <c r="E693" s="40">
        <f t="shared" si="342"/>
        <v>59.070743405272879</v>
      </c>
      <c r="F693" s="40">
        <f t="shared" si="343"/>
        <v>69</v>
      </c>
      <c r="G693" s="3">
        <f t="shared" si="344"/>
        <v>303.71702637890849</v>
      </c>
      <c r="H693" s="3">
        <f t="shared" si="345"/>
        <v>221.47275588995251</v>
      </c>
      <c r="I693">
        <f t="shared" si="330"/>
        <v>2.214727558899525E-4</v>
      </c>
      <c r="J693" s="4">
        <f t="shared" si="346"/>
        <v>3419.1152359763528</v>
      </c>
      <c r="K693" s="40">
        <f t="shared" si="347"/>
        <v>15.438085024215237</v>
      </c>
      <c r="L693" s="40">
        <f t="shared" si="331"/>
        <v>0</v>
      </c>
      <c r="M693" s="10">
        <f t="shared" si="348"/>
        <v>6.1270654080045661</v>
      </c>
      <c r="N693" s="10">
        <f t="shared" si="327"/>
        <v>17.20418640980624</v>
      </c>
      <c r="O693" s="10">
        <f t="shared" si="328"/>
        <v>-0.14810000000000001</v>
      </c>
      <c r="P693" s="10">
        <f t="shared" si="349"/>
        <v>13.153521586034964</v>
      </c>
      <c r="Q693" s="45">
        <f t="shared" si="350"/>
        <v>1.5493106419289073</v>
      </c>
      <c r="R693" s="4">
        <f t="shared" si="351"/>
        <v>303337.20792916836</v>
      </c>
      <c r="S693">
        <f t="shared" si="332"/>
        <v>3.0333720792916834E-4</v>
      </c>
      <c r="T693" s="44">
        <f t="shared" si="333"/>
        <v>1.7730591865528355E-3</v>
      </c>
      <c r="U693" s="45">
        <f t="shared" si="352"/>
        <v>0.54147208301396199</v>
      </c>
      <c r="V693" s="45">
        <f t="shared" si="353"/>
        <v>1.5113459118893693</v>
      </c>
      <c r="W693" s="45">
        <f t="shared" si="354"/>
        <v>1.5013069101359258</v>
      </c>
      <c r="X693" s="45">
        <f t="shared" si="355"/>
        <v>1.0039001753443522E-2</v>
      </c>
      <c r="Y693" s="45">
        <f t="shared" si="329"/>
        <v>3.3544781298029944E-2</v>
      </c>
      <c r="Z693" s="10">
        <f t="shared" si="356"/>
        <v>18.919154844033933</v>
      </c>
      <c r="AA693">
        <f t="shared" si="334"/>
        <v>6124664.8940340113</v>
      </c>
      <c r="AB693" s="10">
        <f t="shared" si="335"/>
        <v>6.1246648940340114</v>
      </c>
      <c r="AC693" s="10">
        <f t="shared" si="336"/>
        <v>6.0236648940340114</v>
      </c>
      <c r="AD693" s="3">
        <f t="shared" si="337"/>
        <v>873.62797592951574</v>
      </c>
      <c r="AI693" s="100">
        <f t="shared" si="338"/>
        <v>1.5013069101359258</v>
      </c>
    </row>
    <row r="694" spans="2:35">
      <c r="B694" s="39">
        <f t="shared" si="339"/>
        <v>666</v>
      </c>
      <c r="C694" s="45">
        <f t="shared" si="340"/>
        <v>19.564748201437627</v>
      </c>
      <c r="D694" s="10">
        <f t="shared" si="341"/>
        <v>4.9352517985626037</v>
      </c>
      <c r="E694" s="40">
        <f t="shared" si="342"/>
        <v>59.129496402874793</v>
      </c>
      <c r="F694" s="40">
        <f t="shared" si="343"/>
        <v>69</v>
      </c>
      <c r="G694" s="3">
        <f t="shared" si="344"/>
        <v>303.48201438850083</v>
      </c>
      <c r="H694" s="3">
        <f t="shared" si="345"/>
        <v>221.47275588995251</v>
      </c>
      <c r="I694">
        <f t="shared" si="330"/>
        <v>2.214727558899525E-4</v>
      </c>
      <c r="J694" s="4">
        <f t="shared" si="346"/>
        <v>3424.5695265179165</v>
      </c>
      <c r="K694" s="40">
        <f t="shared" si="347"/>
        <v>15.462712389868617</v>
      </c>
      <c r="L694" s="40">
        <f t="shared" si="331"/>
        <v>0</v>
      </c>
      <c r="M694" s="10">
        <f t="shared" si="348"/>
        <v>6.1246648940340114</v>
      </c>
      <c r="N694" s="10">
        <f t="shared" si="327"/>
        <v>17.20418640980624</v>
      </c>
      <c r="O694" s="10">
        <f t="shared" si="328"/>
        <v>-0.14810000000000001</v>
      </c>
      <c r="P694" s="10">
        <f t="shared" si="349"/>
        <v>13.154284976117497</v>
      </c>
      <c r="Q694" s="45">
        <f t="shared" si="350"/>
        <v>1.5515438685052125</v>
      </c>
      <c r="R694" s="4">
        <f t="shared" si="351"/>
        <v>301447.21075635502</v>
      </c>
      <c r="S694">
        <f t="shared" si="332"/>
        <v>3.0144721075635501E-4</v>
      </c>
      <c r="T694" s="44">
        <f t="shared" si="333"/>
        <v>1.7749491837256489E-3</v>
      </c>
      <c r="U694" s="45">
        <f t="shared" si="352"/>
        <v>0.53809834356063146</v>
      </c>
      <c r="V694" s="45">
        <f t="shared" si="353"/>
        <v>1.5107018200151743</v>
      </c>
      <c r="W694" s="45">
        <f t="shared" si="354"/>
        <v>1.5007088568510933</v>
      </c>
      <c r="X694" s="45">
        <f t="shared" si="355"/>
        <v>9.9929631640809369E-3</v>
      </c>
      <c r="Y694" s="45">
        <f t="shared" si="329"/>
        <v>3.3567097848944009E-2</v>
      </c>
      <c r="Z694" s="10">
        <f t="shared" si="356"/>
        <v>18.911582459215026</v>
      </c>
      <c r="AA694">
        <f t="shared" si="334"/>
        <v>6122253.9243594259</v>
      </c>
      <c r="AB694" s="10">
        <f t="shared" si="335"/>
        <v>6.1222539243594261</v>
      </c>
      <c r="AC694" s="10">
        <f t="shared" si="336"/>
        <v>6.0212539243594261</v>
      </c>
      <c r="AD694" s="3">
        <f t="shared" si="337"/>
        <v>873.27830665111321</v>
      </c>
      <c r="AI694" s="100">
        <f t="shared" si="338"/>
        <v>1.5007088568510933</v>
      </c>
    </row>
    <row r="695" spans="2:35">
      <c r="B695" s="39">
        <f t="shared" si="339"/>
        <v>667</v>
      </c>
      <c r="C695" s="45">
        <f t="shared" si="340"/>
        <v>19.594124700238584</v>
      </c>
      <c r="D695" s="10">
        <f t="shared" si="341"/>
        <v>4.9058752997616466</v>
      </c>
      <c r="E695" s="40">
        <f t="shared" si="342"/>
        <v>59.188249400476707</v>
      </c>
      <c r="F695" s="40">
        <f t="shared" si="343"/>
        <v>69</v>
      </c>
      <c r="G695" s="3">
        <f t="shared" si="344"/>
        <v>303.24700239809317</v>
      </c>
      <c r="H695" s="3">
        <f t="shared" si="345"/>
        <v>221.47275588995251</v>
      </c>
      <c r="I695">
        <f t="shared" si="330"/>
        <v>2.214727558899525E-4</v>
      </c>
      <c r="J695" s="4">
        <f t="shared" si="346"/>
        <v>3430.0292393144537</v>
      </c>
      <c r="K695" s="40">
        <f t="shared" si="347"/>
        <v>15.487364238239756</v>
      </c>
      <c r="L695" s="40">
        <f t="shared" si="331"/>
        <v>0</v>
      </c>
      <c r="M695" s="10">
        <f t="shared" si="348"/>
        <v>6.1222539243594261</v>
      </c>
      <c r="N695" s="10">
        <f t="shared" si="327"/>
        <v>17.20418640980624</v>
      </c>
      <c r="O695" s="10">
        <f t="shared" si="328"/>
        <v>-0.14810000000000001</v>
      </c>
      <c r="P695" s="10">
        <f t="shared" si="349"/>
        <v>13.155052037072712</v>
      </c>
      <c r="Q695" s="45">
        <f t="shared" si="350"/>
        <v>1.5537769648637956</v>
      </c>
      <c r="R695" s="4">
        <f t="shared" si="351"/>
        <v>299558.13294832763</v>
      </c>
      <c r="S695">
        <f t="shared" si="332"/>
        <v>2.9955813294832765E-4</v>
      </c>
      <c r="T695" s="44">
        <f t="shared" si="333"/>
        <v>1.7768382615336762E-3</v>
      </c>
      <c r="U695" s="45">
        <f t="shared" si="352"/>
        <v>0.53472624521941226</v>
      </c>
      <c r="V695" s="45">
        <f t="shared" si="353"/>
        <v>1.5100550087139517</v>
      </c>
      <c r="W695" s="45">
        <f t="shared" si="354"/>
        <v>1.5001081986790503</v>
      </c>
      <c r="X695" s="45">
        <f t="shared" si="355"/>
        <v>9.9468100349013877E-3</v>
      </c>
      <c r="Y695" s="45">
        <f t="shared" si="329"/>
        <v>3.3589310034212463E-2</v>
      </c>
      <c r="Z695" s="10">
        <f t="shared" si="356"/>
        <v>18.903977228191767</v>
      </c>
      <c r="AA695">
        <f t="shared" si="334"/>
        <v>6119832.4967901986</v>
      </c>
      <c r="AB695" s="10">
        <f t="shared" si="335"/>
        <v>6.1198324967901989</v>
      </c>
      <c r="AC695" s="10">
        <f t="shared" si="336"/>
        <v>6.0188324967901989</v>
      </c>
      <c r="AD695" s="3">
        <f t="shared" si="337"/>
        <v>872.92712063672207</v>
      </c>
      <c r="AI695" s="100">
        <f t="shared" si="338"/>
        <v>1.5001081986790503</v>
      </c>
    </row>
    <row r="696" spans="2:35">
      <c r="B696" s="39">
        <f t="shared" si="339"/>
        <v>668</v>
      </c>
      <c r="C696" s="45">
        <f t="shared" si="340"/>
        <v>19.623501199039541</v>
      </c>
      <c r="D696" s="10">
        <f t="shared" si="341"/>
        <v>4.8764988009606896</v>
      </c>
      <c r="E696" s="40">
        <f t="shared" si="342"/>
        <v>59.247002398078621</v>
      </c>
      <c r="F696" s="40">
        <f t="shared" si="343"/>
        <v>69</v>
      </c>
      <c r="G696" s="3">
        <f t="shared" si="344"/>
        <v>303.01199040768552</v>
      </c>
      <c r="H696" s="3">
        <f t="shared" si="345"/>
        <v>221.47275588995251</v>
      </c>
      <c r="I696">
        <f t="shared" si="330"/>
        <v>2.214727558899525E-4</v>
      </c>
      <c r="J696" s="4">
        <f t="shared" si="346"/>
        <v>3435.4943743659651</v>
      </c>
      <c r="K696" s="40">
        <f t="shared" si="347"/>
        <v>15.512040569328654</v>
      </c>
      <c r="L696" s="40">
        <f t="shared" si="331"/>
        <v>0</v>
      </c>
      <c r="M696" s="10">
        <f t="shared" si="348"/>
        <v>6.1198324967901989</v>
      </c>
      <c r="N696" s="10">
        <f t="shared" si="327"/>
        <v>17.20418640980624</v>
      </c>
      <c r="O696" s="10">
        <f t="shared" si="328"/>
        <v>-0.14810000000000001</v>
      </c>
      <c r="P696" s="10">
        <f t="shared" si="349"/>
        <v>13.15582277440245</v>
      </c>
      <c r="Q696" s="45">
        <f t="shared" si="350"/>
        <v>1.5560099303958423</v>
      </c>
      <c r="R696" s="4">
        <f t="shared" si="351"/>
        <v>297669.97832797072</v>
      </c>
      <c r="S696">
        <f t="shared" si="332"/>
        <v>2.9766997832797074E-4</v>
      </c>
      <c r="T696" s="44">
        <f t="shared" si="333"/>
        <v>1.7787264161540331E-3</v>
      </c>
      <c r="U696" s="45">
        <f t="shared" si="352"/>
        <v>0.53135579481434414</v>
      </c>
      <c r="V696" s="45">
        <f t="shared" si="353"/>
        <v>1.5094054774677634</v>
      </c>
      <c r="W696" s="45">
        <f t="shared" si="354"/>
        <v>1.4995049350740377</v>
      </c>
      <c r="X696" s="45">
        <f t="shared" si="355"/>
        <v>9.9005423937257309E-3</v>
      </c>
      <c r="Y696" s="45">
        <f t="shared" si="329"/>
        <v>3.3611417604126219E-2</v>
      </c>
      <c r="Z696" s="10">
        <f t="shared" si="356"/>
        <v>18.896339144049435</v>
      </c>
      <c r="AA696">
        <f t="shared" si="334"/>
        <v>6117400.6091247536</v>
      </c>
      <c r="AB696" s="10">
        <f t="shared" si="335"/>
        <v>6.1174006091247533</v>
      </c>
      <c r="AC696" s="10">
        <f t="shared" si="336"/>
        <v>6.0164006091247533</v>
      </c>
      <c r="AD696" s="3">
        <f t="shared" si="337"/>
        <v>872.57441756704191</v>
      </c>
      <c r="AI696" s="100">
        <f t="shared" si="338"/>
        <v>1.4995049350740377</v>
      </c>
    </row>
    <row r="697" spans="2:35">
      <c r="B697" s="39">
        <f t="shared" si="339"/>
        <v>669</v>
      </c>
      <c r="C697" s="45">
        <f t="shared" si="340"/>
        <v>19.652877697840498</v>
      </c>
      <c r="D697" s="10">
        <f t="shared" si="341"/>
        <v>4.8471223021597325</v>
      </c>
      <c r="E697" s="40">
        <f t="shared" si="342"/>
        <v>59.305755395680535</v>
      </c>
      <c r="F697" s="40">
        <f t="shared" si="343"/>
        <v>69</v>
      </c>
      <c r="G697" s="3">
        <f t="shared" si="344"/>
        <v>302.77697841727786</v>
      </c>
      <c r="H697" s="3">
        <f t="shared" si="345"/>
        <v>221.47275588995251</v>
      </c>
      <c r="I697">
        <f t="shared" si="330"/>
        <v>2.214727558899525E-4</v>
      </c>
      <c r="J697" s="4">
        <f t="shared" si="346"/>
        <v>3440.9649316724508</v>
      </c>
      <c r="K697" s="40">
        <f t="shared" si="347"/>
        <v>15.536741383135315</v>
      </c>
      <c r="L697" s="40">
        <f t="shared" si="331"/>
        <v>0</v>
      </c>
      <c r="M697" s="10">
        <f t="shared" si="348"/>
        <v>6.1174006091247533</v>
      </c>
      <c r="N697" s="10">
        <f t="shared" si="327"/>
        <v>17.20418640980624</v>
      </c>
      <c r="O697" s="10">
        <f t="shared" si="328"/>
        <v>-0.14810000000000001</v>
      </c>
      <c r="P697" s="10">
        <f t="shared" si="349"/>
        <v>13.156597193640939</v>
      </c>
      <c r="Q697" s="45">
        <f t="shared" si="350"/>
        <v>1.5582427644918164</v>
      </c>
      <c r="R697" s="4">
        <f t="shared" si="351"/>
        <v>295782.75071816921</v>
      </c>
      <c r="S697">
        <f t="shared" si="332"/>
        <v>2.9578275071816918E-4</v>
      </c>
      <c r="T697" s="44">
        <f t="shared" si="333"/>
        <v>1.7806136437638347E-3</v>
      </c>
      <c r="U697" s="45">
        <f t="shared" si="352"/>
        <v>0.5279869991694679</v>
      </c>
      <c r="V697" s="45">
        <f t="shared" si="353"/>
        <v>1.5087532257548222</v>
      </c>
      <c r="W697" s="45">
        <f t="shared" si="354"/>
        <v>1.4988990654875649</v>
      </c>
      <c r="X697" s="45">
        <f t="shared" si="355"/>
        <v>9.8541602672572726E-3</v>
      </c>
      <c r="Y697" s="45">
        <f t="shared" si="329"/>
        <v>3.3633420309158141E-2</v>
      </c>
      <c r="Z697" s="10">
        <f t="shared" si="356"/>
        <v>18.888668199837173</v>
      </c>
      <c r="AA697">
        <f t="shared" si="334"/>
        <v>6114958.2591500105</v>
      </c>
      <c r="AB697" s="10">
        <f t="shared" si="335"/>
        <v>6.1149582591500105</v>
      </c>
      <c r="AC697" s="10">
        <f t="shared" si="336"/>
        <v>6.0139582591500105</v>
      </c>
      <c r="AD697" s="3">
        <f t="shared" si="337"/>
        <v>872.22019712110375</v>
      </c>
      <c r="AI697" s="100">
        <f t="shared" si="338"/>
        <v>1.4988990654875649</v>
      </c>
    </row>
    <row r="698" spans="2:35">
      <c r="B698" s="39">
        <f t="shared" si="339"/>
        <v>670</v>
      </c>
      <c r="C698" s="45">
        <f t="shared" si="340"/>
        <v>19.682254196641455</v>
      </c>
      <c r="D698" s="10">
        <f t="shared" si="341"/>
        <v>4.8177458033587754</v>
      </c>
      <c r="E698" s="40">
        <f t="shared" si="342"/>
        <v>59.364508393282449</v>
      </c>
      <c r="F698" s="40">
        <f t="shared" si="343"/>
        <v>69</v>
      </c>
      <c r="G698" s="3">
        <f t="shared" si="344"/>
        <v>302.5419664268702</v>
      </c>
      <c r="H698" s="3">
        <f t="shared" si="345"/>
        <v>221.47275588995251</v>
      </c>
      <c r="I698">
        <f t="shared" si="330"/>
        <v>2.214727558899525E-4</v>
      </c>
      <c r="J698" s="4">
        <f t="shared" si="346"/>
        <v>3446.4409112339099</v>
      </c>
      <c r="K698" s="40">
        <f t="shared" si="347"/>
        <v>15.561466679659734</v>
      </c>
      <c r="L698" s="40">
        <f t="shared" si="331"/>
        <v>0</v>
      </c>
      <c r="M698" s="10">
        <f t="shared" si="348"/>
        <v>6.1149582591500105</v>
      </c>
      <c r="N698" s="10">
        <f t="shared" si="327"/>
        <v>17.20418640980624</v>
      </c>
      <c r="O698" s="10">
        <f t="shared" si="328"/>
        <v>-0.14810000000000001</v>
      </c>
      <c r="P698" s="10">
        <f t="shared" si="349"/>
        <v>13.157375300355067</v>
      </c>
      <c r="Q698" s="45">
        <f t="shared" si="350"/>
        <v>1.5604754665414544</v>
      </c>
      <c r="R698" s="4">
        <f t="shared" si="351"/>
        <v>293896.45394180791</v>
      </c>
      <c r="S698">
        <f t="shared" si="332"/>
        <v>2.938964539418079E-4</v>
      </c>
      <c r="T698" s="44">
        <f t="shared" si="333"/>
        <v>1.782499940540196E-3</v>
      </c>
      <c r="U698" s="45">
        <f t="shared" si="352"/>
        <v>0.52461986510882419</v>
      </c>
      <c r="V698" s="45">
        <f t="shared" si="353"/>
        <v>1.5080982530515663</v>
      </c>
      <c r="W698" s="45">
        <f t="shared" si="354"/>
        <v>1.4982905893682748</v>
      </c>
      <c r="X698" s="45">
        <f t="shared" si="355"/>
        <v>9.8076636832915565E-3</v>
      </c>
      <c r="Y698" s="45">
        <f t="shared" si="329"/>
        <v>3.3655317899965988E-2</v>
      </c>
      <c r="Z698" s="10">
        <f t="shared" si="356"/>
        <v>18.880964388569105</v>
      </c>
      <c r="AA698">
        <f t="shared" si="334"/>
        <v>6112505.4446417363</v>
      </c>
      <c r="AB698" s="10">
        <f t="shared" si="335"/>
        <v>6.1125054446417364</v>
      </c>
      <c r="AC698" s="10">
        <f t="shared" si="336"/>
        <v>6.0115054446417364</v>
      </c>
      <c r="AD698" s="3">
        <f t="shared" si="337"/>
        <v>871.86445897632143</v>
      </c>
      <c r="AI698" s="100">
        <f t="shared" si="338"/>
        <v>1.4982905893682748</v>
      </c>
    </row>
    <row r="699" spans="2:35">
      <c r="B699" s="39">
        <f t="shared" si="339"/>
        <v>671</v>
      </c>
      <c r="C699" s="45">
        <f t="shared" si="340"/>
        <v>19.711630695442413</v>
      </c>
      <c r="D699" s="10">
        <f t="shared" si="341"/>
        <v>4.7883693045578184</v>
      </c>
      <c r="E699" s="40">
        <f t="shared" si="342"/>
        <v>59.423261390884363</v>
      </c>
      <c r="F699" s="40">
        <f t="shared" si="343"/>
        <v>69</v>
      </c>
      <c r="G699" s="3">
        <f t="shared" si="344"/>
        <v>302.30695443646255</v>
      </c>
      <c r="H699" s="3">
        <f t="shared" si="345"/>
        <v>221.47275588995251</v>
      </c>
      <c r="I699">
        <f t="shared" si="330"/>
        <v>2.214727558899525E-4</v>
      </c>
      <c r="J699" s="4">
        <f t="shared" si="346"/>
        <v>3451.9223130503428</v>
      </c>
      <c r="K699" s="40">
        <f t="shared" si="347"/>
        <v>15.586216458901911</v>
      </c>
      <c r="L699" s="40">
        <f t="shared" si="331"/>
        <v>0</v>
      </c>
      <c r="M699" s="10">
        <f t="shared" si="348"/>
        <v>6.1125054446417364</v>
      </c>
      <c r="N699" s="10">
        <f t="shared" si="327"/>
        <v>17.20418640980624</v>
      </c>
      <c r="O699" s="10">
        <f t="shared" si="328"/>
        <v>-0.14810000000000001</v>
      </c>
      <c r="P699" s="10">
        <f t="shared" si="349"/>
        <v>13.158157100144408</v>
      </c>
      <c r="Q699" s="45">
        <f t="shared" si="350"/>
        <v>1.562708035933762</v>
      </c>
      <c r="R699" s="4">
        <f t="shared" si="351"/>
        <v>292011.09182177158</v>
      </c>
      <c r="S699">
        <f t="shared" si="332"/>
        <v>2.920110918217716E-4</v>
      </c>
      <c r="T699" s="44">
        <f t="shared" si="333"/>
        <v>1.7843853026602323E-3</v>
      </c>
      <c r="U699" s="45">
        <f t="shared" si="352"/>
        <v>0.52125439945645335</v>
      </c>
      <c r="V699" s="45">
        <f t="shared" si="353"/>
        <v>1.5074405588317954</v>
      </c>
      <c r="W699" s="45">
        <f t="shared" si="354"/>
        <v>1.4976795061620316</v>
      </c>
      <c r="X699" s="45">
        <f t="shared" si="355"/>
        <v>9.7610526697637923E-3</v>
      </c>
      <c r="Y699" s="45">
        <f t="shared" si="329"/>
        <v>3.3677110127393203E-2</v>
      </c>
      <c r="Z699" s="10">
        <f t="shared" si="356"/>
        <v>18.873227703224206</v>
      </c>
      <c r="AA699">
        <f t="shared" si="334"/>
        <v>6110042.1633645101</v>
      </c>
      <c r="AB699" s="10">
        <f t="shared" si="335"/>
        <v>6.1100421633645103</v>
      </c>
      <c r="AC699" s="10">
        <f t="shared" si="336"/>
        <v>6.0090421633645104</v>
      </c>
      <c r="AD699" s="3">
        <f t="shared" si="337"/>
        <v>871.50720280848589</v>
      </c>
      <c r="AI699" s="100">
        <f t="shared" si="338"/>
        <v>1.4976795061620316</v>
      </c>
    </row>
    <row r="700" spans="2:35">
      <c r="B700" s="39">
        <f t="shared" si="339"/>
        <v>672</v>
      </c>
      <c r="C700" s="45">
        <f t="shared" si="340"/>
        <v>19.74100719424337</v>
      </c>
      <c r="D700" s="10">
        <f t="shared" si="341"/>
        <v>4.7589928057568613</v>
      </c>
      <c r="E700" s="40">
        <f t="shared" si="342"/>
        <v>59.482014388486277</v>
      </c>
      <c r="F700" s="40">
        <f t="shared" si="343"/>
        <v>69</v>
      </c>
      <c r="G700" s="3">
        <f t="shared" si="344"/>
        <v>302.07194244605489</v>
      </c>
      <c r="H700" s="3">
        <f t="shared" si="345"/>
        <v>221.47275588995251</v>
      </c>
      <c r="I700">
        <f t="shared" si="330"/>
        <v>2.214727558899525E-4</v>
      </c>
      <c r="J700" s="4">
        <f t="shared" si="346"/>
        <v>3457.4091371217501</v>
      </c>
      <c r="K700" s="40">
        <f t="shared" si="347"/>
        <v>15.610990720861849</v>
      </c>
      <c r="L700" s="40">
        <f t="shared" si="331"/>
        <v>0</v>
      </c>
      <c r="M700" s="10">
        <f t="shared" si="348"/>
        <v>6.1100421633645103</v>
      </c>
      <c r="N700" s="10">
        <f t="shared" si="327"/>
        <v>17.20418640980624</v>
      </c>
      <c r="O700" s="10">
        <f t="shared" si="328"/>
        <v>-0.14810000000000001</v>
      </c>
      <c r="P700" s="10">
        <f t="shared" si="349"/>
        <v>13.158942598641353</v>
      </c>
      <c r="Q700" s="45">
        <f t="shared" si="350"/>
        <v>1.5649404720570101</v>
      </c>
      <c r="R700" s="4">
        <f t="shared" si="351"/>
        <v>290126.66818094504</v>
      </c>
      <c r="S700">
        <f t="shared" si="332"/>
        <v>2.9012666818094502E-4</v>
      </c>
      <c r="T700" s="44">
        <f t="shared" si="333"/>
        <v>1.7862697263010588E-3</v>
      </c>
      <c r="U700" s="45">
        <f t="shared" si="352"/>
        <v>0.51789060903639594</v>
      </c>
      <c r="V700" s="45">
        <f t="shared" si="353"/>
        <v>1.5067801425660041</v>
      </c>
      <c r="W700" s="45">
        <f t="shared" si="354"/>
        <v>1.4970658153119127</v>
      </c>
      <c r="X700" s="45">
        <f t="shared" si="355"/>
        <v>9.7143272540913816E-3</v>
      </c>
      <c r="Y700" s="45">
        <f t="shared" si="329"/>
        <v>3.3698796742468291E-2</v>
      </c>
      <c r="Z700" s="10">
        <f t="shared" si="356"/>
        <v>18.865458136745403</v>
      </c>
      <c r="AA700">
        <f t="shared" si="334"/>
        <v>6107568.4130714312</v>
      </c>
      <c r="AB700" s="10">
        <f t="shared" si="335"/>
        <v>6.1075684130714309</v>
      </c>
      <c r="AC700" s="10">
        <f t="shared" si="336"/>
        <v>6.006568413071431</v>
      </c>
      <c r="AD700" s="3">
        <f t="shared" si="337"/>
        <v>871.14842829172312</v>
      </c>
      <c r="AI700" s="100">
        <f t="shared" si="338"/>
        <v>1.4970658153119127</v>
      </c>
    </row>
    <row r="701" spans="2:35">
      <c r="B701" s="39">
        <f t="shared" si="339"/>
        <v>673</v>
      </c>
      <c r="C701" s="45">
        <f t="shared" si="340"/>
        <v>19.770383693044327</v>
      </c>
      <c r="D701" s="10">
        <f t="shared" si="341"/>
        <v>4.7296163069559043</v>
      </c>
      <c r="E701" s="40">
        <f t="shared" si="342"/>
        <v>59.540767386088191</v>
      </c>
      <c r="F701" s="40">
        <f t="shared" si="343"/>
        <v>69</v>
      </c>
      <c r="G701" s="3">
        <f t="shared" si="344"/>
        <v>301.83693045564723</v>
      </c>
      <c r="H701" s="3">
        <f t="shared" si="345"/>
        <v>221.47275588995251</v>
      </c>
      <c r="I701">
        <f t="shared" si="330"/>
        <v>2.214727558899525E-4</v>
      </c>
      <c r="J701" s="4">
        <f t="shared" si="346"/>
        <v>3462.9013834481311</v>
      </c>
      <c r="K701" s="40">
        <f t="shared" si="347"/>
        <v>15.635789465539547</v>
      </c>
      <c r="L701" s="40">
        <f t="shared" si="331"/>
        <v>0</v>
      </c>
      <c r="M701" s="10">
        <f t="shared" si="348"/>
        <v>6.1075684130714309</v>
      </c>
      <c r="N701" s="10">
        <f t="shared" si="327"/>
        <v>17.20418640980624</v>
      </c>
      <c r="O701" s="10">
        <f t="shared" si="328"/>
        <v>-0.14810000000000001</v>
      </c>
      <c r="P701" s="10">
        <f t="shared" si="349"/>
        <v>13.159731801511343</v>
      </c>
      <c r="Q701" s="45">
        <f t="shared" si="350"/>
        <v>1.5671727742987309</v>
      </c>
      <c r="R701" s="4">
        <f t="shared" si="351"/>
        <v>288243.18684221315</v>
      </c>
      <c r="S701">
        <f t="shared" si="332"/>
        <v>2.8824318684221313E-4</v>
      </c>
      <c r="T701" s="44">
        <f t="shared" si="333"/>
        <v>1.7881532076397906E-3</v>
      </c>
      <c r="U701" s="45">
        <f t="shared" si="352"/>
        <v>0.51452850067269262</v>
      </c>
      <c r="V701" s="45">
        <f t="shared" si="353"/>
        <v>1.5061170037224141</v>
      </c>
      <c r="W701" s="45">
        <f t="shared" si="354"/>
        <v>1.4964495162581362</v>
      </c>
      <c r="X701" s="45">
        <f t="shared" si="355"/>
        <v>9.667487464277924E-3</v>
      </c>
      <c r="Y701" s="45">
        <f t="shared" si="329"/>
        <v>3.3720377496406606E-2</v>
      </c>
      <c r="Z701" s="10">
        <f t="shared" si="356"/>
        <v>18.857655682040033</v>
      </c>
      <c r="AA701">
        <f t="shared" si="334"/>
        <v>6105084.1915042689</v>
      </c>
      <c r="AB701" s="10">
        <f t="shared" si="335"/>
        <v>6.1050841915042691</v>
      </c>
      <c r="AC701" s="10">
        <f t="shared" si="336"/>
        <v>6.0040841915042691</v>
      </c>
      <c r="AD701" s="3">
        <f t="shared" si="337"/>
        <v>870.78813509851614</v>
      </c>
      <c r="AI701" s="100">
        <f t="shared" si="338"/>
        <v>1.4964495162581362</v>
      </c>
    </row>
    <row r="702" spans="2:35">
      <c r="B702" s="39">
        <f t="shared" si="339"/>
        <v>674</v>
      </c>
      <c r="C702" s="45">
        <f t="shared" si="340"/>
        <v>19.799760191845284</v>
      </c>
      <c r="D702" s="10">
        <f t="shared" si="341"/>
        <v>4.7002398081549472</v>
      </c>
      <c r="E702" s="40">
        <f t="shared" si="342"/>
        <v>59.599520383690106</v>
      </c>
      <c r="F702" s="40">
        <f t="shared" si="343"/>
        <v>69</v>
      </c>
      <c r="G702" s="3">
        <f t="shared" si="344"/>
        <v>301.60191846523958</v>
      </c>
      <c r="H702" s="3">
        <f t="shared" si="345"/>
        <v>221.47275588995251</v>
      </c>
      <c r="I702">
        <f t="shared" si="330"/>
        <v>2.214727558899525E-4</v>
      </c>
      <c r="J702" s="4">
        <f t="shared" si="346"/>
        <v>3468.399052029486</v>
      </c>
      <c r="K702" s="40">
        <f t="shared" si="347"/>
        <v>15.660612692935004</v>
      </c>
      <c r="L702" s="40">
        <f t="shared" si="331"/>
        <v>0</v>
      </c>
      <c r="M702" s="10">
        <f t="shared" si="348"/>
        <v>6.1050841915042691</v>
      </c>
      <c r="N702" s="10">
        <f t="shared" si="327"/>
        <v>17.20418640980624</v>
      </c>
      <c r="O702" s="10">
        <f t="shared" si="328"/>
        <v>-0.14810000000000001</v>
      </c>
      <c r="P702" s="10">
        <f t="shared" si="349"/>
        <v>13.160524714452929</v>
      </c>
      <c r="Q702" s="45">
        <f t="shared" si="350"/>
        <v>1.5694049420457126</v>
      </c>
      <c r="R702" s="4">
        <f t="shared" si="351"/>
        <v>286360.65162846068</v>
      </c>
      <c r="S702">
        <f t="shared" si="332"/>
        <v>2.8636065162846065E-4</v>
      </c>
      <c r="T702" s="44">
        <f t="shared" si="333"/>
        <v>1.7900357428535432E-3</v>
      </c>
      <c r="U702" s="45">
        <f t="shared" si="352"/>
        <v>0.51116808118938373</v>
      </c>
      <c r="V702" s="45">
        <f t="shared" si="353"/>
        <v>1.5054511417669547</v>
      </c>
      <c r="W702" s="45">
        <f t="shared" si="354"/>
        <v>1.4958306084380957</v>
      </c>
      <c r="X702" s="45">
        <f t="shared" si="355"/>
        <v>9.6205333288590378E-3</v>
      </c>
      <c r="Y702" s="45">
        <f t="shared" si="329"/>
        <v>3.3741852140612046E-2</v>
      </c>
      <c r="Z702" s="10">
        <f t="shared" si="356"/>
        <v>18.849820331980226</v>
      </c>
      <c r="AA702">
        <f t="shared" si="334"/>
        <v>6102589.4963935828</v>
      </c>
      <c r="AB702" s="10">
        <f t="shared" si="335"/>
        <v>6.1025894963935832</v>
      </c>
      <c r="AC702" s="10">
        <f t="shared" si="336"/>
        <v>6.0015894963935832</v>
      </c>
      <c r="AD702" s="3">
        <f t="shared" si="337"/>
        <v>870.42632289972198</v>
      </c>
      <c r="AI702" s="100">
        <f t="shared" si="338"/>
        <v>1.4958306084380957</v>
      </c>
    </row>
    <row r="703" spans="2:35">
      <c r="B703" s="39">
        <f t="shared" si="339"/>
        <v>675</v>
      </c>
      <c r="C703" s="45">
        <f t="shared" si="340"/>
        <v>19.829136690646241</v>
      </c>
      <c r="D703" s="10">
        <f t="shared" si="341"/>
        <v>4.6708633093539902</v>
      </c>
      <c r="E703" s="40">
        <f t="shared" si="342"/>
        <v>59.65827338129202</v>
      </c>
      <c r="F703" s="40">
        <f t="shared" si="343"/>
        <v>69</v>
      </c>
      <c r="G703" s="3">
        <f t="shared" si="344"/>
        <v>301.36690647483192</v>
      </c>
      <c r="H703" s="3">
        <f t="shared" si="345"/>
        <v>221.47275588995251</v>
      </c>
      <c r="I703">
        <f t="shared" si="330"/>
        <v>2.214727558899525E-4</v>
      </c>
      <c r="J703" s="4">
        <f t="shared" si="346"/>
        <v>3473.9021428658148</v>
      </c>
      <c r="K703" s="40">
        <f t="shared" si="347"/>
        <v>15.685460403048221</v>
      </c>
      <c r="L703" s="40">
        <f t="shared" si="331"/>
        <v>0</v>
      </c>
      <c r="M703" s="10">
        <f t="shared" si="348"/>
        <v>6.1025894963935832</v>
      </c>
      <c r="N703" s="10">
        <f t="shared" si="327"/>
        <v>17.20418640980624</v>
      </c>
      <c r="O703" s="10">
        <f t="shared" si="328"/>
        <v>-0.14810000000000001</v>
      </c>
      <c r="P703" s="10">
        <f t="shared" si="349"/>
        <v>13.161321343197882</v>
      </c>
      <c r="Q703" s="45">
        <f t="shared" si="350"/>
        <v>1.5716369746839962</v>
      </c>
      <c r="R703" s="4">
        <f t="shared" si="351"/>
        <v>284479.06636257243</v>
      </c>
      <c r="S703">
        <f t="shared" si="332"/>
        <v>2.8447906636257242E-4</v>
      </c>
      <c r="T703" s="44">
        <f t="shared" si="333"/>
        <v>1.7919173281194314E-3</v>
      </c>
      <c r="U703" s="45">
        <f t="shared" si="352"/>
        <v>0.50780935741050992</v>
      </c>
      <c r="V703" s="45">
        <f t="shared" si="353"/>
        <v>1.5047825561621495</v>
      </c>
      <c r="W703" s="45">
        <f t="shared" si="354"/>
        <v>1.4952090912863933</v>
      </c>
      <c r="X703" s="45">
        <f t="shared" si="355"/>
        <v>9.5734648757561658E-3</v>
      </c>
      <c r="Y703" s="45">
        <f t="shared" si="329"/>
        <v>3.3763220426676198E-2</v>
      </c>
      <c r="Z703" s="10">
        <f t="shared" si="356"/>
        <v>18.841952079401889</v>
      </c>
      <c r="AA703">
        <f t="shared" si="334"/>
        <v>6100084.325458399</v>
      </c>
      <c r="AB703" s="10">
        <f t="shared" si="335"/>
        <v>6.1000843254583987</v>
      </c>
      <c r="AC703" s="10">
        <f t="shared" si="336"/>
        <v>5.9990843254583988</v>
      </c>
      <c r="AD703" s="3">
        <f t="shared" si="337"/>
        <v>870.06299136452492</v>
      </c>
      <c r="AI703" s="100">
        <f t="shared" si="338"/>
        <v>1.4952090912863933</v>
      </c>
    </row>
    <row r="704" spans="2:35">
      <c r="B704" s="39">
        <f t="shared" si="339"/>
        <v>676</v>
      </c>
      <c r="C704" s="45">
        <f t="shared" si="340"/>
        <v>19.858513189447198</v>
      </c>
      <c r="D704" s="10">
        <f t="shared" si="341"/>
        <v>4.6414868105530331</v>
      </c>
      <c r="E704" s="40">
        <f t="shared" si="342"/>
        <v>59.717026378893934</v>
      </c>
      <c r="F704" s="40">
        <f t="shared" si="343"/>
        <v>69</v>
      </c>
      <c r="G704" s="3">
        <f t="shared" si="344"/>
        <v>301.13189448442427</v>
      </c>
      <c r="H704" s="3">
        <f t="shared" si="345"/>
        <v>221.47275588995251</v>
      </c>
      <c r="I704">
        <f t="shared" si="330"/>
        <v>2.214727558899525E-4</v>
      </c>
      <c r="J704" s="4">
        <f t="shared" si="346"/>
        <v>3479.4106559571178</v>
      </c>
      <c r="K704" s="40">
        <f t="shared" si="347"/>
        <v>15.7103325958792</v>
      </c>
      <c r="L704" s="40">
        <f t="shared" si="331"/>
        <v>0</v>
      </c>
      <c r="M704" s="10">
        <f t="shared" si="348"/>
        <v>6.1000843254583987</v>
      </c>
      <c r="N704" s="10">
        <f t="shared" si="327"/>
        <v>17.20418640980624</v>
      </c>
      <c r="O704" s="10">
        <f t="shared" si="328"/>
        <v>-0.14810000000000001</v>
      </c>
      <c r="P704" s="10">
        <f t="shared" si="349"/>
        <v>13.162121693511413</v>
      </c>
      <c r="Q704" s="45">
        <f t="shared" si="350"/>
        <v>1.5738688715988713</v>
      </c>
      <c r="R704" s="4">
        <f t="shared" si="351"/>
        <v>282598.43486743304</v>
      </c>
      <c r="S704">
        <f t="shared" si="332"/>
        <v>2.8259843486743303E-4</v>
      </c>
      <c r="T704" s="44">
        <f t="shared" si="333"/>
        <v>1.7937979596145707E-3</v>
      </c>
      <c r="U704" s="45">
        <f t="shared" si="352"/>
        <v>0.50445233616011131</v>
      </c>
      <c r="V704" s="45">
        <f t="shared" si="353"/>
        <v>1.5041112463683939</v>
      </c>
      <c r="W704" s="45">
        <f t="shared" si="354"/>
        <v>1.4945849642347573</v>
      </c>
      <c r="X704" s="45">
        <f t="shared" si="355"/>
        <v>9.5262821336365988E-3</v>
      </c>
      <c r="Y704" s="45">
        <f t="shared" si="329"/>
        <v>3.3784482106380492E-2</v>
      </c>
      <c r="Z704" s="10">
        <f t="shared" si="356"/>
        <v>18.834050917105341</v>
      </c>
      <c r="AA704">
        <f t="shared" si="334"/>
        <v>6097568.6764064124</v>
      </c>
      <c r="AB704" s="10">
        <f t="shared" si="335"/>
        <v>6.0975686764064125</v>
      </c>
      <c r="AC704" s="10">
        <f t="shared" si="336"/>
        <v>5.9965686764064126</v>
      </c>
      <c r="AD704" s="3">
        <f t="shared" si="337"/>
        <v>869.69814016046587</v>
      </c>
      <c r="AI704" s="100">
        <f t="shared" si="338"/>
        <v>1.4945849642347573</v>
      </c>
    </row>
    <row r="705" spans="2:35">
      <c r="B705" s="39">
        <f t="shared" si="339"/>
        <v>677</v>
      </c>
      <c r="C705" s="45">
        <f t="shared" si="340"/>
        <v>19.887889688248155</v>
      </c>
      <c r="D705" s="10">
        <f t="shared" si="341"/>
        <v>4.6121103117520761</v>
      </c>
      <c r="E705" s="40">
        <f t="shared" si="342"/>
        <v>59.775779376495848</v>
      </c>
      <c r="F705" s="40">
        <f t="shared" si="343"/>
        <v>69</v>
      </c>
      <c r="G705" s="3">
        <f t="shared" si="344"/>
        <v>300.89688249401661</v>
      </c>
      <c r="H705" s="3">
        <f t="shared" si="345"/>
        <v>221.47275588995251</v>
      </c>
      <c r="I705">
        <f t="shared" si="330"/>
        <v>2.214727558899525E-4</v>
      </c>
      <c r="J705" s="4">
        <f t="shared" si="346"/>
        <v>3484.9245913033942</v>
      </c>
      <c r="K705" s="40">
        <f t="shared" si="347"/>
        <v>15.735229271427935</v>
      </c>
      <c r="L705" s="40">
        <f t="shared" si="331"/>
        <v>0</v>
      </c>
      <c r="M705" s="10">
        <f t="shared" si="348"/>
        <v>6.0975686764064125</v>
      </c>
      <c r="N705" s="10">
        <f t="shared" si="327"/>
        <v>17.20418640980624</v>
      </c>
      <c r="O705" s="10">
        <f t="shared" si="328"/>
        <v>-0.14810000000000001</v>
      </c>
      <c r="P705" s="10">
        <f t="shared" si="349"/>
        <v>13.162925771192253</v>
      </c>
      <c r="Q705" s="45">
        <f t="shared" si="350"/>
        <v>1.5761006321748712</v>
      </c>
      <c r="R705" s="4">
        <f t="shared" si="351"/>
        <v>280718.76096592768</v>
      </c>
      <c r="S705">
        <f t="shared" si="332"/>
        <v>2.807187609659277E-4</v>
      </c>
      <c r="T705" s="44">
        <f t="shared" si="333"/>
        <v>1.7956776335160761E-3</v>
      </c>
      <c r="U705" s="45">
        <f t="shared" si="352"/>
        <v>0.50109702426222924</v>
      </c>
      <c r="V705" s="45">
        <f t="shared" si="353"/>
        <v>1.5034372118428929</v>
      </c>
      <c r="W705" s="45">
        <f t="shared" si="354"/>
        <v>1.4939582267120934</v>
      </c>
      <c r="X705" s="45">
        <f t="shared" si="355"/>
        <v>9.4789851307994777E-3</v>
      </c>
      <c r="Y705" s="45">
        <f t="shared" si="329"/>
        <v>3.3805636931695901E-2</v>
      </c>
      <c r="Z705" s="10">
        <f t="shared" si="356"/>
        <v>18.826116837854599</v>
      </c>
      <c r="AA705">
        <f t="shared" si="334"/>
        <v>6095042.5469337599</v>
      </c>
      <c r="AB705" s="10">
        <f t="shared" si="335"/>
        <v>6.0950425469337599</v>
      </c>
      <c r="AC705" s="10">
        <f t="shared" si="336"/>
        <v>5.9940425469337599</v>
      </c>
      <c r="AD705" s="3">
        <f t="shared" si="337"/>
        <v>869.33176895340966</v>
      </c>
      <c r="AI705" s="100">
        <f t="shared" si="338"/>
        <v>1.4939582267120934</v>
      </c>
    </row>
    <row r="706" spans="2:35">
      <c r="B706" s="39">
        <f t="shared" si="339"/>
        <v>678</v>
      </c>
      <c r="C706" s="45">
        <f t="shared" si="340"/>
        <v>19.917266187049112</v>
      </c>
      <c r="D706" s="10">
        <f t="shared" si="341"/>
        <v>4.582733812951119</v>
      </c>
      <c r="E706" s="40">
        <f t="shared" si="342"/>
        <v>59.834532374097762</v>
      </c>
      <c r="F706" s="40">
        <f t="shared" si="343"/>
        <v>69</v>
      </c>
      <c r="G706" s="3">
        <f t="shared" si="344"/>
        <v>300.66187050360895</v>
      </c>
      <c r="H706" s="3">
        <f t="shared" si="345"/>
        <v>221.47275588995251</v>
      </c>
      <c r="I706">
        <f t="shared" si="330"/>
        <v>2.214727558899525E-4</v>
      </c>
      <c r="J706" s="4">
        <f t="shared" si="346"/>
        <v>3490.4439489046449</v>
      </c>
      <c r="K706" s="40">
        <f t="shared" si="347"/>
        <v>15.760150429694431</v>
      </c>
      <c r="L706" s="40">
        <f t="shared" si="331"/>
        <v>0</v>
      </c>
      <c r="M706" s="10">
        <f t="shared" si="348"/>
        <v>6.0950425469337599</v>
      </c>
      <c r="N706" s="10">
        <f t="shared" si="327"/>
        <v>17.20418640980624</v>
      </c>
      <c r="O706" s="10">
        <f t="shared" si="328"/>
        <v>-0.14810000000000001</v>
      </c>
      <c r="P706" s="10">
        <f t="shared" si="349"/>
        <v>13.163733582072835</v>
      </c>
      <c r="Q706" s="45">
        <f t="shared" si="350"/>
        <v>1.5783322557957689</v>
      </c>
      <c r="R706" s="4">
        <f t="shared" si="351"/>
        <v>278840.04848094069</v>
      </c>
      <c r="S706">
        <f t="shared" si="332"/>
        <v>2.788400484809407E-4</v>
      </c>
      <c r="T706" s="44">
        <f t="shared" si="333"/>
        <v>1.7975563460010632E-3</v>
      </c>
      <c r="U706" s="45">
        <f t="shared" si="352"/>
        <v>0.4977434285409032</v>
      </c>
      <c r="V706" s="45">
        <f t="shared" si="353"/>
        <v>1.5027604520412092</v>
      </c>
      <c r="W706" s="45">
        <f t="shared" si="354"/>
        <v>1.4933288781444272</v>
      </c>
      <c r="X706" s="45">
        <f t="shared" si="355"/>
        <v>9.4315738967820639E-3</v>
      </c>
      <c r="Y706" s="45">
        <f t="shared" si="329"/>
        <v>3.38266846547862E-2</v>
      </c>
      <c r="Z706" s="10">
        <f t="shared" si="356"/>
        <v>18.818149834378652</v>
      </c>
      <c r="AA706">
        <f t="shared" si="334"/>
        <v>6092505.934725428</v>
      </c>
      <c r="AB706" s="10">
        <f t="shared" si="335"/>
        <v>6.0925059347254278</v>
      </c>
      <c r="AC706" s="10">
        <f t="shared" si="336"/>
        <v>5.9915059347254278</v>
      </c>
      <c r="AD706" s="3">
        <f t="shared" si="337"/>
        <v>868.96387740760372</v>
      </c>
      <c r="AI706" s="100">
        <f t="shared" si="338"/>
        <v>1.4933288781444272</v>
      </c>
    </row>
    <row r="707" spans="2:35">
      <c r="B707" s="39">
        <f t="shared" si="339"/>
        <v>679</v>
      </c>
      <c r="C707" s="45">
        <f t="shared" si="340"/>
        <v>19.946642685850069</v>
      </c>
      <c r="D707" s="10">
        <f t="shared" si="341"/>
        <v>4.553357314150162</v>
      </c>
      <c r="E707" s="40">
        <f t="shared" si="342"/>
        <v>59.893285371699676</v>
      </c>
      <c r="F707" s="40">
        <f t="shared" si="343"/>
        <v>69</v>
      </c>
      <c r="G707" s="3">
        <f t="shared" si="344"/>
        <v>300.4268585132013</v>
      </c>
      <c r="H707" s="3">
        <f t="shared" si="345"/>
        <v>221.47275588995251</v>
      </c>
      <c r="I707">
        <f t="shared" si="330"/>
        <v>2.214727558899525E-4</v>
      </c>
      <c r="J707" s="4">
        <f t="shared" si="346"/>
        <v>3495.9687287608695</v>
      </c>
      <c r="K707" s="40">
        <f t="shared" si="347"/>
        <v>15.785096070678687</v>
      </c>
      <c r="L707" s="40">
        <f t="shared" si="331"/>
        <v>0</v>
      </c>
      <c r="M707" s="10">
        <f t="shared" si="348"/>
        <v>6.0925059347254278</v>
      </c>
      <c r="N707" s="10">
        <f t="shared" si="327"/>
        <v>17.20418640980624</v>
      </c>
      <c r="O707" s="10">
        <f t="shared" si="328"/>
        <v>-0.14810000000000001</v>
      </c>
      <c r="P707" s="10">
        <f t="shared" si="349"/>
        <v>13.164545132019327</v>
      </c>
      <c r="Q707" s="45">
        <f t="shared" si="350"/>
        <v>1.5805637418445733</v>
      </c>
      <c r="R707" s="4">
        <f t="shared" si="351"/>
        <v>276962.3012353573</v>
      </c>
      <c r="S707">
        <f t="shared" si="332"/>
        <v>2.7696230123535731E-4</v>
      </c>
      <c r="T707" s="44">
        <f t="shared" si="333"/>
        <v>1.7994340932466464E-3</v>
      </c>
      <c r="U707" s="45">
        <f t="shared" si="352"/>
        <v>0.49439155582017458</v>
      </c>
      <c r="V707" s="45">
        <f t="shared" si="353"/>
        <v>1.5020809664145087</v>
      </c>
      <c r="W707" s="45">
        <f t="shared" si="354"/>
        <v>1.4926969179550065</v>
      </c>
      <c r="X707" s="45">
        <f t="shared" si="355"/>
        <v>9.3840484595022478E-3</v>
      </c>
      <c r="Y707" s="45">
        <f t="shared" si="329"/>
        <v>3.3847625028004882E-2</v>
      </c>
      <c r="Z707" s="10">
        <f t="shared" si="356"/>
        <v>18.810149899369183</v>
      </c>
      <c r="AA707">
        <f t="shared" si="334"/>
        <v>6089958.837454522</v>
      </c>
      <c r="AB707" s="10">
        <f t="shared" si="335"/>
        <v>6.0899588374545219</v>
      </c>
      <c r="AC707" s="10">
        <f t="shared" si="336"/>
        <v>5.988958837454522</v>
      </c>
      <c r="AD707" s="3">
        <f t="shared" si="337"/>
        <v>868.5944651855724</v>
      </c>
      <c r="AI707" s="100">
        <f t="shared" si="338"/>
        <v>1.4926969179550065</v>
      </c>
    </row>
    <row r="708" spans="2:35">
      <c r="B708" s="39">
        <f t="shared" si="339"/>
        <v>680</v>
      </c>
      <c r="C708" s="45">
        <f t="shared" si="340"/>
        <v>19.976019184651026</v>
      </c>
      <c r="D708" s="10">
        <f t="shared" si="341"/>
        <v>4.5239808153492049</v>
      </c>
      <c r="E708" s="40">
        <f t="shared" si="342"/>
        <v>59.95203836930159</v>
      </c>
      <c r="F708" s="40">
        <f t="shared" si="343"/>
        <v>69</v>
      </c>
      <c r="G708" s="3">
        <f t="shared" si="344"/>
        <v>300.19184652279364</v>
      </c>
      <c r="H708" s="3">
        <f t="shared" si="345"/>
        <v>221.47275588995251</v>
      </c>
      <c r="I708">
        <f t="shared" si="330"/>
        <v>2.214727558899525E-4</v>
      </c>
      <c r="J708" s="4">
        <f t="shared" si="346"/>
        <v>3501.4989308720674</v>
      </c>
      <c r="K708" s="40">
        <f t="shared" si="347"/>
        <v>15.810066194380701</v>
      </c>
      <c r="L708" s="40">
        <f t="shared" si="331"/>
        <v>0</v>
      </c>
      <c r="M708" s="10">
        <f t="shared" si="348"/>
        <v>6.0899588374545219</v>
      </c>
      <c r="N708" s="10">
        <f t="shared" si="327"/>
        <v>17.20418640980624</v>
      </c>
      <c r="O708" s="10">
        <f t="shared" si="328"/>
        <v>-0.14810000000000001</v>
      </c>
      <c r="P708" s="10">
        <f t="shared" si="349"/>
        <v>13.165360426931977</v>
      </c>
      <c r="Q708" s="45">
        <f t="shared" si="350"/>
        <v>1.5827950897035246</v>
      </c>
      <c r="R708" s="4">
        <f t="shared" si="351"/>
        <v>275085.52305206214</v>
      </c>
      <c r="S708">
        <f t="shared" si="332"/>
        <v>2.7508552305206217E-4</v>
      </c>
      <c r="T708" s="44">
        <f t="shared" si="333"/>
        <v>1.8013108714299416E-3</v>
      </c>
      <c r="U708" s="45">
        <f t="shared" si="352"/>
        <v>0.49104141292408354</v>
      </c>
      <c r="V708" s="45">
        <f t="shared" si="353"/>
        <v>1.5013987544127527</v>
      </c>
      <c r="W708" s="45">
        <f t="shared" si="354"/>
        <v>1.4920623455641193</v>
      </c>
      <c r="X708" s="45">
        <f t="shared" si="355"/>
        <v>9.336408848633404E-3</v>
      </c>
      <c r="Y708" s="45">
        <f t="shared" si="329"/>
        <v>3.3868457803899576E-2</v>
      </c>
      <c r="Z708" s="10">
        <f t="shared" si="356"/>
        <v>18.802117025482474</v>
      </c>
      <c r="AA708">
        <f t="shared" si="334"/>
        <v>6087401.2527828766</v>
      </c>
      <c r="AB708" s="10">
        <f t="shared" si="335"/>
        <v>6.0874012527828762</v>
      </c>
      <c r="AC708" s="10">
        <f t="shared" si="336"/>
        <v>5.9864012527828763</v>
      </c>
      <c r="AD708" s="3">
        <f t="shared" si="337"/>
        <v>868.2235319482055</v>
      </c>
      <c r="AI708" s="100">
        <f t="shared" si="338"/>
        <v>1.4920623455641193</v>
      </c>
    </row>
    <row r="709" spans="2:35">
      <c r="B709" s="39">
        <f t="shared" si="339"/>
        <v>681</v>
      </c>
      <c r="C709" s="45">
        <f t="shared" si="340"/>
        <v>20.005395683451983</v>
      </c>
      <c r="D709" s="10">
        <f t="shared" si="341"/>
        <v>4.4946043165482479</v>
      </c>
      <c r="E709" s="40">
        <f t="shared" si="342"/>
        <v>60.010791366903504</v>
      </c>
      <c r="F709" s="40">
        <f t="shared" si="343"/>
        <v>69</v>
      </c>
      <c r="G709" s="3">
        <f t="shared" si="344"/>
        <v>299.95683453238598</v>
      </c>
      <c r="H709" s="3">
        <f t="shared" si="345"/>
        <v>221.47275588995251</v>
      </c>
      <c r="I709">
        <f t="shared" si="330"/>
        <v>2.214727558899525E-4</v>
      </c>
      <c r="J709" s="4">
        <f t="shared" si="346"/>
        <v>3507.03455523824</v>
      </c>
      <c r="K709" s="40">
        <f t="shared" si="347"/>
        <v>15.835060800800477</v>
      </c>
      <c r="L709" s="40">
        <f t="shared" si="331"/>
        <v>0</v>
      </c>
      <c r="M709" s="10">
        <f t="shared" si="348"/>
        <v>6.0874012527828762</v>
      </c>
      <c r="N709" s="10">
        <f t="shared" si="327"/>
        <v>17.20418640980624</v>
      </c>
      <c r="O709" s="10">
        <f t="shared" si="328"/>
        <v>-0.14810000000000001</v>
      </c>
      <c r="P709" s="10">
        <f t="shared" si="349"/>
        <v>13.166179472745059</v>
      </c>
      <c r="Q709" s="45">
        <f t="shared" si="350"/>
        <v>1.58502629875409</v>
      </c>
      <c r="R709" s="4">
        <f t="shared" si="351"/>
        <v>273209.71775393985</v>
      </c>
      <c r="S709">
        <f t="shared" si="332"/>
        <v>2.7320971775393984E-4</v>
      </c>
      <c r="T709" s="44">
        <f t="shared" si="333"/>
        <v>1.803186676728064E-3</v>
      </c>
      <c r="U709" s="45">
        <f t="shared" si="352"/>
        <v>0.48769300667667032</v>
      </c>
      <c r="V709" s="45">
        <f t="shared" si="353"/>
        <v>1.5007138154825646</v>
      </c>
      <c r="W709" s="45">
        <f t="shared" si="354"/>
        <v>1.4914251603892454</v>
      </c>
      <c r="X709" s="45">
        <f t="shared" si="355"/>
        <v>9.2886550933191092E-3</v>
      </c>
      <c r="Y709" s="45">
        <f t="shared" si="329"/>
        <v>3.3889182735211368E-2</v>
      </c>
      <c r="Z709" s="10">
        <f t="shared" si="356"/>
        <v>18.794051205338484</v>
      </c>
      <c r="AA709">
        <f t="shared" si="334"/>
        <v>6084833.1783607649</v>
      </c>
      <c r="AB709" s="10">
        <f t="shared" si="335"/>
        <v>6.084833178360765</v>
      </c>
      <c r="AC709" s="10">
        <f t="shared" si="336"/>
        <v>5.983833178360765</v>
      </c>
      <c r="AD709" s="3">
        <f t="shared" si="337"/>
        <v>867.8510773547157</v>
      </c>
      <c r="AI709" s="100">
        <f t="shared" si="338"/>
        <v>1.4914251603892454</v>
      </c>
    </row>
    <row r="710" spans="2:35">
      <c r="B710" s="39">
        <f t="shared" si="339"/>
        <v>682</v>
      </c>
      <c r="C710" s="45">
        <f t="shared" si="340"/>
        <v>20.03477218225294</v>
      </c>
      <c r="D710" s="10">
        <f t="shared" si="341"/>
        <v>4.4652278177472908</v>
      </c>
      <c r="E710" s="40">
        <f t="shared" si="342"/>
        <v>60.069544364505418</v>
      </c>
      <c r="F710" s="40">
        <f t="shared" si="343"/>
        <v>69</v>
      </c>
      <c r="G710" s="3">
        <f t="shared" si="344"/>
        <v>299.72182254197833</v>
      </c>
      <c r="H710" s="3">
        <f t="shared" si="345"/>
        <v>221.47275588995251</v>
      </c>
      <c r="I710">
        <f t="shared" si="330"/>
        <v>2.214727558899525E-4</v>
      </c>
      <c r="J710" s="4">
        <f t="shared" si="346"/>
        <v>3512.5756018593861</v>
      </c>
      <c r="K710" s="40">
        <f t="shared" si="347"/>
        <v>15.860079889938012</v>
      </c>
      <c r="L710" s="40">
        <f t="shared" si="331"/>
        <v>0</v>
      </c>
      <c r="M710" s="10">
        <f t="shared" si="348"/>
        <v>6.084833178360765</v>
      </c>
      <c r="N710" s="10">
        <f t="shared" si="327"/>
        <v>17.20418640980624</v>
      </c>
      <c r="O710" s="10">
        <f t="shared" si="328"/>
        <v>-0.14810000000000001</v>
      </c>
      <c r="P710" s="10">
        <f t="shared" si="349"/>
        <v>13.167002275427105</v>
      </c>
      <c r="Q710" s="45">
        <f t="shared" si="350"/>
        <v>1.5872573683769593</v>
      </c>
      <c r="R710" s="4">
        <f t="shared" si="351"/>
        <v>271334.88916387543</v>
      </c>
      <c r="S710">
        <f t="shared" si="332"/>
        <v>2.7133488916387542E-4</v>
      </c>
      <c r="T710" s="44">
        <f t="shared" si="333"/>
        <v>1.8050615053181284E-3</v>
      </c>
      <c r="U710" s="45">
        <f t="shared" si="352"/>
        <v>0.48434634390197584</v>
      </c>
      <c r="V710" s="45">
        <f t="shared" si="353"/>
        <v>1.5000261490676332</v>
      </c>
      <c r="W710" s="45">
        <f t="shared" si="354"/>
        <v>1.4907853618449853</v>
      </c>
      <c r="X710" s="45">
        <f t="shared" si="355"/>
        <v>9.2407872226478727E-3</v>
      </c>
      <c r="Y710" s="45">
        <f t="shared" si="329"/>
        <v>3.3909799574875214E-2</v>
      </c>
      <c r="Z710" s="10">
        <f t="shared" si="356"/>
        <v>18.785952431520535</v>
      </c>
      <c r="AA710">
        <f t="shared" si="334"/>
        <v>6082254.6118267905</v>
      </c>
      <c r="AB710" s="10">
        <f t="shared" si="335"/>
        <v>6.0822546118267908</v>
      </c>
      <c r="AC710" s="10">
        <f t="shared" si="336"/>
        <v>5.9812546118267909</v>
      </c>
      <c r="AD710" s="3">
        <f t="shared" si="337"/>
        <v>867.47710106262366</v>
      </c>
      <c r="AI710" s="100">
        <f t="shared" si="338"/>
        <v>1.4907853618449853</v>
      </c>
    </row>
    <row r="711" spans="2:35">
      <c r="B711" s="39">
        <f t="shared" si="339"/>
        <v>683</v>
      </c>
      <c r="C711" s="45">
        <f t="shared" si="340"/>
        <v>20.064148681053897</v>
      </c>
      <c r="D711" s="10">
        <f t="shared" si="341"/>
        <v>4.4358513189463338</v>
      </c>
      <c r="E711" s="40">
        <f t="shared" si="342"/>
        <v>60.128297362107332</v>
      </c>
      <c r="F711" s="40">
        <f t="shared" si="343"/>
        <v>69</v>
      </c>
      <c r="G711" s="3">
        <f t="shared" si="344"/>
        <v>299.48681055157067</v>
      </c>
      <c r="H711" s="3">
        <f t="shared" si="345"/>
        <v>221.47275588995251</v>
      </c>
      <c r="I711">
        <f t="shared" si="330"/>
        <v>2.214727558899525E-4</v>
      </c>
      <c r="J711" s="4">
        <f t="shared" si="346"/>
        <v>3518.122070735506</v>
      </c>
      <c r="K711" s="40">
        <f t="shared" si="347"/>
        <v>15.885123461793304</v>
      </c>
      <c r="L711" s="40">
        <f t="shared" si="331"/>
        <v>0</v>
      </c>
      <c r="M711" s="10">
        <f t="shared" si="348"/>
        <v>6.0822546118267908</v>
      </c>
      <c r="N711" s="10">
        <f t="shared" si="327"/>
        <v>17.20418640980624</v>
      </c>
      <c r="O711" s="10">
        <f t="shared" si="328"/>
        <v>-0.14810000000000001</v>
      </c>
      <c r="P711" s="10">
        <f t="shared" si="349"/>
        <v>13.167828840981073</v>
      </c>
      <c r="Q711" s="45">
        <f t="shared" si="350"/>
        <v>1.5894882979520411</v>
      </c>
      <c r="R711" s="4">
        <f t="shared" si="351"/>
        <v>269461.04110475368</v>
      </c>
      <c r="S711">
        <f t="shared" si="332"/>
        <v>2.6946104110475369E-4</v>
      </c>
      <c r="T711" s="44">
        <f t="shared" si="333"/>
        <v>1.8069353533772502E-3</v>
      </c>
      <c r="U711" s="45">
        <f t="shared" si="352"/>
        <v>0.48100143142404056</v>
      </c>
      <c r="V711" s="45">
        <f t="shared" si="353"/>
        <v>1.4993357546092443</v>
      </c>
      <c r="W711" s="45">
        <f t="shared" si="354"/>
        <v>1.4901429493430305</v>
      </c>
      <c r="X711" s="45">
        <f t="shared" si="355"/>
        <v>9.1928052662137993E-3</v>
      </c>
      <c r="Y711" s="45">
        <f t="shared" si="329"/>
        <v>3.3930308076021577E-2</v>
      </c>
      <c r="Z711" s="10">
        <f t="shared" si="356"/>
        <v>18.777820696575656</v>
      </c>
      <c r="AA711">
        <f t="shared" si="334"/>
        <v>6079665.550808005</v>
      </c>
      <c r="AB711" s="10">
        <f t="shared" si="335"/>
        <v>6.0796655508080049</v>
      </c>
      <c r="AC711" s="10">
        <f t="shared" si="336"/>
        <v>5.9786655508080049</v>
      </c>
      <c r="AD711" s="3">
        <f t="shared" si="337"/>
        <v>867.10160272777443</v>
      </c>
      <c r="AI711" s="100">
        <f t="shared" si="338"/>
        <v>1.4901429493430305</v>
      </c>
    </row>
    <row r="712" spans="2:35">
      <c r="B712" s="39">
        <f t="shared" si="339"/>
        <v>684</v>
      </c>
      <c r="C712" s="45">
        <f t="shared" si="340"/>
        <v>20.093525179854854</v>
      </c>
      <c r="D712" s="10">
        <f t="shared" si="341"/>
        <v>4.4064748201453767</v>
      </c>
      <c r="E712" s="40">
        <f t="shared" si="342"/>
        <v>60.187050359709247</v>
      </c>
      <c r="F712" s="40">
        <f t="shared" si="343"/>
        <v>69</v>
      </c>
      <c r="G712" s="3">
        <f t="shared" si="344"/>
        <v>299.25179856116301</v>
      </c>
      <c r="H712" s="3">
        <f t="shared" si="345"/>
        <v>221.47275588995251</v>
      </c>
      <c r="I712">
        <f t="shared" si="330"/>
        <v>2.214727558899525E-4</v>
      </c>
      <c r="J712" s="4">
        <f t="shared" si="346"/>
        <v>3523.6739618666006</v>
      </c>
      <c r="K712" s="40">
        <f t="shared" si="347"/>
        <v>15.910191516366362</v>
      </c>
      <c r="L712" s="40">
        <f t="shared" si="331"/>
        <v>0</v>
      </c>
      <c r="M712" s="10">
        <f t="shared" si="348"/>
        <v>6.0796655508080049</v>
      </c>
      <c r="N712" s="10">
        <f t="shared" si="327"/>
        <v>17.20418640980624</v>
      </c>
      <c r="O712" s="10">
        <f t="shared" si="328"/>
        <v>-0.14810000000000001</v>
      </c>
      <c r="P712" s="10">
        <f t="shared" si="349"/>
        <v>13.168659175444455</v>
      </c>
      <c r="Q712" s="45">
        <f t="shared" si="350"/>
        <v>1.5917190868584572</v>
      </c>
      <c r="R712" s="4">
        <f t="shared" si="351"/>
        <v>267588.17739945924</v>
      </c>
      <c r="S712">
        <f t="shared" si="332"/>
        <v>2.6758817739945924E-4</v>
      </c>
      <c r="T712" s="44">
        <f t="shared" si="333"/>
        <v>1.8088082170825445E-3</v>
      </c>
      <c r="U712" s="45">
        <f t="shared" si="352"/>
        <v>0.4776582760669047</v>
      </c>
      <c r="V712" s="45">
        <f t="shared" si="353"/>
        <v>1.4986426315463333</v>
      </c>
      <c r="W712" s="45">
        <f t="shared" si="354"/>
        <v>1.4894979222921949</v>
      </c>
      <c r="X712" s="45">
        <f t="shared" si="355"/>
        <v>9.1447092541383501E-3</v>
      </c>
      <c r="Y712" s="45">
        <f t="shared" si="329"/>
        <v>3.3950707991978107E-2</v>
      </c>
      <c r="Z712" s="10">
        <f t="shared" si="356"/>
        <v>18.769655993014972</v>
      </c>
      <c r="AA712">
        <f t="shared" si="334"/>
        <v>6077065.9929200271</v>
      </c>
      <c r="AB712" s="10">
        <f t="shared" si="335"/>
        <v>6.0770659929200272</v>
      </c>
      <c r="AC712" s="10">
        <f t="shared" si="336"/>
        <v>5.9760659929200273</v>
      </c>
      <c r="AD712" s="3">
        <f t="shared" si="337"/>
        <v>866.72458200435494</v>
      </c>
      <c r="AI712" s="100">
        <f t="shared" si="338"/>
        <v>1.4894979222921949</v>
      </c>
    </row>
    <row r="713" spans="2:35">
      <c r="B713" s="39">
        <f t="shared" si="339"/>
        <v>685</v>
      </c>
      <c r="C713" s="45">
        <f t="shared" si="340"/>
        <v>20.122901678655811</v>
      </c>
      <c r="D713" s="10">
        <f t="shared" si="341"/>
        <v>4.3770983213444197</v>
      </c>
      <c r="E713" s="40">
        <f t="shared" si="342"/>
        <v>60.245803357311161</v>
      </c>
      <c r="F713" s="40">
        <f t="shared" si="343"/>
        <v>69</v>
      </c>
      <c r="G713" s="3">
        <f t="shared" si="344"/>
        <v>299.01678657075536</v>
      </c>
      <c r="H713" s="3">
        <f t="shared" si="345"/>
        <v>221.47275588995251</v>
      </c>
      <c r="I713">
        <f t="shared" si="330"/>
        <v>2.214727558899525E-4</v>
      </c>
      <c r="J713" s="4">
        <f t="shared" si="346"/>
        <v>3529.2312752526682</v>
      </c>
      <c r="K713" s="40">
        <f t="shared" si="347"/>
        <v>15.935284053657174</v>
      </c>
      <c r="L713" s="40">
        <f t="shared" si="331"/>
        <v>0</v>
      </c>
      <c r="M713" s="10">
        <f t="shared" si="348"/>
        <v>6.0770659929200272</v>
      </c>
      <c r="N713" s="10">
        <f t="shared" si="327"/>
        <v>17.20418640980624</v>
      </c>
      <c r="O713" s="10">
        <f t="shared" si="328"/>
        <v>-0.14810000000000001</v>
      </c>
      <c r="P713" s="10">
        <f t="shared" si="349"/>
        <v>13.169493284889366</v>
      </c>
      <c r="Q713" s="45">
        <f t="shared" si="350"/>
        <v>1.5939497344745401</v>
      </c>
      <c r="R713" s="4">
        <f t="shared" si="351"/>
        <v>265716.30187087721</v>
      </c>
      <c r="S713">
        <f t="shared" si="332"/>
        <v>2.6571630187087719E-4</v>
      </c>
      <c r="T713" s="44">
        <f t="shared" si="333"/>
        <v>1.8106800926111265E-3</v>
      </c>
      <c r="U713" s="45">
        <f t="shared" si="352"/>
        <v>0.47431688465460936</v>
      </c>
      <c r="V713" s="45">
        <f t="shared" si="353"/>
        <v>1.4979467793137529</v>
      </c>
      <c r="W713" s="45">
        <f t="shared" si="354"/>
        <v>1.4888502800984451</v>
      </c>
      <c r="X713" s="45">
        <f t="shared" si="355"/>
        <v>9.0964992153077517E-3</v>
      </c>
      <c r="Y713" s="45">
        <f t="shared" si="329"/>
        <v>3.3970999076267432E-2</v>
      </c>
      <c r="Z713" s="10">
        <f t="shared" si="356"/>
        <v>18.761458313311927</v>
      </c>
      <c r="AA713">
        <f t="shared" si="334"/>
        <v>6074455.9357664781</v>
      </c>
      <c r="AB713" s="10">
        <f t="shared" si="335"/>
        <v>6.074455935766478</v>
      </c>
      <c r="AC713" s="10">
        <f t="shared" si="336"/>
        <v>5.973455935766478</v>
      </c>
      <c r="AD713" s="3">
        <f t="shared" si="337"/>
        <v>866.3460385448119</v>
      </c>
      <c r="AI713" s="100">
        <f t="shared" si="338"/>
        <v>1.4888502800984451</v>
      </c>
    </row>
    <row r="714" spans="2:35">
      <c r="B714" s="39">
        <f t="shared" si="339"/>
        <v>686</v>
      </c>
      <c r="C714" s="45">
        <f t="shared" si="340"/>
        <v>20.152278177456768</v>
      </c>
      <c r="D714" s="10">
        <f t="shared" si="341"/>
        <v>4.3477218225434626</v>
      </c>
      <c r="E714" s="40">
        <f t="shared" si="342"/>
        <v>60.304556354913075</v>
      </c>
      <c r="F714" s="40">
        <f t="shared" si="343"/>
        <v>69</v>
      </c>
      <c r="G714" s="3">
        <f t="shared" si="344"/>
        <v>298.7817745803477</v>
      </c>
      <c r="H714" s="3">
        <f t="shared" si="345"/>
        <v>221.47275588995251</v>
      </c>
      <c r="I714">
        <f t="shared" si="330"/>
        <v>2.214727558899525E-4</v>
      </c>
      <c r="J714" s="4">
        <f t="shared" si="346"/>
        <v>3534.79401089371</v>
      </c>
      <c r="K714" s="40">
        <f t="shared" si="347"/>
        <v>15.960401073665748</v>
      </c>
      <c r="L714" s="40">
        <f t="shared" si="331"/>
        <v>0</v>
      </c>
      <c r="M714" s="10">
        <f t="shared" si="348"/>
        <v>6.074455935766478</v>
      </c>
      <c r="N714" s="10">
        <f t="shared" si="327"/>
        <v>17.20418640980624</v>
      </c>
      <c r="O714" s="10">
        <f t="shared" si="328"/>
        <v>-0.14810000000000001</v>
      </c>
      <c r="P714" s="10">
        <f t="shared" si="349"/>
        <v>13.17033117542287</v>
      </c>
      <c r="Q714" s="45">
        <f t="shared" si="350"/>
        <v>1.5961802401778271</v>
      </c>
      <c r="R714" s="4">
        <f t="shared" si="351"/>
        <v>263845.41834189207</v>
      </c>
      <c r="S714">
        <f t="shared" si="332"/>
        <v>2.6384541834189207E-4</v>
      </c>
      <c r="T714" s="44">
        <f t="shared" si="333"/>
        <v>1.8125509761401117E-3</v>
      </c>
      <c r="U714" s="45">
        <f t="shared" si="352"/>
        <v>0.47097726401119444</v>
      </c>
      <c r="V714" s="45">
        <f t="shared" si="353"/>
        <v>1.4972481973453367</v>
      </c>
      <c r="W714" s="45">
        <f t="shared" si="354"/>
        <v>1.4882000221647578</v>
      </c>
      <c r="X714" s="45">
        <f t="shared" si="355"/>
        <v>9.0481751805788768E-3</v>
      </c>
      <c r="Y714" s="45">
        <f t="shared" si="329"/>
        <v>3.3991181082612051E-2</v>
      </c>
      <c r="Z714" s="10">
        <f t="shared" si="356"/>
        <v>18.753227649904453</v>
      </c>
      <c r="AA714">
        <f t="shared" si="334"/>
        <v>6071835.3769396739</v>
      </c>
      <c r="AB714" s="10">
        <f t="shared" si="335"/>
        <v>6.0718353769396742</v>
      </c>
      <c r="AC714" s="10">
        <f t="shared" si="336"/>
        <v>5.9708353769396743</v>
      </c>
      <c r="AD714" s="3">
        <f t="shared" si="337"/>
        <v>865.96597199995267</v>
      </c>
      <c r="AI714" s="100">
        <f t="shared" si="338"/>
        <v>1.4882000221647578</v>
      </c>
    </row>
    <row r="715" spans="2:35">
      <c r="B715" s="39">
        <f t="shared" si="339"/>
        <v>687</v>
      </c>
      <c r="C715" s="45">
        <f t="shared" si="340"/>
        <v>20.181654676257725</v>
      </c>
      <c r="D715" s="10">
        <f t="shared" si="341"/>
        <v>4.3183453237425056</v>
      </c>
      <c r="E715" s="40">
        <f t="shared" si="342"/>
        <v>60.363309352514989</v>
      </c>
      <c r="F715" s="40">
        <f t="shared" si="343"/>
        <v>69</v>
      </c>
      <c r="G715" s="3">
        <f t="shared" si="344"/>
        <v>298.54676258994004</v>
      </c>
      <c r="H715" s="3">
        <f t="shared" si="345"/>
        <v>221.47275588995251</v>
      </c>
      <c r="I715">
        <f t="shared" si="330"/>
        <v>2.214727558899525E-4</v>
      </c>
      <c r="J715" s="4">
        <f t="shared" si="346"/>
        <v>3540.3621687897257</v>
      </c>
      <c r="K715" s="40">
        <f t="shared" si="347"/>
        <v>15.98554257639208</v>
      </c>
      <c r="L715" s="40">
        <f t="shared" si="331"/>
        <v>0</v>
      </c>
      <c r="M715" s="10">
        <f t="shared" si="348"/>
        <v>6.0718353769396742</v>
      </c>
      <c r="N715" s="10">
        <f t="shared" si="327"/>
        <v>17.20418640980624</v>
      </c>
      <c r="O715" s="10">
        <f t="shared" si="328"/>
        <v>-0.14810000000000001</v>
      </c>
      <c r="P715" s="10">
        <f t="shared" si="349"/>
        <v>13.17117285318691</v>
      </c>
      <c r="Q715" s="45">
        <f t="shared" si="350"/>
        <v>1.5984106033450565</v>
      </c>
      <c r="R715" s="4">
        <f t="shared" si="351"/>
        <v>261975.5306353888</v>
      </c>
      <c r="S715">
        <f t="shared" si="332"/>
        <v>2.6197553063538878E-4</v>
      </c>
      <c r="T715" s="44">
        <f t="shared" si="333"/>
        <v>1.8144208638466151E-3</v>
      </c>
      <c r="U715" s="45">
        <f t="shared" si="352"/>
        <v>0.46763942096070077</v>
      </c>
      <c r="V715" s="45">
        <f t="shared" si="353"/>
        <v>1.4965468850707719</v>
      </c>
      <c r="W715" s="45">
        <f t="shared" si="354"/>
        <v>1.4875471478912938</v>
      </c>
      <c r="X715" s="45">
        <f t="shared" si="355"/>
        <v>8.9997371794781067E-3</v>
      </c>
      <c r="Y715" s="45">
        <f t="shared" si="329"/>
        <v>3.4011253764931901E-2</v>
      </c>
      <c r="Z715" s="10">
        <f t="shared" si="356"/>
        <v>18.744963995193068</v>
      </c>
      <c r="AA715">
        <f t="shared" si="334"/>
        <v>6069204.3140200172</v>
      </c>
      <c r="AB715" s="10">
        <f t="shared" si="335"/>
        <v>6.0692043140200171</v>
      </c>
      <c r="AC715" s="10">
        <f t="shared" si="336"/>
        <v>5.9682043140200172</v>
      </c>
      <c r="AD715" s="3">
        <f t="shared" si="337"/>
        <v>865.58438201885679</v>
      </c>
      <c r="AI715" s="100">
        <f t="shared" si="338"/>
        <v>1.4875471478912938</v>
      </c>
    </row>
    <row r="716" spans="2:35">
      <c r="B716" s="39">
        <f t="shared" si="339"/>
        <v>688</v>
      </c>
      <c r="C716" s="45">
        <f t="shared" si="340"/>
        <v>20.211031175058682</v>
      </c>
      <c r="D716" s="10">
        <f t="shared" si="341"/>
        <v>4.2889688249415485</v>
      </c>
      <c r="E716" s="40">
        <f t="shared" si="342"/>
        <v>60.422062350116903</v>
      </c>
      <c r="F716" s="40">
        <f t="shared" si="343"/>
        <v>69</v>
      </c>
      <c r="G716" s="3">
        <f t="shared" si="344"/>
        <v>298.31175059953239</v>
      </c>
      <c r="H716" s="3">
        <f t="shared" si="345"/>
        <v>221.47275588995251</v>
      </c>
      <c r="I716">
        <f t="shared" si="330"/>
        <v>2.214727558899525E-4</v>
      </c>
      <c r="J716" s="4">
        <f t="shared" si="346"/>
        <v>3545.9357489407157</v>
      </c>
      <c r="K716" s="40">
        <f t="shared" si="347"/>
        <v>16.010708561836175</v>
      </c>
      <c r="L716" s="40">
        <f t="shared" si="331"/>
        <v>0</v>
      </c>
      <c r="M716" s="10">
        <f t="shared" si="348"/>
        <v>6.0692043140200171</v>
      </c>
      <c r="N716" s="10">
        <f t="shared" si="327"/>
        <v>17.20418640980624</v>
      </c>
      <c r="O716" s="10">
        <f t="shared" si="328"/>
        <v>-0.14810000000000001</v>
      </c>
      <c r="P716" s="10">
        <f t="shared" si="349"/>
        <v>13.172018324358632</v>
      </c>
      <c r="Q716" s="45">
        <f t="shared" si="350"/>
        <v>1.600640823352163</v>
      </c>
      <c r="R716" s="4">
        <f t="shared" si="351"/>
        <v>260106.64257425212</v>
      </c>
      <c r="S716">
        <f t="shared" si="332"/>
        <v>2.6010664257425213E-4</v>
      </c>
      <c r="T716" s="44">
        <f t="shared" si="333"/>
        <v>1.8162897519077518E-3</v>
      </c>
      <c r="U716" s="45">
        <f t="shared" si="352"/>
        <v>0.46430336232716873</v>
      </c>
      <c r="V716" s="45">
        <f t="shared" si="353"/>
        <v>1.4958428419177694</v>
      </c>
      <c r="W716" s="45">
        <f t="shared" si="354"/>
        <v>1.486891656675245</v>
      </c>
      <c r="X716" s="45">
        <f t="shared" si="355"/>
        <v>8.9511852425243621E-3</v>
      </c>
      <c r="Y716" s="45">
        <f t="shared" si="329"/>
        <v>3.4031216877347094E-2</v>
      </c>
      <c r="Z716" s="10">
        <f t="shared" si="356"/>
        <v>18.736667341541835</v>
      </c>
      <c r="AA716">
        <f t="shared" si="334"/>
        <v>6066562.7445763033</v>
      </c>
      <c r="AB716" s="10">
        <f t="shared" si="335"/>
        <v>6.0665627445763031</v>
      </c>
      <c r="AC716" s="10">
        <f t="shared" si="336"/>
        <v>5.9655627445763031</v>
      </c>
      <c r="AD716" s="3">
        <f t="shared" si="337"/>
        <v>865.20126824891997</v>
      </c>
      <c r="AI716" s="100">
        <f t="shared" si="338"/>
        <v>1.486891656675245</v>
      </c>
    </row>
    <row r="717" spans="2:35">
      <c r="B717" s="39">
        <f t="shared" si="339"/>
        <v>689</v>
      </c>
      <c r="C717" s="45">
        <f t="shared" si="340"/>
        <v>20.240407673859639</v>
      </c>
      <c r="D717" s="10">
        <f t="shared" si="341"/>
        <v>4.2595923261405915</v>
      </c>
      <c r="E717" s="40">
        <f t="shared" si="342"/>
        <v>60.480815347718817</v>
      </c>
      <c r="F717" s="40">
        <f t="shared" si="343"/>
        <v>69</v>
      </c>
      <c r="G717" s="3">
        <f t="shared" si="344"/>
        <v>298.07673860912473</v>
      </c>
      <c r="H717" s="3">
        <f t="shared" si="345"/>
        <v>221.47275588995251</v>
      </c>
      <c r="I717">
        <f t="shared" si="330"/>
        <v>2.214727558899525E-4</v>
      </c>
      <c r="J717" s="4">
        <f t="shared" si="346"/>
        <v>3551.5147513466791</v>
      </c>
      <c r="K717" s="40">
        <f t="shared" si="347"/>
        <v>16.035899029998028</v>
      </c>
      <c r="L717" s="40">
        <f t="shared" si="331"/>
        <v>0</v>
      </c>
      <c r="M717" s="10">
        <f t="shared" si="348"/>
        <v>6.0665627445763031</v>
      </c>
      <c r="N717" s="10">
        <f t="shared" si="327"/>
        <v>17.20418640980624</v>
      </c>
      <c r="O717" s="10">
        <f t="shared" si="328"/>
        <v>-0.14810000000000001</v>
      </c>
      <c r="P717" s="10">
        <f t="shared" si="349"/>
        <v>13.172867595150432</v>
      </c>
      <c r="Q717" s="45">
        <f t="shared" si="350"/>
        <v>1.6028708995742738</v>
      </c>
      <c r="R717" s="4">
        <f t="shared" si="351"/>
        <v>258238.75798136694</v>
      </c>
      <c r="S717">
        <f t="shared" si="332"/>
        <v>2.5823875798136695E-4</v>
      </c>
      <c r="T717" s="44">
        <f t="shared" si="333"/>
        <v>1.8181576365006369E-3</v>
      </c>
      <c r="U717" s="45">
        <f t="shared" si="352"/>
        <v>0.46096909493463906</v>
      </c>
      <c r="V717" s="45">
        <f t="shared" si="353"/>
        <v>1.4951360673106253</v>
      </c>
      <c r="W717" s="45">
        <f t="shared" si="354"/>
        <v>1.4862335479109119</v>
      </c>
      <c r="X717" s="45">
        <f t="shared" si="355"/>
        <v>8.9025193997134267E-3</v>
      </c>
      <c r="Y717" s="45">
        <f t="shared" si="329"/>
        <v>3.4051070174177273E-2</v>
      </c>
      <c r="Z717" s="10">
        <f t="shared" si="356"/>
        <v>18.728337681277477</v>
      </c>
      <c r="AA717">
        <f t="shared" si="334"/>
        <v>6063910.6661654394</v>
      </c>
      <c r="AB717" s="10">
        <f t="shared" si="335"/>
        <v>6.0639106661654392</v>
      </c>
      <c r="AC717" s="10">
        <f t="shared" si="336"/>
        <v>5.9629106661654392</v>
      </c>
      <c r="AD717" s="3">
        <f t="shared" si="337"/>
        <v>864.81663033581424</v>
      </c>
      <c r="AI717" s="100">
        <f t="shared" si="338"/>
        <v>1.4862335479109119</v>
      </c>
    </row>
    <row r="718" spans="2:35">
      <c r="B718" s="39">
        <f t="shared" si="339"/>
        <v>690</v>
      </c>
      <c r="C718" s="45">
        <f t="shared" si="340"/>
        <v>20.269784172660597</v>
      </c>
      <c r="D718" s="10">
        <f t="shared" si="341"/>
        <v>4.2302158273396344</v>
      </c>
      <c r="E718" s="40">
        <f t="shared" si="342"/>
        <v>60.539568345320731</v>
      </c>
      <c r="F718" s="40">
        <f t="shared" si="343"/>
        <v>69</v>
      </c>
      <c r="G718" s="3">
        <f t="shared" si="344"/>
        <v>297.84172661871708</v>
      </c>
      <c r="H718" s="3">
        <f t="shared" si="345"/>
        <v>221.47275588995251</v>
      </c>
      <c r="I718">
        <f t="shared" si="330"/>
        <v>2.214727558899525E-4</v>
      </c>
      <c r="J718" s="4">
        <f t="shared" si="346"/>
        <v>3557.0991760076167</v>
      </c>
      <c r="K718" s="40">
        <f t="shared" si="347"/>
        <v>16.061113980877639</v>
      </c>
      <c r="L718" s="40">
        <f t="shared" si="331"/>
        <v>0</v>
      </c>
      <c r="M718" s="10">
        <f t="shared" si="348"/>
        <v>6.0639106661654392</v>
      </c>
      <c r="N718" s="10">
        <f t="shared" si="327"/>
        <v>17.20418640980624</v>
      </c>
      <c r="O718" s="10">
        <f t="shared" si="328"/>
        <v>-0.14810000000000001</v>
      </c>
      <c r="P718" s="10">
        <f t="shared" si="349"/>
        <v>13.173720671810194</v>
      </c>
      <c r="Q718" s="45">
        <f t="shared" si="350"/>
        <v>1.6051008313857034</v>
      </c>
      <c r="R718" s="4">
        <f t="shared" si="351"/>
        <v>256371.88067961799</v>
      </c>
      <c r="S718">
        <f t="shared" si="332"/>
        <v>2.5637188067961797E-4</v>
      </c>
      <c r="T718" s="44">
        <f t="shared" si="333"/>
        <v>1.8200245138023858E-3</v>
      </c>
      <c r="U718" s="45">
        <f t="shared" si="352"/>
        <v>0.45763662560715207</v>
      </c>
      <c r="V718" s="45">
        <f t="shared" si="353"/>
        <v>1.4944265606716205</v>
      </c>
      <c r="W718" s="45">
        <f t="shared" si="354"/>
        <v>1.4855728209896333</v>
      </c>
      <c r="X718" s="45">
        <f t="shared" si="355"/>
        <v>8.8537396819872161E-3</v>
      </c>
      <c r="Y718" s="45">
        <f t="shared" si="329"/>
        <v>3.4070813409944251E-2</v>
      </c>
      <c r="Z718" s="10">
        <f t="shared" si="356"/>
        <v>18.719975006690259</v>
      </c>
      <c r="AA718">
        <f t="shared" si="334"/>
        <v>6061248.0763327265</v>
      </c>
      <c r="AB718" s="10">
        <f t="shared" si="335"/>
        <v>6.0612480763327268</v>
      </c>
      <c r="AC718" s="10">
        <f t="shared" si="336"/>
        <v>5.9602480763327268</v>
      </c>
      <c r="AD718" s="3">
        <f t="shared" si="337"/>
        <v>864.43046792352811</v>
      </c>
      <c r="AI718" s="100">
        <f t="shared" si="338"/>
        <v>1.4855728209896333</v>
      </c>
    </row>
    <row r="719" spans="2:35">
      <c r="B719" s="39">
        <f t="shared" si="339"/>
        <v>691</v>
      </c>
      <c r="C719" s="45">
        <f t="shared" si="340"/>
        <v>20.299160671461554</v>
      </c>
      <c r="D719" s="10">
        <f t="shared" si="341"/>
        <v>4.2008393285386774</v>
      </c>
      <c r="E719" s="40">
        <f t="shared" si="342"/>
        <v>60.598321342922645</v>
      </c>
      <c r="F719" s="40">
        <f t="shared" si="343"/>
        <v>69</v>
      </c>
      <c r="G719" s="3">
        <f t="shared" si="344"/>
        <v>297.60671462830942</v>
      </c>
      <c r="H719" s="3">
        <f t="shared" si="345"/>
        <v>221.47275588995251</v>
      </c>
      <c r="I719">
        <f t="shared" si="330"/>
        <v>2.214727558899525E-4</v>
      </c>
      <c r="J719" s="4">
        <f t="shared" si="346"/>
        <v>3562.6890229235278</v>
      </c>
      <c r="K719" s="40">
        <f t="shared" si="347"/>
        <v>16.08635341447501</v>
      </c>
      <c r="L719" s="40">
        <f t="shared" si="331"/>
        <v>0</v>
      </c>
      <c r="M719" s="10">
        <f t="shared" si="348"/>
        <v>6.0612480763327268</v>
      </c>
      <c r="N719" s="10">
        <f t="shared" si="327"/>
        <v>17.20418640980624</v>
      </c>
      <c r="O719" s="10">
        <f t="shared" si="328"/>
        <v>-0.14810000000000001</v>
      </c>
      <c r="P719" s="10">
        <f t="shared" si="349"/>
        <v>13.17457756062135</v>
      </c>
      <c r="Q719" s="45">
        <f t="shared" si="350"/>
        <v>1.6073306181599498</v>
      </c>
      <c r="R719" s="4">
        <f t="shared" si="351"/>
        <v>254506.01449189</v>
      </c>
      <c r="S719">
        <f t="shared" si="332"/>
        <v>2.5450601449188999E-4</v>
      </c>
      <c r="T719" s="44">
        <f t="shared" si="333"/>
        <v>1.8218903799901139E-3</v>
      </c>
      <c r="U719" s="45">
        <f t="shared" si="352"/>
        <v>0.45430596116874827</v>
      </c>
      <c r="V719" s="45">
        <f t="shared" si="353"/>
        <v>1.4937143214195339</v>
      </c>
      <c r="W719" s="45">
        <f t="shared" si="354"/>
        <v>1.4849094752998575</v>
      </c>
      <c r="X719" s="45">
        <f t="shared" si="355"/>
        <v>8.8048461196763572E-3</v>
      </c>
      <c r="Y719" s="45">
        <f t="shared" si="329"/>
        <v>3.409044633937118E-2</v>
      </c>
      <c r="Z719" s="10">
        <f t="shared" si="356"/>
        <v>18.711579310033002</v>
      </c>
      <c r="AA719">
        <f t="shared" si="334"/>
        <v>6058574.97261154</v>
      </c>
      <c r="AB719" s="10">
        <f t="shared" si="335"/>
        <v>6.0585749726115399</v>
      </c>
      <c r="AC719" s="10">
        <f t="shared" si="336"/>
        <v>5.9575749726115399</v>
      </c>
      <c r="AD719" s="3">
        <f t="shared" si="337"/>
        <v>864.0427806543205</v>
      </c>
      <c r="AI719" s="100">
        <f t="shared" si="338"/>
        <v>1.4849094752998575</v>
      </c>
    </row>
    <row r="720" spans="2:35">
      <c r="B720" s="39">
        <f t="shared" si="339"/>
        <v>692</v>
      </c>
      <c r="C720" s="45">
        <f t="shared" si="340"/>
        <v>20.328537170262511</v>
      </c>
      <c r="D720" s="10">
        <f t="shared" si="341"/>
        <v>4.1714628297377203</v>
      </c>
      <c r="E720" s="40">
        <f t="shared" si="342"/>
        <v>60.657074340524559</v>
      </c>
      <c r="F720" s="40">
        <f t="shared" si="343"/>
        <v>69</v>
      </c>
      <c r="G720" s="3">
        <f t="shared" si="344"/>
        <v>297.37170263790176</v>
      </c>
      <c r="H720" s="3">
        <f t="shared" si="345"/>
        <v>221.47275588995251</v>
      </c>
      <c r="I720">
        <f t="shared" si="330"/>
        <v>2.214727558899525E-4</v>
      </c>
      <c r="J720" s="4">
        <f t="shared" si="346"/>
        <v>3568.2842920944131</v>
      </c>
      <c r="K720" s="40">
        <f t="shared" si="347"/>
        <v>16.111617330790139</v>
      </c>
      <c r="L720" s="40">
        <f t="shared" si="331"/>
        <v>0</v>
      </c>
      <c r="M720" s="10">
        <f t="shared" si="348"/>
        <v>6.0585749726115399</v>
      </c>
      <c r="N720" s="10">
        <f t="shared" si="327"/>
        <v>17.20418640980624</v>
      </c>
      <c r="O720" s="10">
        <f t="shared" si="328"/>
        <v>-0.14810000000000001</v>
      </c>
      <c r="P720" s="10">
        <f t="shared" si="349"/>
        <v>13.175438267903113</v>
      </c>
      <c r="Q720" s="45">
        <f t="shared" si="350"/>
        <v>1.6095602592696898</v>
      </c>
      <c r="R720" s="4">
        <f t="shared" si="351"/>
        <v>252641.1632410679</v>
      </c>
      <c r="S720">
        <f t="shared" si="332"/>
        <v>2.5264116324106792E-4</v>
      </c>
      <c r="T720" s="44">
        <f t="shared" si="333"/>
        <v>1.8237552312409359E-3</v>
      </c>
      <c r="U720" s="45">
        <f t="shared" si="352"/>
        <v>0.45097710844346828</v>
      </c>
      <c r="V720" s="45">
        <f t="shared" si="353"/>
        <v>1.4929993489706408</v>
      </c>
      <c r="W720" s="45">
        <f t="shared" si="354"/>
        <v>1.4842435102270595</v>
      </c>
      <c r="X720" s="45">
        <f t="shared" si="355"/>
        <v>8.7558387435813234E-3</v>
      </c>
      <c r="Y720" s="45">
        <f t="shared" si="329"/>
        <v>3.4109968717384122E-2</v>
      </c>
      <c r="Z720" s="10">
        <f t="shared" si="356"/>
        <v>18.703150583521403</v>
      </c>
      <c r="AA720">
        <f t="shared" si="334"/>
        <v>6055891.3525234396</v>
      </c>
      <c r="AB720" s="10">
        <f t="shared" si="335"/>
        <v>6.0558913525234397</v>
      </c>
      <c r="AC720" s="10">
        <f t="shared" si="336"/>
        <v>5.9548913525234397</v>
      </c>
      <c r="AD720" s="3">
        <f t="shared" si="337"/>
        <v>863.65356816873668</v>
      </c>
      <c r="AI720" s="100">
        <f t="shared" si="338"/>
        <v>1.4842435102270595</v>
      </c>
    </row>
    <row r="721" spans="2:35">
      <c r="B721" s="39">
        <f t="shared" si="339"/>
        <v>693</v>
      </c>
      <c r="C721" s="45">
        <f t="shared" si="340"/>
        <v>20.357913669063468</v>
      </c>
      <c r="D721" s="10">
        <f t="shared" si="341"/>
        <v>4.1420863309367633</v>
      </c>
      <c r="E721" s="40">
        <f t="shared" si="342"/>
        <v>60.715827338126473</v>
      </c>
      <c r="F721" s="40">
        <f t="shared" si="343"/>
        <v>69</v>
      </c>
      <c r="G721" s="3">
        <f t="shared" si="344"/>
        <v>297.13669064749411</v>
      </c>
      <c r="H721" s="3">
        <f t="shared" si="345"/>
        <v>221.47275588995251</v>
      </c>
      <c r="I721">
        <f t="shared" si="330"/>
        <v>2.214727558899525E-4</v>
      </c>
      <c r="J721" s="4">
        <f t="shared" si="346"/>
        <v>3573.8849835202727</v>
      </c>
      <c r="K721" s="40">
        <f t="shared" si="347"/>
        <v>16.136905729823035</v>
      </c>
      <c r="L721" s="40">
        <f t="shared" si="331"/>
        <v>0</v>
      </c>
      <c r="M721" s="10">
        <f t="shared" si="348"/>
        <v>6.0558913525234397</v>
      </c>
      <c r="N721" s="10">
        <f t="shared" si="327"/>
        <v>17.20418640980624</v>
      </c>
      <c r="O721" s="10">
        <f t="shared" si="328"/>
        <v>-0.14810000000000001</v>
      </c>
      <c r="P721" s="10">
        <f t="shared" si="349"/>
        <v>13.176302800010614</v>
      </c>
      <c r="Q721" s="45">
        <f t="shared" si="350"/>
        <v>1.6117897540867743</v>
      </c>
      <c r="R721" s="4">
        <f t="shared" si="351"/>
        <v>250777.33075003643</v>
      </c>
      <c r="S721">
        <f t="shared" si="332"/>
        <v>2.5077733075003645E-4</v>
      </c>
      <c r="T721" s="44">
        <f t="shared" si="333"/>
        <v>1.8256190637319673E-3</v>
      </c>
      <c r="U721" s="45">
        <f t="shared" si="352"/>
        <v>0.44765007425535253</v>
      </c>
      <c r="V721" s="45">
        <f t="shared" si="353"/>
        <v>1.492281642738496</v>
      </c>
      <c r="W721" s="45">
        <f t="shared" si="354"/>
        <v>1.4835749251537722</v>
      </c>
      <c r="X721" s="45">
        <f t="shared" si="355"/>
        <v>8.7067175847237444E-3</v>
      </c>
      <c r="Y721" s="45">
        <f t="shared" si="329"/>
        <v>3.4129380299113082E-2</v>
      </c>
      <c r="Z721" s="10">
        <f t="shared" si="356"/>
        <v>18.694688819334036</v>
      </c>
      <c r="AA721">
        <f t="shared" si="334"/>
        <v>6053197.2135781636</v>
      </c>
      <c r="AB721" s="10">
        <f t="shared" si="335"/>
        <v>6.053197213578164</v>
      </c>
      <c r="AC721" s="10">
        <f t="shared" si="336"/>
        <v>5.952197213578164</v>
      </c>
      <c r="AD721" s="3">
        <f t="shared" si="337"/>
        <v>863.26283010560746</v>
      </c>
      <c r="AI721" s="100">
        <f t="shared" si="338"/>
        <v>1.4835749251537722</v>
      </c>
    </row>
    <row r="722" spans="2:35">
      <c r="B722" s="39">
        <f t="shared" si="339"/>
        <v>694</v>
      </c>
      <c r="C722" s="45">
        <f t="shared" si="340"/>
        <v>20.387290167864425</v>
      </c>
      <c r="D722" s="10">
        <f t="shared" si="341"/>
        <v>4.1127098321358062</v>
      </c>
      <c r="E722" s="40">
        <f t="shared" si="342"/>
        <v>60.774580335728388</v>
      </c>
      <c r="F722" s="40">
        <f t="shared" si="343"/>
        <v>69</v>
      </c>
      <c r="G722" s="3">
        <f t="shared" si="344"/>
        <v>296.90167865708645</v>
      </c>
      <c r="H722" s="3">
        <f t="shared" si="345"/>
        <v>221.47275588995251</v>
      </c>
      <c r="I722">
        <f t="shared" si="330"/>
        <v>2.214727558899525E-4</v>
      </c>
      <c r="J722" s="4">
        <f t="shared" si="346"/>
        <v>3579.4910972011057</v>
      </c>
      <c r="K722" s="40">
        <f t="shared" si="347"/>
        <v>16.162218611573685</v>
      </c>
      <c r="L722" s="40">
        <f t="shared" si="331"/>
        <v>0</v>
      </c>
      <c r="M722" s="10">
        <f t="shared" si="348"/>
        <v>6.053197213578164</v>
      </c>
      <c r="N722" s="10">
        <f t="shared" si="327"/>
        <v>17.20418640980624</v>
      </c>
      <c r="O722" s="10">
        <f t="shared" si="328"/>
        <v>-0.14810000000000001</v>
      </c>
      <c r="P722" s="10">
        <f t="shared" si="349"/>
        <v>13.177171163335025</v>
      </c>
      <c r="Q722" s="45">
        <f t="shared" si="350"/>
        <v>1.6140191019822236</v>
      </c>
      <c r="R722" s="4">
        <f t="shared" si="351"/>
        <v>248914.52084168032</v>
      </c>
      <c r="S722">
        <f t="shared" si="332"/>
        <v>2.4891452084168031E-4</v>
      </c>
      <c r="T722" s="44">
        <f t="shared" si="333"/>
        <v>1.8274818736403234E-3</v>
      </c>
      <c r="U722" s="45">
        <f t="shared" si="352"/>
        <v>0.44432486542844146</v>
      </c>
      <c r="V722" s="45">
        <f t="shared" si="353"/>
        <v>1.491561202133862</v>
      </c>
      <c r="W722" s="45">
        <f t="shared" si="354"/>
        <v>1.4829037194595829</v>
      </c>
      <c r="X722" s="45">
        <f t="shared" si="355"/>
        <v>8.6574826742791267E-3</v>
      </c>
      <c r="Y722" s="45">
        <f t="shared" si="329"/>
        <v>3.4148680839892878E-2</v>
      </c>
      <c r="Z722" s="10">
        <f t="shared" si="356"/>
        <v>18.686194009612301</v>
      </c>
      <c r="AA722">
        <f t="shared" si="334"/>
        <v>6050492.5532736117</v>
      </c>
      <c r="AB722" s="10">
        <f t="shared" si="335"/>
        <v>6.050492553273612</v>
      </c>
      <c r="AC722" s="10">
        <f t="shared" si="336"/>
        <v>5.949492553273612</v>
      </c>
      <c r="AD722" s="3">
        <f t="shared" si="337"/>
        <v>862.87056610204661</v>
      </c>
      <c r="AI722" s="100">
        <f t="shared" si="338"/>
        <v>1.4829037194595829</v>
      </c>
    </row>
    <row r="723" spans="2:35">
      <c r="B723" s="39">
        <f t="shared" si="339"/>
        <v>695</v>
      </c>
      <c r="C723" s="45">
        <f t="shared" si="340"/>
        <v>20.416666666665382</v>
      </c>
      <c r="D723" s="10">
        <f t="shared" si="341"/>
        <v>4.0833333333348492</v>
      </c>
      <c r="E723" s="40">
        <f t="shared" si="342"/>
        <v>60.833333333330302</v>
      </c>
      <c r="F723" s="40">
        <f t="shared" si="343"/>
        <v>69</v>
      </c>
      <c r="G723" s="3">
        <f t="shared" si="344"/>
        <v>296.66666666667879</v>
      </c>
      <c r="H723" s="3">
        <f t="shared" si="345"/>
        <v>221.47275588995251</v>
      </c>
      <c r="I723">
        <f t="shared" si="330"/>
        <v>2.214727558899525E-4</v>
      </c>
      <c r="J723" s="4">
        <f t="shared" si="346"/>
        <v>3585.102633136913</v>
      </c>
      <c r="K723" s="40">
        <f t="shared" si="347"/>
        <v>16.187555976042095</v>
      </c>
      <c r="L723" s="40">
        <f t="shared" si="331"/>
        <v>0</v>
      </c>
      <c r="M723" s="10">
        <f t="shared" si="348"/>
        <v>6.050492553273612</v>
      </c>
      <c r="N723" s="10">
        <f t="shared" si="327"/>
        <v>17.20418640980624</v>
      </c>
      <c r="O723" s="10">
        <f t="shared" si="328"/>
        <v>-0.14810000000000001</v>
      </c>
      <c r="P723" s="10">
        <f t="shared" si="349"/>
        <v>13.178043364303736</v>
      </c>
      <c r="Q723" s="45">
        <f t="shared" si="350"/>
        <v>1.616248302326224</v>
      </c>
      <c r="R723" s="4">
        <f t="shared" si="351"/>
        <v>247052.73733888456</v>
      </c>
      <c r="S723">
        <f t="shared" si="332"/>
        <v>2.4705273733888455E-4</v>
      </c>
      <c r="T723" s="44">
        <f t="shared" si="333"/>
        <v>1.8293436571431192E-3</v>
      </c>
      <c r="U723" s="45">
        <f t="shared" si="352"/>
        <v>0.44100148878677592</v>
      </c>
      <c r="V723" s="45">
        <f t="shared" si="353"/>
        <v>1.4908380265641452</v>
      </c>
      <c r="W723" s="45">
        <f t="shared" si="354"/>
        <v>1.4822298925211297</v>
      </c>
      <c r="X723" s="45">
        <f t="shared" si="355"/>
        <v>8.6081340430155251E-3</v>
      </c>
      <c r="Y723" s="45">
        <f t="shared" si="329"/>
        <v>3.4167870095262766E-2</v>
      </c>
      <c r="Z723" s="10">
        <f t="shared" si="356"/>
        <v>18.677666146459671</v>
      </c>
      <c r="AA723">
        <f t="shared" si="334"/>
        <v>6047777.3690956132</v>
      </c>
      <c r="AB723" s="10">
        <f t="shared" si="335"/>
        <v>6.0477773690956136</v>
      </c>
      <c r="AC723" s="10">
        <f t="shared" si="336"/>
        <v>5.9467773690956136</v>
      </c>
      <c r="AD723" s="3">
        <f t="shared" si="337"/>
        <v>862.47677579341746</v>
      </c>
      <c r="AI723" s="100">
        <f t="shared" si="338"/>
        <v>1.4822298925211297</v>
      </c>
    </row>
    <row r="724" spans="2:35">
      <c r="B724" s="39">
        <f t="shared" si="339"/>
        <v>696</v>
      </c>
      <c r="C724" s="45">
        <f t="shared" si="340"/>
        <v>20.446043165466339</v>
      </c>
      <c r="D724" s="10">
        <f t="shared" si="341"/>
        <v>4.0539568345338921</v>
      </c>
      <c r="E724" s="40">
        <f t="shared" si="342"/>
        <v>60.892086330932216</v>
      </c>
      <c r="F724" s="40">
        <f t="shared" si="343"/>
        <v>69</v>
      </c>
      <c r="G724" s="3">
        <f t="shared" si="344"/>
        <v>296.43165467627114</v>
      </c>
      <c r="H724" s="3">
        <f t="shared" si="345"/>
        <v>221.47275588995251</v>
      </c>
      <c r="I724">
        <f t="shared" si="330"/>
        <v>2.214727558899525E-4</v>
      </c>
      <c r="J724" s="4">
        <f t="shared" si="346"/>
        <v>3590.7195913276937</v>
      </c>
      <c r="K724" s="40">
        <f t="shared" si="347"/>
        <v>16.212917823228263</v>
      </c>
      <c r="L724" s="40">
        <f t="shared" si="331"/>
        <v>0</v>
      </c>
      <c r="M724" s="10">
        <f t="shared" si="348"/>
        <v>6.0477773690956136</v>
      </c>
      <c r="N724" s="10">
        <f t="shared" si="327"/>
        <v>17.20418640980624</v>
      </c>
      <c r="O724" s="10">
        <f t="shared" si="328"/>
        <v>-0.14810000000000001</v>
      </c>
      <c r="P724" s="10">
        <f t="shared" si="349"/>
        <v>13.178919409380574</v>
      </c>
      <c r="Q724" s="45">
        <f t="shared" si="350"/>
        <v>1.6184773544881219</v>
      </c>
      <c r="R724" s="4">
        <f t="shared" si="351"/>
        <v>245191.98406453378</v>
      </c>
      <c r="S724">
        <f t="shared" si="332"/>
        <v>2.4519198406453376E-4</v>
      </c>
      <c r="T724" s="44">
        <f t="shared" si="333"/>
        <v>1.8312044104174701E-3</v>
      </c>
      <c r="U724" s="45">
        <f t="shared" si="352"/>
        <v>0.43767995115439606</v>
      </c>
      <c r="V724" s="45">
        <f t="shared" si="353"/>
        <v>1.490112115434616</v>
      </c>
      <c r="W724" s="45">
        <f t="shared" si="354"/>
        <v>1.4815534437120432</v>
      </c>
      <c r="X724" s="45">
        <f t="shared" si="355"/>
        <v>8.5586717225727416E-3</v>
      </c>
      <c r="Y724" s="45">
        <f t="shared" si="329"/>
        <v>3.4186947820968941E-2</v>
      </c>
      <c r="Z724" s="10">
        <f t="shared" si="356"/>
        <v>18.669105221942505</v>
      </c>
      <c r="AA724">
        <f t="shared" si="334"/>
        <v>6045051.6585181775</v>
      </c>
      <c r="AB724" s="10">
        <f t="shared" si="335"/>
        <v>6.0450516585181777</v>
      </c>
      <c r="AC724" s="10">
        <f t="shared" si="336"/>
        <v>5.9440516585181777</v>
      </c>
      <c r="AD724" s="3">
        <f t="shared" si="337"/>
        <v>862.08145881336873</v>
      </c>
      <c r="AI724" s="100">
        <f t="shared" si="338"/>
        <v>1.4815534437120432</v>
      </c>
    </row>
    <row r="725" spans="2:35">
      <c r="B725" s="39">
        <f t="shared" si="339"/>
        <v>697</v>
      </c>
      <c r="C725" s="45">
        <f t="shared" si="340"/>
        <v>20.475419664267296</v>
      </c>
      <c r="D725" s="10">
        <f t="shared" si="341"/>
        <v>4.0245803357329351</v>
      </c>
      <c r="E725" s="40">
        <f t="shared" si="342"/>
        <v>60.95083932853413</v>
      </c>
      <c r="F725" s="40">
        <f t="shared" si="343"/>
        <v>69</v>
      </c>
      <c r="G725" s="3">
        <f t="shared" si="344"/>
        <v>296.19664268586348</v>
      </c>
      <c r="H725" s="3">
        <f t="shared" si="345"/>
        <v>221.47275588995251</v>
      </c>
      <c r="I725">
        <f t="shared" si="330"/>
        <v>2.214727558899525E-4</v>
      </c>
      <c r="J725" s="4">
        <f t="shared" si="346"/>
        <v>3596.3419717734487</v>
      </c>
      <c r="K725" s="40">
        <f t="shared" si="347"/>
        <v>16.238304153132194</v>
      </c>
      <c r="L725" s="40">
        <f t="shared" si="331"/>
        <v>0</v>
      </c>
      <c r="M725" s="10">
        <f t="shared" si="348"/>
        <v>6.0450516585181777</v>
      </c>
      <c r="N725" s="10">
        <f t="shared" si="327"/>
        <v>17.20418640980624</v>
      </c>
      <c r="O725" s="10">
        <f t="shared" si="328"/>
        <v>-0.14810000000000001</v>
      </c>
      <c r="P725" s="10">
        <f t="shared" si="349"/>
        <v>13.17979930506587</v>
      </c>
      <c r="Q725" s="45">
        <f t="shared" si="350"/>
        <v>1.62070625783642</v>
      </c>
      <c r="R725" s="4">
        <f t="shared" si="351"/>
        <v>243332.26484151295</v>
      </c>
      <c r="S725">
        <f t="shared" si="332"/>
        <v>2.4333226484151294E-4</v>
      </c>
      <c r="T725" s="44">
        <f t="shared" si="333"/>
        <v>1.8330641296404908E-3</v>
      </c>
      <c r="U725" s="45">
        <f t="shared" si="352"/>
        <v>0.43436025935534273</v>
      </c>
      <c r="V725" s="45">
        <f t="shared" si="353"/>
        <v>1.4893834681473184</v>
      </c>
      <c r="W725" s="45">
        <f t="shared" si="354"/>
        <v>1.4808743724030102</v>
      </c>
      <c r="X725" s="45">
        <f t="shared" si="355"/>
        <v>8.5090957443081372E-3</v>
      </c>
      <c r="Y725" s="45">
        <f t="shared" si="329"/>
        <v>3.4205913772964419E-2</v>
      </c>
      <c r="Z725" s="10">
        <f t="shared" si="356"/>
        <v>18.660511228089465</v>
      </c>
      <c r="AA725">
        <f t="shared" si="334"/>
        <v>6042315.4190033125</v>
      </c>
      <c r="AB725" s="10">
        <f t="shared" si="335"/>
        <v>6.0423154190033124</v>
      </c>
      <c r="AC725" s="10">
        <f t="shared" si="336"/>
        <v>5.9413154190033124</v>
      </c>
      <c r="AD725" s="3">
        <f t="shared" si="337"/>
        <v>861.68461479380892</v>
      </c>
      <c r="AI725" s="100">
        <f t="shared" si="338"/>
        <v>1.4808743724030102</v>
      </c>
    </row>
    <row r="726" spans="2:35">
      <c r="B726" s="39">
        <f t="shared" si="339"/>
        <v>698</v>
      </c>
      <c r="C726" s="45">
        <f t="shared" si="340"/>
        <v>20.504796163068253</v>
      </c>
      <c r="D726" s="10">
        <f t="shared" si="341"/>
        <v>3.995203836931978</v>
      </c>
      <c r="E726" s="40">
        <f t="shared" si="342"/>
        <v>61.009592326136044</v>
      </c>
      <c r="F726" s="40">
        <f t="shared" si="343"/>
        <v>69</v>
      </c>
      <c r="G726" s="3">
        <f t="shared" si="344"/>
        <v>295.96163069545582</v>
      </c>
      <c r="H726" s="3">
        <f t="shared" si="345"/>
        <v>221.47275588995251</v>
      </c>
      <c r="I726">
        <f t="shared" si="330"/>
        <v>2.214727558899525E-4</v>
      </c>
      <c r="J726" s="4">
        <f t="shared" si="346"/>
        <v>3601.9697744741775</v>
      </c>
      <c r="K726" s="40">
        <f t="shared" si="347"/>
        <v>16.263714965753884</v>
      </c>
      <c r="L726" s="40">
        <f t="shared" si="331"/>
        <v>0</v>
      </c>
      <c r="M726" s="10">
        <f t="shared" si="348"/>
        <v>6.0423154190033124</v>
      </c>
      <c r="N726" s="10">
        <f t="shared" si="327"/>
        <v>17.20418640980624</v>
      </c>
      <c r="O726" s="10">
        <f t="shared" si="328"/>
        <v>-0.14810000000000001</v>
      </c>
      <c r="P726" s="10">
        <f t="shared" si="349"/>
        <v>13.180683057896674</v>
      </c>
      <c r="Q726" s="45">
        <f t="shared" si="350"/>
        <v>1.6229350117387724</v>
      </c>
      <c r="R726" s="4">
        <f t="shared" si="351"/>
        <v>241473.58349270656</v>
      </c>
      <c r="S726">
        <f t="shared" si="332"/>
        <v>2.4147358349270657E-4</v>
      </c>
      <c r="T726" s="44">
        <f t="shared" si="333"/>
        <v>1.8349228109892973E-3</v>
      </c>
      <c r="U726" s="45">
        <f t="shared" si="352"/>
        <v>0.43104242021365585</v>
      </c>
      <c r="V726" s="45">
        <f t="shared" si="353"/>
        <v>1.4886520841017505</v>
      </c>
      <c r="W726" s="45">
        <f t="shared" si="354"/>
        <v>1.4801926779617254</v>
      </c>
      <c r="X726" s="45">
        <f t="shared" si="355"/>
        <v>8.4594061400251608E-3</v>
      </c>
      <c r="Y726" s="45">
        <f t="shared" si="329"/>
        <v>3.4224767707410585E-2</v>
      </c>
      <c r="Z726" s="10">
        <f t="shared" si="356"/>
        <v>18.651884156891768</v>
      </c>
      <c r="AA726">
        <f t="shared" si="334"/>
        <v>6039568.6480011027</v>
      </c>
      <c r="AB726" s="10">
        <f t="shared" si="335"/>
        <v>6.0395686480011026</v>
      </c>
      <c r="AC726" s="10">
        <f t="shared" si="336"/>
        <v>5.9385686480011026</v>
      </c>
      <c r="AD726" s="3">
        <f t="shared" si="337"/>
        <v>861.28624336491703</v>
      </c>
      <c r="AI726" s="100">
        <f t="shared" si="338"/>
        <v>1.4801926779617254</v>
      </c>
    </row>
    <row r="727" spans="2:35">
      <c r="B727" s="39">
        <f t="shared" si="339"/>
        <v>699</v>
      </c>
      <c r="C727" s="45">
        <f t="shared" si="340"/>
        <v>20.53417266186921</v>
      </c>
      <c r="D727" s="10">
        <f t="shared" si="341"/>
        <v>3.965827338131021</v>
      </c>
      <c r="E727" s="40">
        <f t="shared" si="342"/>
        <v>61.068345323737958</v>
      </c>
      <c r="F727" s="40">
        <f t="shared" si="343"/>
        <v>69</v>
      </c>
      <c r="G727" s="3">
        <f t="shared" si="344"/>
        <v>295.72661870504817</v>
      </c>
      <c r="H727" s="3">
        <f t="shared" si="345"/>
        <v>221.47275588995251</v>
      </c>
      <c r="I727">
        <f t="shared" si="330"/>
        <v>2.214727558899525E-4</v>
      </c>
      <c r="J727" s="4">
        <f t="shared" si="346"/>
        <v>3607.6029994298801</v>
      </c>
      <c r="K727" s="40">
        <f t="shared" si="347"/>
        <v>16.289150261093333</v>
      </c>
      <c r="L727" s="40">
        <f t="shared" si="331"/>
        <v>0</v>
      </c>
      <c r="M727" s="10">
        <f t="shared" si="348"/>
        <v>6.0395686480011026</v>
      </c>
      <c r="N727" s="10">
        <f t="shared" si="327"/>
        <v>17.20418640980624</v>
      </c>
      <c r="O727" s="10">
        <f t="shared" si="328"/>
        <v>-0.14810000000000001</v>
      </c>
      <c r="P727" s="10">
        <f t="shared" si="349"/>
        <v>13.181570674446888</v>
      </c>
      <c r="Q727" s="45">
        <f t="shared" si="350"/>
        <v>1.6251636155619804</v>
      </c>
      <c r="R727" s="4">
        <f t="shared" si="351"/>
        <v>239615.94384099983</v>
      </c>
      <c r="S727">
        <f t="shared" si="332"/>
        <v>2.3961594384099984E-4</v>
      </c>
      <c r="T727" s="44">
        <f t="shared" si="333"/>
        <v>1.836780450641004E-3</v>
      </c>
      <c r="U727" s="45">
        <f t="shared" si="352"/>
        <v>0.42772644055337672</v>
      </c>
      <c r="V727" s="45">
        <f t="shared" si="353"/>
        <v>1.4879179626937447</v>
      </c>
      <c r="W727" s="45">
        <f t="shared" si="354"/>
        <v>1.4795083597529153</v>
      </c>
      <c r="X727" s="45">
        <f t="shared" si="355"/>
        <v>8.4096029408293749E-3</v>
      </c>
      <c r="Y727" s="45">
        <f t="shared" si="329"/>
        <v>3.4243509380676176E-2</v>
      </c>
      <c r="Z727" s="10">
        <f t="shared" si="356"/>
        <v>18.643224000302158</v>
      </c>
      <c r="AA727">
        <f t="shared" si="334"/>
        <v>6036811.3429493867</v>
      </c>
      <c r="AB727" s="10">
        <f t="shared" si="335"/>
        <v>6.0368113429493864</v>
      </c>
      <c r="AC727" s="10">
        <f t="shared" si="336"/>
        <v>5.9358113429493864</v>
      </c>
      <c r="AD727" s="3">
        <f t="shared" si="337"/>
        <v>860.88634415509591</v>
      </c>
      <c r="AI727" s="100">
        <f t="shared" si="338"/>
        <v>1.4795083597529153</v>
      </c>
    </row>
    <row r="728" spans="2:35">
      <c r="B728" s="39">
        <f t="shared" si="339"/>
        <v>700</v>
      </c>
      <c r="C728" s="45">
        <f t="shared" si="340"/>
        <v>20.563549160670167</v>
      </c>
      <c r="D728" s="10">
        <f t="shared" si="341"/>
        <v>3.9364508393300639</v>
      </c>
      <c r="E728" s="40">
        <f t="shared" si="342"/>
        <v>61.127098321339872</v>
      </c>
      <c r="F728" s="40">
        <f t="shared" si="343"/>
        <v>69</v>
      </c>
      <c r="G728" s="3">
        <f t="shared" si="344"/>
        <v>295.49160671464051</v>
      </c>
      <c r="H728" s="3">
        <f t="shared" si="345"/>
        <v>221.47275588995251</v>
      </c>
      <c r="I728">
        <f t="shared" si="330"/>
        <v>2.214727558899525E-4</v>
      </c>
      <c r="J728" s="4">
        <f t="shared" si="346"/>
        <v>3613.2416466405566</v>
      </c>
      <c r="K728" s="40">
        <f t="shared" si="347"/>
        <v>16.314610039150541</v>
      </c>
      <c r="L728" s="40">
        <f t="shared" si="331"/>
        <v>0</v>
      </c>
      <c r="M728" s="10">
        <f t="shared" si="348"/>
        <v>6.0368113429493864</v>
      </c>
      <c r="N728" s="10">
        <f t="shared" si="327"/>
        <v>17.20418640980624</v>
      </c>
      <c r="O728" s="10">
        <f t="shared" si="328"/>
        <v>-0.14810000000000001</v>
      </c>
      <c r="P728" s="10">
        <f t="shared" si="349"/>
        <v>13.182462161327523</v>
      </c>
      <c r="Q728" s="45">
        <f t="shared" si="350"/>
        <v>1.6273920686719872</v>
      </c>
      <c r="R728" s="4">
        <f t="shared" si="351"/>
        <v>237759.34970927722</v>
      </c>
      <c r="S728">
        <f t="shared" si="332"/>
        <v>2.3775934970927723E-4</v>
      </c>
      <c r="T728" s="44">
        <f t="shared" si="333"/>
        <v>1.8386370447727265E-3</v>
      </c>
      <c r="U728" s="45">
        <f t="shared" si="352"/>
        <v>0.42441232719854527</v>
      </c>
      <c r="V728" s="45">
        <f t="shared" si="353"/>
        <v>1.4871811033176365</v>
      </c>
      <c r="W728" s="45">
        <f t="shared" si="354"/>
        <v>1.4788214171382539</v>
      </c>
      <c r="X728" s="45">
        <f t="shared" si="355"/>
        <v>8.3596861793826527E-3</v>
      </c>
      <c r="Y728" s="45">
        <f t="shared" si="329"/>
        <v>3.4262138549341299E-2</v>
      </c>
      <c r="Z728" s="10">
        <f t="shared" si="356"/>
        <v>18.634530750236479</v>
      </c>
      <c r="AA728">
        <f t="shared" si="334"/>
        <v>6034043.5012742495</v>
      </c>
      <c r="AB728" s="10">
        <f t="shared" si="335"/>
        <v>6.0340435012742493</v>
      </c>
      <c r="AC728" s="10">
        <f t="shared" si="336"/>
        <v>5.9330435012742493</v>
      </c>
      <c r="AD728" s="3">
        <f t="shared" si="337"/>
        <v>860.48491679104416</v>
      </c>
      <c r="AI728" s="100">
        <f t="shared" si="338"/>
        <v>1.4788214171382539</v>
      </c>
    </row>
    <row r="729" spans="2:35">
      <c r="B729" s="39">
        <f t="shared" si="339"/>
        <v>701</v>
      </c>
      <c r="C729" s="45">
        <f t="shared" si="340"/>
        <v>20.592925659471124</v>
      </c>
      <c r="D729" s="10">
        <f t="shared" si="341"/>
        <v>3.9070743405291068</v>
      </c>
      <c r="E729" s="40">
        <f t="shared" si="342"/>
        <v>61.185851318941786</v>
      </c>
      <c r="F729" s="40">
        <f t="shared" si="343"/>
        <v>69</v>
      </c>
      <c r="G729" s="3">
        <f t="shared" si="344"/>
        <v>295.25659472423285</v>
      </c>
      <c r="H729" s="3">
        <f t="shared" si="345"/>
        <v>221.47275588995251</v>
      </c>
      <c r="I729">
        <f t="shared" si="330"/>
        <v>2.214727558899525E-4</v>
      </c>
      <c r="J729" s="4">
        <f t="shared" si="346"/>
        <v>3618.8857161062074</v>
      </c>
      <c r="K729" s="40">
        <f t="shared" si="347"/>
        <v>16.340094299925511</v>
      </c>
      <c r="L729" s="40">
        <f t="shared" si="331"/>
        <v>0</v>
      </c>
      <c r="M729" s="10">
        <f t="shared" si="348"/>
        <v>6.0340435012742493</v>
      </c>
      <c r="N729" s="10">
        <f t="shared" si="327"/>
        <v>17.20418640980624</v>
      </c>
      <c r="O729" s="10">
        <f t="shared" si="328"/>
        <v>-0.14810000000000001</v>
      </c>
      <c r="P729" s="10">
        <f t="shared" si="349"/>
        <v>13.18335752518669</v>
      </c>
      <c r="Q729" s="45">
        <f t="shared" si="350"/>
        <v>1.6296203704338741</v>
      </c>
      <c r="R729" s="4">
        <f t="shared" si="351"/>
        <v>235903.80492042369</v>
      </c>
      <c r="S729">
        <f t="shared" si="332"/>
        <v>2.359038049204237E-4</v>
      </c>
      <c r="T729" s="44">
        <f t="shared" si="333"/>
        <v>1.8404925895615801E-3</v>
      </c>
      <c r="U729" s="45">
        <f t="shared" si="352"/>
        <v>0.42110008697320228</v>
      </c>
      <c r="V729" s="45">
        <f t="shared" si="353"/>
        <v>1.4864415053633384</v>
      </c>
      <c r="W729" s="45">
        <f t="shared" si="354"/>
        <v>1.4781318494764883</v>
      </c>
      <c r="X729" s="45">
        <f t="shared" si="355"/>
        <v>8.3096558868500647E-3</v>
      </c>
      <c r="Y729" s="45">
        <f t="shared" si="329"/>
        <v>3.4280654970194641E-2</v>
      </c>
      <c r="Z729" s="10">
        <f t="shared" si="356"/>
        <v>18.62580439857167</v>
      </c>
      <c r="AA729">
        <f t="shared" si="334"/>
        <v>6031265.1203893926</v>
      </c>
      <c r="AB729" s="10">
        <f t="shared" si="335"/>
        <v>6.031265120389393</v>
      </c>
      <c r="AC729" s="10">
        <f t="shared" si="336"/>
        <v>5.930265120389393</v>
      </c>
      <c r="AD729" s="3">
        <f t="shared" si="337"/>
        <v>860.08196089766386</v>
      </c>
      <c r="AI729" s="100">
        <f t="shared" si="338"/>
        <v>1.4781318494764883</v>
      </c>
    </row>
    <row r="730" spans="2:35">
      <c r="B730" s="39">
        <f t="shared" si="339"/>
        <v>702</v>
      </c>
      <c r="C730" s="45">
        <f t="shared" si="340"/>
        <v>20.622302158272081</v>
      </c>
      <c r="D730" s="10">
        <f t="shared" si="341"/>
        <v>3.8776978417281498</v>
      </c>
      <c r="E730" s="40">
        <f t="shared" si="342"/>
        <v>61.2446043165437</v>
      </c>
      <c r="F730" s="40">
        <f t="shared" si="343"/>
        <v>69</v>
      </c>
      <c r="G730" s="3">
        <f t="shared" si="344"/>
        <v>295.0215827338252</v>
      </c>
      <c r="H730" s="3">
        <f t="shared" si="345"/>
        <v>221.47275588995251</v>
      </c>
      <c r="I730">
        <f t="shared" si="330"/>
        <v>2.214727558899525E-4</v>
      </c>
      <c r="J730" s="4">
        <f t="shared" si="346"/>
        <v>3624.535207826832</v>
      </c>
      <c r="K730" s="40">
        <f t="shared" si="347"/>
        <v>16.36560304341824</v>
      </c>
      <c r="L730" s="40">
        <f t="shared" si="331"/>
        <v>0</v>
      </c>
      <c r="M730" s="10">
        <f t="shared" si="348"/>
        <v>6.031265120389393</v>
      </c>
      <c r="N730" s="10">
        <f t="shared" si="327"/>
        <v>17.20418640980624</v>
      </c>
      <c r="O730" s="10">
        <f t="shared" si="328"/>
        <v>-0.14810000000000001</v>
      </c>
      <c r="P730" s="10">
        <f t="shared" si="349"/>
        <v>13.184256772709976</v>
      </c>
      <c r="Q730" s="45">
        <f t="shared" si="350"/>
        <v>1.6318485202118551</v>
      </c>
      <c r="R730" s="4">
        <f t="shared" si="351"/>
        <v>234049.313297324</v>
      </c>
      <c r="S730">
        <f t="shared" si="332"/>
        <v>2.3404931329732399E-4</v>
      </c>
      <c r="T730" s="44">
        <f t="shared" si="333"/>
        <v>1.8423470811846799E-3</v>
      </c>
      <c r="U730" s="45">
        <f t="shared" si="352"/>
        <v>0.4177897267013882</v>
      </c>
      <c r="V730" s="45">
        <f t="shared" si="353"/>
        <v>1.4856991682191456</v>
      </c>
      <c r="W730" s="45">
        <f t="shared" si="354"/>
        <v>1.477439656123279</v>
      </c>
      <c r="X730" s="45">
        <f t="shared" si="355"/>
        <v>8.2595120958666168E-3</v>
      </c>
      <c r="Y730" s="45">
        <f t="shared" si="329"/>
        <v>3.4299058400237274E-2</v>
      </c>
      <c r="Z730" s="10">
        <f t="shared" si="356"/>
        <v>18.617044937147259</v>
      </c>
      <c r="AA730">
        <f t="shared" si="334"/>
        <v>6028476.1976966057</v>
      </c>
      <c r="AB730" s="10">
        <f t="shared" si="335"/>
        <v>6.0284761976966053</v>
      </c>
      <c r="AC730" s="10">
        <f t="shared" si="336"/>
        <v>5.9274761976966053</v>
      </c>
      <c r="AD730" s="3">
        <f t="shared" si="337"/>
        <v>859.67747609812989</v>
      </c>
      <c r="AI730" s="100">
        <f t="shared" si="338"/>
        <v>1.477439656123279</v>
      </c>
    </row>
    <row r="731" spans="2:35">
      <c r="B731" s="39">
        <f t="shared" si="339"/>
        <v>703</v>
      </c>
      <c r="C731" s="45">
        <f t="shared" si="340"/>
        <v>20.651678657073038</v>
      </c>
      <c r="D731" s="10">
        <f t="shared" si="341"/>
        <v>3.8483213429271927</v>
      </c>
      <c r="E731" s="40">
        <f t="shared" si="342"/>
        <v>61.303357314145615</v>
      </c>
      <c r="F731" s="40">
        <f t="shared" si="343"/>
        <v>69</v>
      </c>
      <c r="G731" s="3">
        <f t="shared" si="344"/>
        <v>294.78657074341754</v>
      </c>
      <c r="H731" s="3">
        <f t="shared" si="345"/>
        <v>221.47275588995251</v>
      </c>
      <c r="I731">
        <f t="shared" si="330"/>
        <v>2.214727558899525E-4</v>
      </c>
      <c r="J731" s="4">
        <f t="shared" si="346"/>
        <v>3630.19012180243</v>
      </c>
      <c r="K731" s="40">
        <f t="shared" si="347"/>
        <v>16.391136269628728</v>
      </c>
      <c r="L731" s="40">
        <f t="shared" si="331"/>
        <v>0</v>
      </c>
      <c r="M731" s="10">
        <f t="shared" si="348"/>
        <v>6.0284761976966053</v>
      </c>
      <c r="N731" s="10">
        <f t="shared" si="327"/>
        <v>17.20418640980624</v>
      </c>
      <c r="O731" s="10">
        <f t="shared" si="328"/>
        <v>-0.14810000000000001</v>
      </c>
      <c r="P731" s="10">
        <f t="shared" si="349"/>
        <v>13.18515991062044</v>
      </c>
      <c r="Q731" s="45">
        <f t="shared" si="350"/>
        <v>1.6340765173692726</v>
      </c>
      <c r="R731" s="4">
        <f t="shared" si="351"/>
        <v>232195.87866286305</v>
      </c>
      <c r="S731">
        <f t="shared" si="332"/>
        <v>2.3219587866286304E-4</v>
      </c>
      <c r="T731" s="44">
        <f t="shared" si="333"/>
        <v>1.8442005158191407E-3</v>
      </c>
      <c r="U731" s="45">
        <f t="shared" si="352"/>
        <v>0.41448125320714369</v>
      </c>
      <c r="V731" s="45">
        <f t="shared" si="353"/>
        <v>1.484954091269757</v>
      </c>
      <c r="W731" s="45">
        <f t="shared" si="354"/>
        <v>1.4767448364313198</v>
      </c>
      <c r="X731" s="45">
        <f t="shared" si="355"/>
        <v>8.2092548384371522E-3</v>
      </c>
      <c r="Y731" s="45">
        <f t="shared" si="329"/>
        <v>3.4317348596681826E-2</v>
      </c>
      <c r="Z731" s="10">
        <f t="shared" si="356"/>
        <v>18.608252357764389</v>
      </c>
      <c r="AA731">
        <f t="shared" si="334"/>
        <v>6025676.7305854578</v>
      </c>
      <c r="AB731" s="10">
        <f t="shared" si="335"/>
        <v>6.0256767305854577</v>
      </c>
      <c r="AC731" s="10">
        <f t="shared" si="336"/>
        <v>5.9246767305854577</v>
      </c>
      <c r="AD731" s="3">
        <f t="shared" si="337"/>
        <v>859.27146201384448</v>
      </c>
      <c r="AI731" s="100">
        <f t="shared" si="338"/>
        <v>1.4767448364313198</v>
      </c>
    </row>
    <row r="732" spans="2:35">
      <c r="B732" s="39">
        <f t="shared" si="339"/>
        <v>704</v>
      </c>
      <c r="C732" s="45">
        <f t="shared" si="340"/>
        <v>20.681055155873995</v>
      </c>
      <c r="D732" s="10">
        <f t="shared" si="341"/>
        <v>3.8189448441262357</v>
      </c>
      <c r="E732" s="40">
        <f t="shared" si="342"/>
        <v>61.362110311747529</v>
      </c>
      <c r="F732" s="40">
        <f t="shared" si="343"/>
        <v>69</v>
      </c>
      <c r="G732" s="3">
        <f t="shared" si="344"/>
        <v>294.55155875300989</v>
      </c>
      <c r="H732" s="3">
        <f t="shared" si="345"/>
        <v>221.47275588995251</v>
      </c>
      <c r="I732">
        <f t="shared" si="330"/>
        <v>2.214727558899525E-4</v>
      </c>
      <c r="J732" s="4">
        <f t="shared" si="346"/>
        <v>3635.8504580330023</v>
      </c>
      <c r="K732" s="40">
        <f t="shared" si="347"/>
        <v>16.416693978556975</v>
      </c>
      <c r="L732" s="40">
        <f t="shared" si="331"/>
        <v>0</v>
      </c>
      <c r="M732" s="10">
        <f t="shared" si="348"/>
        <v>6.0256767305854577</v>
      </c>
      <c r="N732" s="10">
        <f t="shared" ref="N732:N795" si="357">IF(fueltype=1,VLOOKUP($M732,kndxbn_,4),IF(fueltype=2,VLOOKUP($M732,knsobn_,4),IF(fueltype=3,VLOOKUP($M732,knsbcobn_,4),IF(fueltype=4,VLOOKUP($M732,knsubn_,4),IF(fueltype=5,am_1,IF(fueltype=6,am_0,IF(fueltype=7,am_3,am_4)))))))</f>
        <v>17.20418640980624</v>
      </c>
      <c r="O732" s="10">
        <f t="shared" ref="O732:O795" si="358">IF(fueltype=1,VLOOKUP($M732,kndxbn_,5),IF(fueltype=2,VLOOKUP($M732,knsobn_,5),IF(fueltype=3,VLOOKUP($M732,knsbcobn_,5),IF(fueltype=4,VLOOKUP($M732,knsubn_,5),IF(fueltype=5,nm_1,IF(fueltype=6,an_0,IF(fueltype=7,nm_3,nm_4)))))))</f>
        <v>-0.14810000000000001</v>
      </c>
      <c r="P732" s="10">
        <f t="shared" si="349"/>
        <v>13.186066945678876</v>
      </c>
      <c r="Q732" s="45">
        <f t="shared" si="350"/>
        <v>1.6363043612685928</v>
      </c>
      <c r="R732" s="4">
        <f t="shared" si="351"/>
        <v>230343.50483992547</v>
      </c>
      <c r="S732">
        <f t="shared" si="332"/>
        <v>2.3034350483992547E-4</v>
      </c>
      <c r="T732" s="44">
        <f t="shared" si="333"/>
        <v>1.8460528896420783E-3</v>
      </c>
      <c r="U732" s="45">
        <f t="shared" si="352"/>
        <v>0.41117467331450896</v>
      </c>
      <c r="V732" s="45">
        <f t="shared" si="353"/>
        <v>1.4842062738972472</v>
      </c>
      <c r="W732" s="45">
        <f t="shared" si="354"/>
        <v>1.4760473897502595</v>
      </c>
      <c r="X732" s="45">
        <f t="shared" si="355"/>
        <v>8.1588841469877327E-3</v>
      </c>
      <c r="Y732" s="45">
        <f t="shared" si="329"/>
        <v>3.4335525316953955E-2</v>
      </c>
      <c r="Z732" s="10">
        <f t="shared" si="356"/>
        <v>18.599426652186057</v>
      </c>
      <c r="AA732">
        <f t="shared" si="334"/>
        <v>6022866.7164333696</v>
      </c>
      <c r="AB732" s="10">
        <f t="shared" si="335"/>
        <v>6.0228667164333691</v>
      </c>
      <c r="AC732" s="10">
        <f t="shared" si="336"/>
        <v>5.9218667164333691</v>
      </c>
      <c r="AD732" s="3">
        <f t="shared" si="337"/>
        <v>858.8639182644481</v>
      </c>
      <c r="AI732" s="100">
        <f t="shared" si="338"/>
        <v>1.4760473897502595</v>
      </c>
    </row>
    <row r="733" spans="2:35">
      <c r="B733" s="39">
        <f t="shared" si="339"/>
        <v>705</v>
      </c>
      <c r="C733" s="45">
        <f t="shared" si="340"/>
        <v>20.710431654674952</v>
      </c>
      <c r="D733" s="10">
        <f t="shared" si="341"/>
        <v>3.7895683453252786</v>
      </c>
      <c r="E733" s="40">
        <f t="shared" si="342"/>
        <v>61.420863309349443</v>
      </c>
      <c r="F733" s="40">
        <f t="shared" si="343"/>
        <v>69</v>
      </c>
      <c r="G733" s="3">
        <f t="shared" si="344"/>
        <v>294.31654676260223</v>
      </c>
      <c r="H733" s="3">
        <f t="shared" si="345"/>
        <v>221.47275588995251</v>
      </c>
      <c r="I733">
        <f t="shared" si="330"/>
        <v>2.214727558899525E-4</v>
      </c>
      <c r="J733" s="4">
        <f t="shared" si="346"/>
        <v>3641.5162165185484</v>
      </c>
      <c r="K733" s="40">
        <f t="shared" si="347"/>
        <v>16.442276170202984</v>
      </c>
      <c r="L733" s="40">
        <f t="shared" si="331"/>
        <v>0</v>
      </c>
      <c r="M733" s="10">
        <f t="shared" si="348"/>
        <v>6.0228667164333691</v>
      </c>
      <c r="N733" s="10">
        <f t="shared" si="357"/>
        <v>17.20418640980624</v>
      </c>
      <c r="O733" s="10">
        <f t="shared" si="358"/>
        <v>-0.14810000000000001</v>
      </c>
      <c r="P733" s="10">
        <f t="shared" si="349"/>
        <v>13.186977884683948</v>
      </c>
      <c r="Q733" s="45">
        <f t="shared" si="350"/>
        <v>1.6385320512714006</v>
      </c>
      <c r="R733" s="4">
        <f t="shared" si="351"/>
        <v>228492.19565139624</v>
      </c>
      <c r="S733">
        <f t="shared" si="332"/>
        <v>2.2849219565139624E-4</v>
      </c>
      <c r="T733" s="44">
        <f t="shared" si="333"/>
        <v>1.8479041988306076E-3</v>
      </c>
      <c r="U733" s="45">
        <f t="shared" si="352"/>
        <v>0.40786999384752487</v>
      </c>
      <c r="V733" s="45">
        <f t="shared" si="353"/>
        <v>1.4834557154805694</v>
      </c>
      <c r="W733" s="45">
        <f t="shared" si="354"/>
        <v>1.4753473154267207</v>
      </c>
      <c r="X733" s="45">
        <f t="shared" si="355"/>
        <v>8.1084000538487189E-3</v>
      </c>
      <c r="Y733" s="45">
        <f t="shared" si="329"/>
        <v>3.4353588318692681E-2</v>
      </c>
      <c r="Z733" s="10">
        <f t="shared" si="356"/>
        <v>18.590567812136772</v>
      </c>
      <c r="AA733">
        <f t="shared" si="334"/>
        <v>6020046.1526055103</v>
      </c>
      <c r="AB733" s="10">
        <f t="shared" si="335"/>
        <v>6.0200461526055102</v>
      </c>
      <c r="AC733" s="10">
        <f t="shared" si="336"/>
        <v>5.9190461526055103</v>
      </c>
      <c r="AD733" s="3">
        <f t="shared" si="337"/>
        <v>858.45484446780426</v>
      </c>
      <c r="AI733" s="100">
        <f t="shared" si="338"/>
        <v>1.4753473154267207</v>
      </c>
    </row>
    <row r="734" spans="2:35">
      <c r="B734" s="39">
        <f t="shared" si="339"/>
        <v>706</v>
      </c>
      <c r="C734" s="45">
        <f t="shared" si="340"/>
        <v>20.739808153475909</v>
      </c>
      <c r="D734" s="10">
        <f t="shared" si="341"/>
        <v>3.7601918465243216</v>
      </c>
      <c r="E734" s="40">
        <f t="shared" si="342"/>
        <v>61.479616306951357</v>
      </c>
      <c r="F734" s="40">
        <f t="shared" si="343"/>
        <v>69</v>
      </c>
      <c r="G734" s="3">
        <f t="shared" si="344"/>
        <v>294.08153477219457</v>
      </c>
      <c r="H734" s="3">
        <f t="shared" si="345"/>
        <v>221.47275588995251</v>
      </c>
      <c r="I734">
        <f t="shared" si="330"/>
        <v>2.214727558899525E-4</v>
      </c>
      <c r="J734" s="4">
        <f t="shared" si="346"/>
        <v>3647.1873972590688</v>
      </c>
      <c r="K734" s="40">
        <f t="shared" si="347"/>
        <v>16.467882844566752</v>
      </c>
      <c r="L734" s="40">
        <f t="shared" si="331"/>
        <v>0</v>
      </c>
      <c r="M734" s="10">
        <f t="shared" si="348"/>
        <v>6.0200461526055102</v>
      </c>
      <c r="N734" s="10">
        <f t="shared" si="357"/>
        <v>17.20418640980624</v>
      </c>
      <c r="O734" s="10">
        <f t="shared" si="358"/>
        <v>-0.14810000000000001</v>
      </c>
      <c r="P734" s="10">
        <f t="shared" si="349"/>
        <v>13.187892734472392</v>
      </c>
      <c r="Q734" s="45">
        <f t="shared" si="350"/>
        <v>1.6407595867383953</v>
      </c>
      <c r="R734" s="4">
        <f t="shared" si="351"/>
        <v>226641.95492015994</v>
      </c>
      <c r="S734">
        <f t="shared" si="332"/>
        <v>2.2664195492015995E-4</v>
      </c>
      <c r="T734" s="44">
        <f t="shared" si="333"/>
        <v>1.8497544395618438E-3</v>
      </c>
      <c r="U734" s="45">
        <f t="shared" si="352"/>
        <v>0.40456722163023151</v>
      </c>
      <c r="V734" s="45">
        <f t="shared" si="353"/>
        <v>1.4827024153960118</v>
      </c>
      <c r="W734" s="45">
        <f t="shared" si="354"/>
        <v>1.4746446128042732</v>
      </c>
      <c r="X734" s="45">
        <f t="shared" si="355"/>
        <v>8.0578025917386054E-3</v>
      </c>
      <c r="Y734" s="45">
        <f t="shared" ref="Y734:Y797" si="359">IF((X734*(Q734-Q733)+Y733)&lt;0,0,X734*(Q734-Q733)+Y733)</f>
        <v>3.4371537359751819E-2</v>
      </c>
      <c r="Z734" s="10">
        <f t="shared" si="356"/>
        <v>18.581675829302778</v>
      </c>
      <c r="AA734">
        <f t="shared" si="334"/>
        <v>6017215.0364548657</v>
      </c>
      <c r="AB734" s="10">
        <f t="shared" si="335"/>
        <v>6.017215036454866</v>
      </c>
      <c r="AC734" s="10">
        <f t="shared" si="336"/>
        <v>5.916215036454866</v>
      </c>
      <c r="AD734" s="3">
        <f t="shared" si="337"/>
        <v>858.04424024000957</v>
      </c>
      <c r="AI734" s="100">
        <f t="shared" si="338"/>
        <v>1.4746446128042732</v>
      </c>
    </row>
    <row r="735" spans="2:35">
      <c r="B735" s="39">
        <f t="shared" si="339"/>
        <v>707</v>
      </c>
      <c r="C735" s="45">
        <f t="shared" si="340"/>
        <v>20.769184652276866</v>
      </c>
      <c r="D735" s="10">
        <f t="shared" si="341"/>
        <v>3.7308153477233645</v>
      </c>
      <c r="E735" s="40">
        <f t="shared" si="342"/>
        <v>61.538369304553271</v>
      </c>
      <c r="F735" s="40">
        <f t="shared" si="343"/>
        <v>69</v>
      </c>
      <c r="G735" s="3">
        <f t="shared" si="344"/>
        <v>293.84652278178692</v>
      </c>
      <c r="H735" s="3">
        <f t="shared" si="345"/>
        <v>221.47275588995251</v>
      </c>
      <c r="I735">
        <f t="shared" si="330"/>
        <v>2.214727558899525E-4</v>
      </c>
      <c r="J735" s="4">
        <f t="shared" si="346"/>
        <v>3652.8640002545626</v>
      </c>
      <c r="K735" s="40">
        <f t="shared" si="347"/>
        <v>16.493514001648276</v>
      </c>
      <c r="L735" s="40">
        <f t="shared" si="331"/>
        <v>0</v>
      </c>
      <c r="M735" s="10">
        <f t="shared" si="348"/>
        <v>6.017215036454866</v>
      </c>
      <c r="N735" s="10">
        <f t="shared" si="357"/>
        <v>17.20418640980624</v>
      </c>
      <c r="O735" s="10">
        <f t="shared" si="358"/>
        <v>-0.14810000000000001</v>
      </c>
      <c r="P735" s="10">
        <f t="shared" si="349"/>
        <v>13.188811501919158</v>
      </c>
      <c r="Q735" s="45">
        <f t="shared" si="350"/>
        <v>1.6429869670293853</v>
      </c>
      <c r="R735" s="4">
        <f t="shared" si="351"/>
        <v>224792.78646910159</v>
      </c>
      <c r="S735">
        <f t="shared" si="332"/>
        <v>2.2479278646910159E-4</v>
      </c>
      <c r="T735" s="44">
        <f t="shared" si="333"/>
        <v>1.8516036080129022E-3</v>
      </c>
      <c r="U735" s="45">
        <f t="shared" si="352"/>
        <v>0.40126636348666977</v>
      </c>
      <c r="V735" s="45">
        <f t="shared" si="353"/>
        <v>1.481946373016793</v>
      </c>
      <c r="W735" s="45">
        <f t="shared" si="354"/>
        <v>1.4739392812234517</v>
      </c>
      <c r="X735" s="45">
        <f t="shared" si="355"/>
        <v>8.0070917933412478E-3</v>
      </c>
      <c r="Y735" s="45">
        <f t="shared" si="359"/>
        <v>3.4389372198200457E-2</v>
      </c>
      <c r="Z735" s="10">
        <f t="shared" si="356"/>
        <v>18.572750695331777</v>
      </c>
      <c r="AA735">
        <f t="shared" si="334"/>
        <v>6014373.3653221512</v>
      </c>
      <c r="AB735" s="10">
        <f t="shared" si="335"/>
        <v>6.0143733653221512</v>
      </c>
      <c r="AC735" s="10">
        <f t="shared" si="336"/>
        <v>5.9133733653221512</v>
      </c>
      <c r="AD735" s="3">
        <f t="shared" si="337"/>
        <v>857.63210519538086</v>
      </c>
      <c r="AI735" s="100">
        <f t="shared" si="338"/>
        <v>1.4739392812234517</v>
      </c>
    </row>
    <row r="736" spans="2:35">
      <c r="B736" s="39">
        <f t="shared" si="339"/>
        <v>708</v>
      </c>
      <c r="C736" s="45">
        <f t="shared" si="340"/>
        <v>20.798561151077823</v>
      </c>
      <c r="D736" s="10">
        <f t="shared" si="341"/>
        <v>3.7014388489224075</v>
      </c>
      <c r="E736" s="40">
        <f t="shared" si="342"/>
        <v>61.597122302155185</v>
      </c>
      <c r="F736" s="40">
        <f t="shared" si="343"/>
        <v>69</v>
      </c>
      <c r="G736" s="3">
        <f t="shared" si="344"/>
        <v>293.61151079137926</v>
      </c>
      <c r="H736" s="3">
        <f t="shared" si="345"/>
        <v>221.47275588995251</v>
      </c>
      <c r="I736">
        <f t="shared" si="330"/>
        <v>2.214727558899525E-4</v>
      </c>
      <c r="J736" s="4">
        <f t="shared" si="346"/>
        <v>3658.5460255050302</v>
      </c>
      <c r="K736" s="40">
        <f t="shared" si="347"/>
        <v>16.519169641447562</v>
      </c>
      <c r="L736" s="40">
        <f t="shared" si="331"/>
        <v>0</v>
      </c>
      <c r="M736" s="10">
        <f t="shared" si="348"/>
        <v>6.0143733653221512</v>
      </c>
      <c r="N736" s="10">
        <f t="shared" si="357"/>
        <v>17.20418640980624</v>
      </c>
      <c r="O736" s="10">
        <f t="shared" si="358"/>
        <v>-0.14810000000000001</v>
      </c>
      <c r="P736" s="10">
        <f t="shared" si="349"/>
        <v>13.189734193937594</v>
      </c>
      <c r="Q736" s="45">
        <f t="shared" si="350"/>
        <v>1.6452141915032841</v>
      </c>
      <c r="R736" s="4">
        <f t="shared" si="351"/>
        <v>222944.69412110592</v>
      </c>
      <c r="S736">
        <f t="shared" si="332"/>
        <v>2.2294469412110593E-4</v>
      </c>
      <c r="T736" s="44">
        <f t="shared" si="333"/>
        <v>1.8534517003608978E-3</v>
      </c>
      <c r="U736" s="45">
        <f t="shared" si="352"/>
        <v>0.39796742624088011</v>
      </c>
      <c r="V736" s="45">
        <f t="shared" si="353"/>
        <v>1.4811875877130793</v>
      </c>
      <c r="W736" s="45">
        <f t="shared" si="354"/>
        <v>1.4732313200217346</v>
      </c>
      <c r="X736" s="45">
        <f t="shared" si="355"/>
        <v>7.9562676913447206E-3</v>
      </c>
      <c r="Y736" s="45">
        <f t="shared" si="359"/>
        <v>3.440709259232351E-2</v>
      </c>
      <c r="Z736" s="10">
        <f t="shared" si="356"/>
        <v>18.563792401832686</v>
      </c>
      <c r="AA736">
        <f t="shared" si="334"/>
        <v>6011521.1365357284</v>
      </c>
      <c r="AB736" s="10">
        <f t="shared" si="335"/>
        <v>6.0115211365357286</v>
      </c>
      <c r="AC736" s="10">
        <f t="shared" si="336"/>
        <v>5.9105211365357286</v>
      </c>
      <c r="AD736" s="3">
        <f t="shared" si="337"/>
        <v>857.2184389464436</v>
      </c>
      <c r="AI736" s="100">
        <f t="shared" si="338"/>
        <v>1.4732313200217346</v>
      </c>
    </row>
    <row r="737" spans="2:35">
      <c r="B737" s="39">
        <f t="shared" si="339"/>
        <v>709</v>
      </c>
      <c r="C737" s="45">
        <f t="shared" si="340"/>
        <v>20.82793764987878</v>
      </c>
      <c r="D737" s="10">
        <f t="shared" si="341"/>
        <v>3.6720623501214504</v>
      </c>
      <c r="E737" s="40">
        <f t="shared" si="342"/>
        <v>61.655875299757099</v>
      </c>
      <c r="F737" s="40">
        <f t="shared" si="343"/>
        <v>69</v>
      </c>
      <c r="G737" s="3">
        <f t="shared" si="344"/>
        <v>293.3764988009716</v>
      </c>
      <c r="H737" s="3">
        <f t="shared" si="345"/>
        <v>221.47275588995251</v>
      </c>
      <c r="I737">
        <f t="shared" si="330"/>
        <v>2.214727558899525E-4</v>
      </c>
      <c r="J737" s="4">
        <f t="shared" si="346"/>
        <v>3664.2334730104722</v>
      </c>
      <c r="K737" s="40">
        <f t="shared" si="347"/>
        <v>16.54484976396461</v>
      </c>
      <c r="L737" s="40">
        <f t="shared" si="331"/>
        <v>0</v>
      </c>
      <c r="M737" s="10">
        <f t="shared" si="348"/>
        <v>6.0115211365357286</v>
      </c>
      <c r="N737" s="10">
        <f t="shared" si="357"/>
        <v>17.20418640980624</v>
      </c>
      <c r="O737" s="10">
        <f t="shared" si="358"/>
        <v>-0.14810000000000001</v>
      </c>
      <c r="P737" s="10">
        <f t="shared" si="349"/>
        <v>13.190660817479657</v>
      </c>
      <c r="Q737" s="45">
        <f t="shared" si="350"/>
        <v>1.6474412595181047</v>
      </c>
      <c r="R737" s="4">
        <f t="shared" si="351"/>
        <v>221097.68169905769</v>
      </c>
      <c r="S737">
        <f t="shared" si="332"/>
        <v>2.210976816990577E-4</v>
      </c>
      <c r="T737" s="44">
        <f t="shared" si="333"/>
        <v>1.8552987127829462E-3</v>
      </c>
      <c r="U737" s="45">
        <f t="shared" si="352"/>
        <v>0.39467041671690295</v>
      </c>
      <c r="V737" s="45">
        <f t="shared" si="353"/>
        <v>1.480426058852397</v>
      </c>
      <c r="W737" s="45">
        <f t="shared" si="354"/>
        <v>1.4725207285335211</v>
      </c>
      <c r="X737" s="45">
        <f t="shared" si="355"/>
        <v>7.9053303188758584E-3</v>
      </c>
      <c r="Y737" s="45">
        <f t="shared" si="359"/>
        <v>3.4424698300623273E-2</v>
      </c>
      <c r="Z737" s="10">
        <f t="shared" si="356"/>
        <v>18.554800940375937</v>
      </c>
      <c r="AA737">
        <f t="shared" si="334"/>
        <v>6008658.3474117126</v>
      </c>
      <c r="AB737" s="10">
        <f t="shared" si="335"/>
        <v>6.0086583474117123</v>
      </c>
      <c r="AC737" s="10">
        <f t="shared" si="336"/>
        <v>5.9076583474117124</v>
      </c>
      <c r="AD737" s="3">
        <f t="shared" si="337"/>
        <v>856.80324110394668</v>
      </c>
      <c r="AI737" s="100">
        <f t="shared" si="338"/>
        <v>1.4725207285335211</v>
      </c>
    </row>
    <row r="738" spans="2:35">
      <c r="B738" s="39">
        <f t="shared" si="339"/>
        <v>710</v>
      </c>
      <c r="C738" s="45">
        <f t="shared" si="340"/>
        <v>20.857314148679738</v>
      </c>
      <c r="D738" s="10">
        <f t="shared" si="341"/>
        <v>3.6426858513204934</v>
      </c>
      <c r="E738" s="40">
        <f t="shared" si="342"/>
        <v>61.714628297359013</v>
      </c>
      <c r="F738" s="40">
        <f t="shared" si="343"/>
        <v>69</v>
      </c>
      <c r="G738" s="3">
        <f t="shared" si="344"/>
        <v>293.14148681056395</v>
      </c>
      <c r="H738" s="3">
        <f t="shared" si="345"/>
        <v>221.47275588995251</v>
      </c>
      <c r="I738">
        <f t="shared" si="330"/>
        <v>2.214727558899525E-4</v>
      </c>
      <c r="J738" s="4">
        <f t="shared" si="346"/>
        <v>3669.9263427708879</v>
      </c>
      <c r="K738" s="40">
        <f t="shared" si="347"/>
        <v>16.570554369199414</v>
      </c>
      <c r="L738" s="40">
        <f t="shared" si="331"/>
        <v>0</v>
      </c>
      <c r="M738" s="10">
        <f t="shared" si="348"/>
        <v>6.0086583474117123</v>
      </c>
      <c r="N738" s="10">
        <f t="shared" si="357"/>
        <v>17.20418640980624</v>
      </c>
      <c r="O738" s="10">
        <f t="shared" si="358"/>
        <v>-0.14810000000000001</v>
      </c>
      <c r="P738" s="10">
        <f t="shared" si="349"/>
        <v>13.191591379536026</v>
      </c>
      <c r="Q738" s="45">
        <f t="shared" si="350"/>
        <v>1.6496681704309555</v>
      </c>
      <c r="R738" s="4">
        <f t="shared" si="351"/>
        <v>219251.7530258417</v>
      </c>
      <c r="S738">
        <f t="shared" si="332"/>
        <v>2.1925175302584169E-4</v>
      </c>
      <c r="T738" s="44">
        <f t="shared" si="333"/>
        <v>1.8571446414561621E-3</v>
      </c>
      <c r="U738" s="45">
        <f t="shared" si="352"/>
        <v>0.39137534173877875</v>
      </c>
      <c r="V738" s="45">
        <f t="shared" si="353"/>
        <v>1.4796617857990702</v>
      </c>
      <c r="W738" s="45">
        <f t="shared" si="354"/>
        <v>1.4718075060901608</v>
      </c>
      <c r="X738" s="45">
        <f t="shared" si="355"/>
        <v>7.8542797089093952E-3</v>
      </c>
      <c r="Y738" s="45">
        <f t="shared" si="359"/>
        <v>3.4442189081819626E-2</v>
      </c>
      <c r="Z738" s="10">
        <f t="shared" si="356"/>
        <v>18.545776302493042</v>
      </c>
      <c r="AA738">
        <f t="shared" si="334"/>
        <v>6005784.9952538228</v>
      </c>
      <c r="AB738" s="10">
        <f t="shared" si="335"/>
        <v>6.0057849952538227</v>
      </c>
      <c r="AC738" s="10">
        <f t="shared" si="336"/>
        <v>5.9047849952538227</v>
      </c>
      <c r="AD738" s="3">
        <f t="shared" si="337"/>
        <v>856.38651127684159</v>
      </c>
      <c r="AI738" s="100">
        <f t="shared" si="338"/>
        <v>1.4718075060901608</v>
      </c>
    </row>
    <row r="739" spans="2:35">
      <c r="B739" s="39">
        <f t="shared" si="339"/>
        <v>711</v>
      </c>
      <c r="C739" s="45">
        <f t="shared" si="340"/>
        <v>20.886690647480695</v>
      </c>
      <c r="D739" s="10">
        <f t="shared" si="341"/>
        <v>3.6133093525195363</v>
      </c>
      <c r="E739" s="40">
        <f t="shared" si="342"/>
        <v>61.773381294960927</v>
      </c>
      <c r="F739" s="40">
        <f t="shared" si="343"/>
        <v>69</v>
      </c>
      <c r="G739" s="3">
        <f t="shared" si="344"/>
        <v>292.90647482015629</v>
      </c>
      <c r="H739" s="3">
        <f t="shared" si="345"/>
        <v>221.47275588995251</v>
      </c>
      <c r="I739">
        <f t="shared" si="330"/>
        <v>2.214727558899525E-4</v>
      </c>
      <c r="J739" s="4">
        <f t="shared" si="346"/>
        <v>3675.6246347862775</v>
      </c>
      <c r="K739" s="40">
        <f t="shared" si="347"/>
        <v>16.59628345715198</v>
      </c>
      <c r="L739" s="40">
        <f t="shared" si="331"/>
        <v>0</v>
      </c>
      <c r="M739" s="10">
        <f t="shared" si="348"/>
        <v>6.0057849952538227</v>
      </c>
      <c r="N739" s="10">
        <f t="shared" si="357"/>
        <v>17.20418640980624</v>
      </c>
      <c r="O739" s="10">
        <f t="shared" si="358"/>
        <v>-0.14810000000000001</v>
      </c>
      <c r="P739" s="10">
        <f t="shared" si="349"/>
        <v>13.192525887136332</v>
      </c>
      <c r="Q739" s="45">
        <f t="shared" si="350"/>
        <v>1.6518949235980349</v>
      </c>
      <c r="R739" s="4">
        <f t="shared" si="351"/>
        <v>217406.91192434286</v>
      </c>
      <c r="S739">
        <f t="shared" si="332"/>
        <v>2.1740691192434285E-4</v>
      </c>
      <c r="T739" s="44">
        <f t="shared" si="333"/>
        <v>1.8589894825576611E-3</v>
      </c>
      <c r="U739" s="45">
        <f t="shared" si="352"/>
        <v>0.38808220813054822</v>
      </c>
      <c r="V739" s="45">
        <f t="shared" si="353"/>
        <v>1.4788947679143702</v>
      </c>
      <c r="W739" s="45">
        <f t="shared" si="354"/>
        <v>1.4710916520199138</v>
      </c>
      <c r="X739" s="45">
        <f t="shared" si="355"/>
        <v>7.8031158944564805E-3</v>
      </c>
      <c r="Y739" s="45">
        <f t="shared" si="359"/>
        <v>3.4459564694850696E-2</v>
      </c>
      <c r="Z739" s="10">
        <f t="shared" si="356"/>
        <v>18.536718479676416</v>
      </c>
      <c r="AA739">
        <f t="shared" si="334"/>
        <v>6002901.0773533303</v>
      </c>
      <c r="AB739" s="10">
        <f t="shared" si="335"/>
        <v>6.0029010773533305</v>
      </c>
      <c r="AC739" s="10">
        <f t="shared" si="336"/>
        <v>5.9019010773533305</v>
      </c>
      <c r="AD739" s="3">
        <f t="shared" si="337"/>
        <v>855.96824907227415</v>
      </c>
      <c r="AI739" s="100">
        <f t="shared" si="338"/>
        <v>1.4710916520199138</v>
      </c>
    </row>
    <row r="740" spans="2:35">
      <c r="B740" s="39">
        <f t="shared" si="339"/>
        <v>712</v>
      </c>
      <c r="C740" s="45">
        <f t="shared" si="340"/>
        <v>20.916067146281652</v>
      </c>
      <c r="D740" s="10">
        <f t="shared" si="341"/>
        <v>3.5839328537185793</v>
      </c>
      <c r="E740" s="40">
        <f t="shared" si="342"/>
        <v>61.832134292562841</v>
      </c>
      <c r="F740" s="40">
        <f t="shared" si="343"/>
        <v>69</v>
      </c>
      <c r="G740" s="3">
        <f t="shared" si="344"/>
        <v>292.67146282974863</v>
      </c>
      <c r="H740" s="3">
        <f t="shared" si="345"/>
        <v>221.47275588995251</v>
      </c>
      <c r="I740">
        <f t="shared" si="330"/>
        <v>2.214727558899525E-4</v>
      </c>
      <c r="J740" s="4">
        <f t="shared" si="346"/>
        <v>3681.3283490566409</v>
      </c>
      <c r="K740" s="40">
        <f t="shared" si="347"/>
        <v>16.622037027822305</v>
      </c>
      <c r="L740" s="40">
        <f t="shared" si="331"/>
        <v>0</v>
      </c>
      <c r="M740" s="10">
        <f t="shared" si="348"/>
        <v>6.0029010773533305</v>
      </c>
      <c r="N740" s="10">
        <f t="shared" si="357"/>
        <v>17.20418640980624</v>
      </c>
      <c r="O740" s="10">
        <f t="shared" si="358"/>
        <v>-0.14810000000000001</v>
      </c>
      <c r="P740" s="10">
        <f t="shared" si="349"/>
        <v>13.193464347349341</v>
      </c>
      <c r="Q740" s="45">
        <f t="shared" si="350"/>
        <v>1.6541215183746267</v>
      </c>
      <c r="R740" s="4">
        <f t="shared" si="351"/>
        <v>215563.16221744582</v>
      </c>
      <c r="S740">
        <f t="shared" si="332"/>
        <v>2.1556316221744583E-4</v>
      </c>
      <c r="T740" s="44">
        <f t="shared" si="333"/>
        <v>1.860833232264558E-3</v>
      </c>
      <c r="U740" s="45">
        <f t="shared" si="352"/>
        <v>0.38479102271625165</v>
      </c>
      <c r="V740" s="45">
        <f t="shared" si="353"/>
        <v>1.4781250045570895</v>
      </c>
      <c r="W740" s="45">
        <f t="shared" si="354"/>
        <v>1.4703731656479404</v>
      </c>
      <c r="X740" s="45">
        <f t="shared" si="355"/>
        <v>7.7518389091491002E-3</v>
      </c>
      <c r="Y740" s="45">
        <f t="shared" si="359"/>
        <v>3.447682489887479E-2</v>
      </c>
      <c r="Z740" s="10">
        <f t="shared" si="356"/>
        <v>18.52762746337989</v>
      </c>
      <c r="AA740">
        <f t="shared" si="334"/>
        <v>6000006.5909892237</v>
      </c>
      <c r="AB740" s="10">
        <f t="shared" si="335"/>
        <v>6.0000065909892237</v>
      </c>
      <c r="AC740" s="10">
        <f t="shared" si="336"/>
        <v>5.8990065909892238</v>
      </c>
      <c r="AD740" s="3">
        <f t="shared" si="337"/>
        <v>855.54845409560892</v>
      </c>
      <c r="AI740" s="100">
        <f t="shared" si="338"/>
        <v>1.4703731656479404</v>
      </c>
    </row>
    <row r="741" spans="2:35">
      <c r="B741" s="39">
        <f t="shared" si="339"/>
        <v>713</v>
      </c>
      <c r="C741" s="45">
        <f t="shared" si="340"/>
        <v>20.945443645082609</v>
      </c>
      <c r="D741" s="10">
        <f t="shared" si="341"/>
        <v>3.5545563549176222</v>
      </c>
      <c r="E741" s="40">
        <f t="shared" si="342"/>
        <v>61.890887290164756</v>
      </c>
      <c r="F741" s="40">
        <f t="shared" si="343"/>
        <v>69</v>
      </c>
      <c r="G741" s="3">
        <f t="shared" si="344"/>
        <v>292.43645083934098</v>
      </c>
      <c r="H741" s="3">
        <f t="shared" si="345"/>
        <v>221.47275588995251</v>
      </c>
      <c r="I741">
        <f t="shared" si="330"/>
        <v>2.214727558899525E-4</v>
      </c>
      <c r="J741" s="4">
        <f t="shared" si="346"/>
        <v>3687.0374855819787</v>
      </c>
      <c r="K741" s="40">
        <f t="shared" si="347"/>
        <v>16.647815081210389</v>
      </c>
      <c r="L741" s="40">
        <f t="shared" si="331"/>
        <v>0</v>
      </c>
      <c r="M741" s="10">
        <f t="shared" si="348"/>
        <v>6.0000065909892237</v>
      </c>
      <c r="N741" s="10">
        <f t="shared" si="357"/>
        <v>17.20418640980624</v>
      </c>
      <c r="O741" s="10">
        <f t="shared" si="358"/>
        <v>-0.14810000000000001</v>
      </c>
      <c r="P741" s="10">
        <f t="shared" si="349"/>
        <v>13.194406767283075</v>
      </c>
      <c r="Q741" s="45">
        <f t="shared" si="350"/>
        <v>1.6563479541150952</v>
      </c>
      <c r="R741" s="4">
        <f t="shared" si="351"/>
        <v>213720.50772803542</v>
      </c>
      <c r="S741">
        <f t="shared" si="332"/>
        <v>2.137205077280354E-4</v>
      </c>
      <c r="T741" s="44">
        <f t="shared" si="333"/>
        <v>1.8626758867539685E-3</v>
      </c>
      <c r="U741" s="45">
        <f t="shared" si="352"/>
        <v>0.38150179231992964</v>
      </c>
      <c r="V741" s="45">
        <f t="shared" si="353"/>
        <v>1.4773524950825496</v>
      </c>
      <c r="W741" s="45">
        <f t="shared" si="354"/>
        <v>1.4696520462963387</v>
      </c>
      <c r="X741" s="45">
        <f t="shared" si="355"/>
        <v>7.7004487862109006E-3</v>
      </c>
      <c r="Y741" s="45">
        <f t="shared" si="359"/>
        <v>3.449396945327006E-2</v>
      </c>
      <c r="Z741" s="10">
        <f t="shared" si="356"/>
        <v>18.518503245017953</v>
      </c>
      <c r="AA741">
        <f t="shared" si="334"/>
        <v>5997101.533427964</v>
      </c>
      <c r="AB741" s="10">
        <f t="shared" si="335"/>
        <v>5.9971015334279638</v>
      </c>
      <c r="AC741" s="10">
        <f t="shared" si="336"/>
        <v>5.8961015334279638</v>
      </c>
      <c r="AD741" s="3">
        <f t="shared" si="337"/>
        <v>855.12712595039363</v>
      </c>
      <c r="AI741" s="100">
        <f t="shared" si="338"/>
        <v>1.4696520462963387</v>
      </c>
    </row>
    <row r="742" spans="2:35">
      <c r="B742" s="39">
        <f t="shared" si="339"/>
        <v>714</v>
      </c>
      <c r="C742" s="45">
        <f t="shared" si="340"/>
        <v>20.974820143883566</v>
      </c>
      <c r="D742" s="10">
        <f t="shared" si="341"/>
        <v>3.5251798561166652</v>
      </c>
      <c r="E742" s="40">
        <f t="shared" si="342"/>
        <v>61.94964028776667</v>
      </c>
      <c r="F742" s="40">
        <f t="shared" si="343"/>
        <v>69</v>
      </c>
      <c r="G742" s="3">
        <f t="shared" si="344"/>
        <v>292.20143884893332</v>
      </c>
      <c r="H742" s="3">
        <f t="shared" si="345"/>
        <v>221.47275588995251</v>
      </c>
      <c r="I742">
        <f t="shared" si="330"/>
        <v>2.214727558899525E-4</v>
      </c>
      <c r="J742" s="4">
        <f t="shared" si="346"/>
        <v>3692.7520443622898</v>
      </c>
      <c r="K742" s="40">
        <f t="shared" si="347"/>
        <v>16.673617617316232</v>
      </c>
      <c r="L742" s="40">
        <f t="shared" si="331"/>
        <v>0</v>
      </c>
      <c r="M742" s="10">
        <f t="shared" si="348"/>
        <v>5.9971015334279638</v>
      </c>
      <c r="N742" s="10">
        <f t="shared" si="357"/>
        <v>17.20418640980624</v>
      </c>
      <c r="O742" s="10">
        <f t="shared" si="358"/>
        <v>-0.14810000000000001</v>
      </c>
      <c r="P742" s="10">
        <f t="shared" si="349"/>
        <v>13.195353154085058</v>
      </c>
      <c r="Q742" s="45">
        <f t="shared" si="350"/>
        <v>1.6585742301728803</v>
      </c>
      <c r="R742" s="4">
        <f t="shared" si="351"/>
        <v>211878.95227899658</v>
      </c>
      <c r="S742">
        <f t="shared" si="332"/>
        <v>2.1187895227899658E-4</v>
      </c>
      <c r="T742" s="44">
        <f t="shared" si="333"/>
        <v>1.8645174422030073E-3</v>
      </c>
      <c r="U742" s="45">
        <f t="shared" si="352"/>
        <v>0.37821452376562287</v>
      </c>
      <c r="V742" s="45">
        <f t="shared" si="353"/>
        <v>1.476577238843054</v>
      </c>
      <c r="W742" s="45">
        <f t="shared" si="354"/>
        <v>1.4689282932840881</v>
      </c>
      <c r="X742" s="45">
        <f t="shared" si="355"/>
        <v>7.6489455589658917E-3</v>
      </c>
      <c r="Y742" s="45">
        <f t="shared" si="359"/>
        <v>3.4510998117635285E-2</v>
      </c>
      <c r="Z742" s="10">
        <f t="shared" si="356"/>
        <v>18.509345815965691</v>
      </c>
      <c r="AA742">
        <f t="shared" si="334"/>
        <v>5994185.9019234674</v>
      </c>
      <c r="AB742" s="10">
        <f t="shared" si="335"/>
        <v>5.9941859019234673</v>
      </c>
      <c r="AC742" s="10">
        <f t="shared" si="336"/>
        <v>5.8931859019234674</v>
      </c>
      <c r="AD742" s="3">
        <f t="shared" si="337"/>
        <v>854.70426423835636</v>
      </c>
      <c r="AI742" s="100">
        <f t="shared" si="338"/>
        <v>1.4689282932840881</v>
      </c>
    </row>
    <row r="743" spans="2:35">
      <c r="B743" s="39">
        <f t="shared" si="339"/>
        <v>715</v>
      </c>
      <c r="C743" s="45">
        <f t="shared" si="340"/>
        <v>21.004196642684523</v>
      </c>
      <c r="D743" s="10">
        <f t="shared" si="341"/>
        <v>3.4958033573157081</v>
      </c>
      <c r="E743" s="40">
        <f t="shared" si="342"/>
        <v>62.008393285368584</v>
      </c>
      <c r="F743" s="40">
        <f t="shared" si="343"/>
        <v>69</v>
      </c>
      <c r="G743" s="3">
        <f t="shared" si="344"/>
        <v>291.96642685852567</v>
      </c>
      <c r="H743" s="3">
        <f t="shared" si="345"/>
        <v>221.47275588995251</v>
      </c>
      <c r="I743">
        <f t="shared" ref="I743:I806" si="360">H743/1000^2</f>
        <v>2.214727558899525E-4</v>
      </c>
      <c r="J743" s="4">
        <f t="shared" si="346"/>
        <v>3698.4720253975752</v>
      </c>
      <c r="K743" s="40">
        <f t="shared" si="347"/>
        <v>16.699444636139837</v>
      </c>
      <c r="L743" s="40">
        <f t="shared" ref="L743:L806" si="361">IF((gstar-K743)&lt;0,0,gstar-K743)</f>
        <v>0</v>
      </c>
      <c r="M743" s="10">
        <f t="shared" si="348"/>
        <v>5.9941859019234673</v>
      </c>
      <c r="N743" s="10">
        <f t="shared" si="357"/>
        <v>17.20418640980624</v>
      </c>
      <c r="O743" s="10">
        <f t="shared" si="358"/>
        <v>-0.14810000000000001</v>
      </c>
      <c r="P743" s="10">
        <f t="shared" si="349"/>
        <v>13.196303514942505</v>
      </c>
      <c r="Q743" s="45">
        <f t="shared" si="350"/>
        <v>1.6608003459004925</v>
      </c>
      <c r="R743" s="4">
        <f t="shared" si="351"/>
        <v>210038.49969321396</v>
      </c>
      <c r="S743">
        <f t="shared" ref="S743:S806" si="362">R743/1000^3</f>
        <v>2.1003849969321396E-4</v>
      </c>
      <c r="T743" s="44">
        <f t="shared" ref="T743:T806" si="363">(vc/1000^3-S743)</f>
        <v>1.8663578947887898E-3</v>
      </c>
      <c r="U743" s="45">
        <f t="shared" si="352"/>
        <v>0.3749292238773716</v>
      </c>
      <c r="V743" s="45">
        <f t="shared" si="353"/>
        <v>1.4757992351885281</v>
      </c>
      <c r="W743" s="45">
        <f t="shared" si="354"/>
        <v>1.4682019059270415</v>
      </c>
      <c r="X743" s="45">
        <f t="shared" si="355"/>
        <v>7.5973292614865962E-3</v>
      </c>
      <c r="Y743" s="45">
        <f t="shared" si="359"/>
        <v>3.4527910651792129E-2</v>
      </c>
      <c r="Z743" s="10">
        <f t="shared" si="356"/>
        <v>18.500155167559409</v>
      </c>
      <c r="AA743">
        <f t="shared" ref="AA743:AA806" si="364">Z743*rat*to+patm*1000000</f>
        <v>5991259.6937173028</v>
      </c>
      <c r="AB743" s="10">
        <f t="shared" ref="AB743:AB806" si="365">AA743/1000000</f>
        <v>5.9912596937173026</v>
      </c>
      <c r="AC743" s="10">
        <f t="shared" ref="AC743:AC806" si="366">AB743-patm</f>
        <v>5.8902596937173026</v>
      </c>
      <c r="AD743" s="3">
        <f t="shared" ref="AD743:AD806" si="367">AC743*1000000/6895</f>
        <v>854.27986855943482</v>
      </c>
      <c r="AI743" s="100">
        <f t="shared" ref="AI743:AI806" si="368">($M743-patm)*1000000*$I743/SQRT(rat*to)*SQRT(k)*(2/(k+1))^((k+1)/2/(k-1))</f>
        <v>1.4682019059270415</v>
      </c>
    </row>
    <row r="744" spans="2:35">
      <c r="B744" s="39">
        <f t="shared" ref="B744:B807" si="369">1+B743</f>
        <v>716</v>
      </c>
      <c r="C744" s="45">
        <f t="shared" ref="C744:C807" si="370">xincp+C743</f>
        <v>21.03357314148548</v>
      </c>
      <c r="D744" s="10">
        <f t="shared" ref="D744:D807" si="371">(F744-E744)/2</f>
        <v>3.4664268585147511</v>
      </c>
      <c r="E744" s="40">
        <f t="shared" ref="E744:E807" si="372">E743+ci*2*xincp</f>
        <v>62.067146282970498</v>
      </c>
      <c r="F744" s="40">
        <f t="shared" ref="F744:F807" si="373">F743-osi*2*xincp</f>
        <v>69</v>
      </c>
      <c r="G744" s="3">
        <f t="shared" ref="G744:G807" si="374">G743-ei*n*2*xincp</f>
        <v>291.73141486811801</v>
      </c>
      <c r="H744" s="3">
        <f t="shared" ref="H744:H807" si="375">PI()/4*(dto+erate*(two-D744)/two)^2</f>
        <v>221.47275588995251</v>
      </c>
      <c r="I744">
        <f t="shared" si="360"/>
        <v>2.214727558899525E-4</v>
      </c>
      <c r="J744" s="4">
        <f t="shared" ref="J744:J807" si="376">PI()/4*dc^2-PI()/4*(F744^2-E744^2)</f>
        <v>3704.1974286878344</v>
      </c>
      <c r="K744" s="40">
        <f t="shared" ref="K744:K807" si="377">J744/H744</f>
        <v>16.725296137681202</v>
      </c>
      <c r="L744" s="40">
        <f t="shared" si="361"/>
        <v>0</v>
      </c>
      <c r="M744" s="10">
        <f t="shared" ref="M744:M807" si="378">AB743</f>
        <v>5.9912596937173026</v>
      </c>
      <c r="N744" s="10">
        <f t="shared" si="357"/>
        <v>17.20418640980624</v>
      </c>
      <c r="O744" s="10">
        <f t="shared" si="358"/>
        <v>-0.14810000000000001</v>
      </c>
      <c r="P744" s="10">
        <f t="shared" ref="P744:P807" si="379">(1+kv*L744)*N744*M744^O744</f>
        <v>13.197257857082423</v>
      </c>
      <c r="Q744" s="45">
        <f t="shared" ref="Q744:Q807" si="380">xincp/P744+Q743</f>
        <v>1.6630263006495083</v>
      </c>
      <c r="R744" s="4">
        <f t="shared" ref="R744:R807" si="381">PI()/4*(F744^2-E744^2)*G744</f>
        <v>208199.15379357239</v>
      </c>
      <c r="S744">
        <f t="shared" si="362"/>
        <v>2.0819915379357239E-4</v>
      </c>
      <c r="T744" s="44">
        <f t="shared" si="363"/>
        <v>1.8681972406884315E-3</v>
      </c>
      <c r="U744" s="45">
        <f t="shared" ref="U744:U807" si="382">rhopgrain*R744/1000^2</f>
        <v>0.37164589947921639</v>
      </c>
      <c r="V744" s="45">
        <f t="shared" ref="V744:V807" si="383">(U743-U744)/(Q744-Q743)</f>
        <v>1.4750184834651141</v>
      </c>
      <c r="W744" s="45">
        <f t="shared" ref="W744:W807" si="384">IF(V744&lt;AI744,IF(AB743&gt;pbd,AI744,0),AI744)</f>
        <v>1.4674728835379756</v>
      </c>
      <c r="X744" s="45">
        <f t="shared" ref="X744:X807" si="385">V744-W744</f>
        <v>7.5455999271385465E-3</v>
      </c>
      <c r="Y744" s="45">
        <f t="shared" si="359"/>
        <v>3.4544706815784115E-2</v>
      </c>
      <c r="Z744" s="10">
        <f t="shared" ref="Z744:Z807" si="386">Y744/T744</f>
        <v>18.490931291095567</v>
      </c>
      <c r="AA744">
        <f t="shared" si="364"/>
        <v>5988322.9060383495</v>
      </c>
      <c r="AB744" s="10">
        <f t="shared" si="365"/>
        <v>5.9883229060383494</v>
      </c>
      <c r="AC744" s="10">
        <f t="shared" si="366"/>
        <v>5.8873229060383494</v>
      </c>
      <c r="AD744" s="3">
        <f t="shared" si="367"/>
        <v>853.8539385117258</v>
      </c>
      <c r="AI744" s="100">
        <f t="shared" si="368"/>
        <v>1.4674728835379756</v>
      </c>
    </row>
    <row r="745" spans="2:35">
      <c r="B745" s="39">
        <f t="shared" si="369"/>
        <v>717</v>
      </c>
      <c r="C745" s="45">
        <f t="shared" si="370"/>
        <v>21.062949640286437</v>
      </c>
      <c r="D745" s="10">
        <f t="shared" si="371"/>
        <v>3.437050359713794</v>
      </c>
      <c r="E745" s="40">
        <f t="shared" si="372"/>
        <v>62.125899280572412</v>
      </c>
      <c r="F745" s="40">
        <f t="shared" si="373"/>
        <v>69</v>
      </c>
      <c r="G745" s="3">
        <f t="shared" si="374"/>
        <v>291.49640287771035</v>
      </c>
      <c r="H745" s="3">
        <f t="shared" si="375"/>
        <v>221.47275588995251</v>
      </c>
      <c r="I745">
        <f t="shared" si="360"/>
        <v>2.214727558899525E-4</v>
      </c>
      <c r="J745" s="4">
        <f t="shared" si="376"/>
        <v>3709.9282542330675</v>
      </c>
      <c r="K745" s="40">
        <f t="shared" si="377"/>
        <v>16.751172121940325</v>
      </c>
      <c r="L745" s="40">
        <f t="shared" si="361"/>
        <v>0</v>
      </c>
      <c r="M745" s="10">
        <f t="shared" si="378"/>
        <v>5.9883229060383494</v>
      </c>
      <c r="N745" s="10">
        <f t="shared" si="357"/>
        <v>17.20418640980624</v>
      </c>
      <c r="O745" s="10">
        <f t="shared" si="358"/>
        <v>-0.14810000000000001</v>
      </c>
      <c r="P745" s="10">
        <f t="shared" si="379"/>
        <v>13.19821618777191</v>
      </c>
      <c r="Q745" s="45">
        <f t="shared" si="380"/>
        <v>1.6652520937705646</v>
      </c>
      <c r="R745" s="4">
        <f t="shared" si="381"/>
        <v>206360.91840295677</v>
      </c>
      <c r="S745">
        <f t="shared" si="362"/>
        <v>2.0636091840295676E-4</v>
      </c>
      <c r="T745" s="44">
        <f t="shared" si="363"/>
        <v>1.870035476079047E-3</v>
      </c>
      <c r="U745" s="45">
        <f t="shared" si="382"/>
        <v>0.36836455739519797</v>
      </c>
      <c r="V745" s="45">
        <f t="shared" si="383"/>
        <v>1.4742349830163812</v>
      </c>
      <c r="W745" s="45">
        <f t="shared" si="384"/>
        <v>1.4667412254265058</v>
      </c>
      <c r="X745" s="45">
        <f t="shared" si="385"/>
        <v>7.4937575898754716E-3</v>
      </c>
      <c r="Y745" s="45">
        <f t="shared" si="359"/>
        <v>3.4561386369878523E-2</v>
      </c>
      <c r="Z745" s="10">
        <f t="shared" si="386"/>
        <v>18.481674177831266</v>
      </c>
      <c r="AA745">
        <f t="shared" si="364"/>
        <v>5985375.5361029608</v>
      </c>
      <c r="AB745" s="10">
        <f t="shared" si="365"/>
        <v>5.9853755361029606</v>
      </c>
      <c r="AC745" s="10">
        <f t="shared" si="366"/>
        <v>5.8843755361029606</v>
      </c>
      <c r="AD745" s="3">
        <f t="shared" si="367"/>
        <v>853.42647369150995</v>
      </c>
      <c r="AI745" s="100">
        <f t="shared" si="368"/>
        <v>1.4667412254265058</v>
      </c>
    </row>
    <row r="746" spans="2:35">
      <c r="B746" s="39">
        <f t="shared" si="369"/>
        <v>718</v>
      </c>
      <c r="C746" s="45">
        <f t="shared" si="370"/>
        <v>21.092326139087394</v>
      </c>
      <c r="D746" s="10">
        <f t="shared" si="371"/>
        <v>3.407673860912837</v>
      </c>
      <c r="E746" s="40">
        <f t="shared" si="372"/>
        <v>62.184652278174326</v>
      </c>
      <c r="F746" s="40">
        <f t="shared" si="373"/>
        <v>69</v>
      </c>
      <c r="G746" s="3">
        <f t="shared" si="374"/>
        <v>291.2613908873027</v>
      </c>
      <c r="H746" s="3">
        <f t="shared" si="375"/>
        <v>221.47275588995251</v>
      </c>
      <c r="I746">
        <f t="shared" si="360"/>
        <v>2.214727558899525E-4</v>
      </c>
      <c r="J746" s="4">
        <f t="shared" si="376"/>
        <v>3715.6645020332744</v>
      </c>
      <c r="K746" s="40">
        <f t="shared" si="377"/>
        <v>16.777072588917207</v>
      </c>
      <c r="L746" s="40">
        <f t="shared" si="361"/>
        <v>0</v>
      </c>
      <c r="M746" s="10">
        <f t="shared" si="378"/>
        <v>5.9853755361029606</v>
      </c>
      <c r="N746" s="10">
        <f t="shared" si="357"/>
        <v>17.20418640980624</v>
      </c>
      <c r="O746" s="10">
        <f t="shared" si="358"/>
        <v>-0.14810000000000001</v>
      </c>
      <c r="P746" s="10">
        <f t="shared" si="379"/>
        <v>13.199178514318268</v>
      </c>
      <c r="Q746" s="45">
        <f t="shared" si="380"/>
        <v>1.6674777246133545</v>
      </c>
      <c r="R746" s="4">
        <f t="shared" si="381"/>
        <v>204523.7973442518</v>
      </c>
      <c r="S746">
        <f t="shared" si="362"/>
        <v>2.0452379734425179E-4</v>
      </c>
      <c r="T746" s="44">
        <f t="shared" si="363"/>
        <v>1.8718725971377521E-3</v>
      </c>
      <c r="U746" s="45">
        <f t="shared" si="382"/>
        <v>0.36508520444935666</v>
      </c>
      <c r="V746" s="45">
        <f t="shared" si="383"/>
        <v>1.4734487331827646</v>
      </c>
      <c r="W746" s="45">
        <f t="shared" si="384"/>
        <v>1.4660069308991268</v>
      </c>
      <c r="X746" s="45">
        <f t="shared" si="385"/>
        <v>7.4418022836377773E-3</v>
      </c>
      <c r="Y746" s="45">
        <f t="shared" si="359"/>
        <v>3.4577949074566933E-2</v>
      </c>
      <c r="Z746" s="10">
        <f t="shared" si="386"/>
        <v>18.472383818983982</v>
      </c>
      <c r="AA746">
        <f t="shared" si="364"/>
        <v>5982417.5811148705</v>
      </c>
      <c r="AB746" s="10">
        <f t="shared" si="365"/>
        <v>5.9824175811148708</v>
      </c>
      <c r="AC746" s="10">
        <f t="shared" si="366"/>
        <v>5.8814175811148708</v>
      </c>
      <c r="AD746" s="3">
        <f t="shared" si="367"/>
        <v>852.99747369323723</v>
      </c>
      <c r="AI746" s="100">
        <f t="shared" si="368"/>
        <v>1.4660069308991268</v>
      </c>
    </row>
    <row r="747" spans="2:35">
      <c r="B747" s="39">
        <f t="shared" si="369"/>
        <v>719</v>
      </c>
      <c r="C747" s="45">
        <f t="shared" si="370"/>
        <v>21.121702637888351</v>
      </c>
      <c r="D747" s="10">
        <f t="shared" si="371"/>
        <v>3.3782973621118799</v>
      </c>
      <c r="E747" s="40">
        <f t="shared" si="372"/>
        <v>62.24340527577624</v>
      </c>
      <c r="F747" s="40">
        <f t="shared" si="373"/>
        <v>69</v>
      </c>
      <c r="G747" s="3">
        <f t="shared" si="374"/>
        <v>291.02637889689504</v>
      </c>
      <c r="H747" s="3">
        <f t="shared" si="375"/>
        <v>221.47275588995251</v>
      </c>
      <c r="I747">
        <f t="shared" si="360"/>
        <v>2.214727558899525E-4</v>
      </c>
      <c r="J747" s="4">
        <f t="shared" si="376"/>
        <v>3721.4061720884556</v>
      </c>
      <c r="K747" s="40">
        <f t="shared" si="377"/>
        <v>16.802997538611852</v>
      </c>
      <c r="L747" s="40">
        <f t="shared" si="361"/>
        <v>0</v>
      </c>
      <c r="M747" s="10">
        <f t="shared" si="378"/>
        <v>5.9824175811148708</v>
      </c>
      <c r="N747" s="10">
        <f t="shared" si="357"/>
        <v>17.20418640980624</v>
      </c>
      <c r="O747" s="10">
        <f t="shared" si="358"/>
        <v>-0.14810000000000001</v>
      </c>
      <c r="P747" s="10">
        <f t="shared" si="379"/>
        <v>13.200144844069223</v>
      </c>
      <c r="Q747" s="45">
        <f t="shared" si="380"/>
        <v>1.6697031925266219</v>
      </c>
      <c r="R747" s="4">
        <f t="shared" si="381"/>
        <v>202687.79444034226</v>
      </c>
      <c r="S747">
        <f t="shared" si="362"/>
        <v>2.0268779444034227E-4</v>
      </c>
      <c r="T747" s="44">
        <f t="shared" si="363"/>
        <v>1.8737086000416615E-3</v>
      </c>
      <c r="U747" s="45">
        <f t="shared" si="382"/>
        <v>0.36180784746573297</v>
      </c>
      <c r="V747" s="45">
        <f t="shared" si="383"/>
        <v>1.4726597333016327</v>
      </c>
      <c r="W747" s="45">
        <f t="shared" si="384"/>
        <v>1.4652699992591891</v>
      </c>
      <c r="X747" s="45">
        <f t="shared" si="385"/>
        <v>7.3897340424435853E-3</v>
      </c>
      <c r="Y747" s="45">
        <f t="shared" si="359"/>
        <v>3.4594394690565973E-2</v>
      </c>
      <c r="Z747" s="10">
        <f t="shared" si="386"/>
        <v>18.463060205731441</v>
      </c>
      <c r="AA747">
        <f t="shared" si="364"/>
        <v>5979449.0382651575</v>
      </c>
      <c r="AB747" s="10">
        <f t="shared" si="365"/>
        <v>5.9794490382651571</v>
      </c>
      <c r="AC747" s="10">
        <f t="shared" si="366"/>
        <v>5.8784490382651571</v>
      </c>
      <c r="AD747" s="3">
        <f t="shared" si="367"/>
        <v>852.56693810952243</v>
      </c>
      <c r="AI747" s="100">
        <f t="shared" si="368"/>
        <v>1.4652699992591891</v>
      </c>
    </row>
    <row r="748" spans="2:35">
      <c r="B748" s="39">
        <f t="shared" si="369"/>
        <v>720</v>
      </c>
      <c r="C748" s="45">
        <f t="shared" si="370"/>
        <v>21.151079136689308</v>
      </c>
      <c r="D748" s="10">
        <f t="shared" si="371"/>
        <v>3.3489208633109229</v>
      </c>
      <c r="E748" s="40">
        <f t="shared" si="372"/>
        <v>62.302158273378154</v>
      </c>
      <c r="F748" s="40">
        <f t="shared" si="373"/>
        <v>69</v>
      </c>
      <c r="G748" s="3">
        <f t="shared" si="374"/>
        <v>290.79136690648738</v>
      </c>
      <c r="H748" s="3">
        <f t="shared" si="375"/>
        <v>221.47275588995251</v>
      </c>
      <c r="I748">
        <f t="shared" si="360"/>
        <v>2.214727558899525E-4</v>
      </c>
      <c r="J748" s="4">
        <f t="shared" si="376"/>
        <v>3727.1532643986106</v>
      </c>
      <c r="K748" s="40">
        <f t="shared" si="377"/>
        <v>16.828946971024255</v>
      </c>
      <c r="L748" s="40">
        <f t="shared" si="361"/>
        <v>0</v>
      </c>
      <c r="M748" s="10">
        <f t="shared" si="378"/>
        <v>5.9794490382651571</v>
      </c>
      <c r="N748" s="10">
        <f t="shared" si="357"/>
        <v>17.20418640980624</v>
      </c>
      <c r="O748" s="10">
        <f t="shared" si="358"/>
        <v>-0.14810000000000001</v>
      </c>
      <c r="P748" s="10">
        <f t="shared" si="379"/>
        <v>13.201115184413114</v>
      </c>
      <c r="Q748" s="45">
        <f t="shared" si="380"/>
        <v>1.6719284968581563</v>
      </c>
      <c r="R748" s="4">
        <f t="shared" si="381"/>
        <v>200852.91351411305</v>
      </c>
      <c r="S748">
        <f t="shared" si="362"/>
        <v>2.0085291351411305E-4</v>
      </c>
      <c r="T748" s="44">
        <f t="shared" si="363"/>
        <v>1.8755434809678909E-3</v>
      </c>
      <c r="U748" s="45">
        <f t="shared" si="382"/>
        <v>0.3585324932683675</v>
      </c>
      <c r="V748" s="45">
        <f t="shared" si="383"/>
        <v>1.4718679827073904</v>
      </c>
      <c r="W748" s="45">
        <f t="shared" si="384"/>
        <v>1.4645304298068915</v>
      </c>
      <c r="X748" s="45">
        <f t="shared" si="385"/>
        <v>7.3375529004988671E-3</v>
      </c>
      <c r="Y748" s="45">
        <f t="shared" si="359"/>
        <v>3.4610722978818315E-2</v>
      </c>
      <c r="Z748" s="10">
        <f t="shared" si="386"/>
        <v>18.453703329211617</v>
      </c>
      <c r="AA748">
        <f t="shared" si="364"/>
        <v>5976469.9047322422</v>
      </c>
      <c r="AB748" s="10">
        <f t="shared" si="365"/>
        <v>5.9764699047322418</v>
      </c>
      <c r="AC748" s="10">
        <f t="shared" si="366"/>
        <v>5.8754699047322418</v>
      </c>
      <c r="AD748" s="3">
        <f t="shared" si="367"/>
        <v>852.13486653114467</v>
      </c>
      <c r="AI748" s="100">
        <f t="shared" si="368"/>
        <v>1.4645304298068915</v>
      </c>
    </row>
    <row r="749" spans="2:35">
      <c r="B749" s="39">
        <f t="shared" si="369"/>
        <v>721</v>
      </c>
      <c r="C749" s="45">
        <f t="shared" si="370"/>
        <v>21.180455635490265</v>
      </c>
      <c r="D749" s="10">
        <f t="shared" si="371"/>
        <v>3.3195443645099658</v>
      </c>
      <c r="E749" s="40">
        <f t="shared" si="372"/>
        <v>62.360911270980068</v>
      </c>
      <c r="F749" s="40">
        <f t="shared" si="373"/>
        <v>69</v>
      </c>
      <c r="G749" s="3">
        <f t="shared" si="374"/>
        <v>290.55635491607973</v>
      </c>
      <c r="H749" s="3">
        <f t="shared" si="375"/>
        <v>221.47275588995251</v>
      </c>
      <c r="I749">
        <f t="shared" si="360"/>
        <v>2.214727558899525E-4</v>
      </c>
      <c r="J749" s="4">
        <f t="shared" si="376"/>
        <v>3732.9057789637395</v>
      </c>
      <c r="K749" s="40">
        <f t="shared" si="377"/>
        <v>16.854920886154417</v>
      </c>
      <c r="L749" s="40">
        <f t="shared" si="361"/>
        <v>0</v>
      </c>
      <c r="M749" s="10">
        <f t="shared" si="378"/>
        <v>5.9764699047322418</v>
      </c>
      <c r="N749" s="10">
        <f t="shared" si="357"/>
        <v>17.20418640980624</v>
      </c>
      <c r="O749" s="10">
        <f t="shared" si="358"/>
        <v>-0.14810000000000001</v>
      </c>
      <c r="P749" s="10">
        <f t="shared" si="379"/>
        <v>13.202089542779069</v>
      </c>
      <c r="Q749" s="45">
        <f t="shared" si="380"/>
        <v>1.6741536369547878</v>
      </c>
      <c r="R749" s="4">
        <f t="shared" si="381"/>
        <v>199019.15838844891</v>
      </c>
      <c r="S749">
        <f t="shared" si="362"/>
        <v>1.9901915838844891E-4</v>
      </c>
      <c r="T749" s="44">
        <f t="shared" si="363"/>
        <v>1.8773772360935548E-3</v>
      </c>
      <c r="U749" s="45">
        <f t="shared" si="382"/>
        <v>0.35525914868130076</v>
      </c>
      <c r="V749" s="45">
        <f t="shared" si="383"/>
        <v>1.4710734807313826</v>
      </c>
      <c r="W749" s="45">
        <f t="shared" si="384"/>
        <v>1.4637882218392777</v>
      </c>
      <c r="X749" s="45">
        <f t="shared" si="385"/>
        <v>7.2852588921048511E-3</v>
      </c>
      <c r="Y749" s="45">
        <f t="shared" si="359"/>
        <v>3.4626933700493481E-2</v>
      </c>
      <c r="Z749" s="10">
        <f t="shared" si="386"/>
        <v>18.44431318052262</v>
      </c>
      <c r="AA749">
        <f t="shared" si="364"/>
        <v>5973480.1776818549</v>
      </c>
      <c r="AB749" s="10">
        <f t="shared" si="365"/>
        <v>5.9734801776818554</v>
      </c>
      <c r="AC749" s="10">
        <f t="shared" si="366"/>
        <v>5.8724801776818554</v>
      </c>
      <c r="AD749" s="3">
        <f t="shared" si="367"/>
        <v>851.70125854704202</v>
      </c>
      <c r="AI749" s="100">
        <f t="shared" si="368"/>
        <v>1.4637882218392777</v>
      </c>
    </row>
    <row r="750" spans="2:35">
      <c r="B750" s="39">
        <f t="shared" si="369"/>
        <v>722</v>
      </c>
      <c r="C750" s="45">
        <f t="shared" si="370"/>
        <v>21.209832134291222</v>
      </c>
      <c r="D750" s="10">
        <f t="shared" si="371"/>
        <v>3.2901678657090088</v>
      </c>
      <c r="E750" s="40">
        <f t="shared" si="372"/>
        <v>62.419664268581982</v>
      </c>
      <c r="F750" s="40">
        <f t="shared" si="373"/>
        <v>69</v>
      </c>
      <c r="G750" s="3">
        <f t="shared" si="374"/>
        <v>290.32134292567207</v>
      </c>
      <c r="H750" s="3">
        <f t="shared" si="375"/>
        <v>221.47275588995251</v>
      </c>
      <c r="I750">
        <f t="shared" si="360"/>
        <v>2.214727558899525E-4</v>
      </c>
      <c r="J750" s="4">
        <f t="shared" si="376"/>
        <v>3738.6637157838418</v>
      </c>
      <c r="K750" s="40">
        <f t="shared" si="377"/>
        <v>16.880919284002339</v>
      </c>
      <c r="L750" s="40">
        <f t="shared" si="361"/>
        <v>0</v>
      </c>
      <c r="M750" s="10">
        <f t="shared" si="378"/>
        <v>5.9734801776818554</v>
      </c>
      <c r="N750" s="10">
        <f t="shared" si="357"/>
        <v>17.20418640980624</v>
      </c>
      <c r="O750" s="10">
        <f t="shared" si="358"/>
        <v>-0.14810000000000001</v>
      </c>
      <c r="P750" s="10">
        <f t="shared" si="379"/>
        <v>13.203067926637212</v>
      </c>
      <c r="Q750" s="45">
        <f t="shared" si="380"/>
        <v>1.6763786121623827</v>
      </c>
      <c r="R750" s="4">
        <f t="shared" si="381"/>
        <v>197186.53288623475</v>
      </c>
      <c r="S750">
        <f t="shared" si="362"/>
        <v>1.9718653288623475E-4</v>
      </c>
      <c r="T750" s="44">
        <f t="shared" si="363"/>
        <v>1.8792098615957691E-3</v>
      </c>
      <c r="U750" s="45">
        <f t="shared" si="382"/>
        <v>0.35198782052857336</v>
      </c>
      <c r="V750" s="45">
        <f t="shared" si="383"/>
        <v>1.470276226701672</v>
      </c>
      <c r="W750" s="45">
        <f t="shared" si="384"/>
        <v>1.4630433746502305</v>
      </c>
      <c r="X750" s="45">
        <f t="shared" si="385"/>
        <v>7.2328520514415295E-3</v>
      </c>
      <c r="Y750" s="45">
        <f t="shared" si="359"/>
        <v>3.4643026616988142E-2</v>
      </c>
      <c r="Z750" s="10">
        <f t="shared" si="386"/>
        <v>18.434889750722313</v>
      </c>
      <c r="AA750">
        <f t="shared" si="364"/>
        <v>5970479.8542669108</v>
      </c>
      <c r="AB750" s="10">
        <f t="shared" si="365"/>
        <v>5.9704798542669106</v>
      </c>
      <c r="AC750" s="10">
        <f t="shared" si="366"/>
        <v>5.8694798542669107</v>
      </c>
      <c r="AD750" s="3">
        <f t="shared" si="367"/>
        <v>851.26611374429456</v>
      </c>
      <c r="AI750" s="100">
        <f t="shared" si="368"/>
        <v>1.4630433746502305</v>
      </c>
    </row>
    <row r="751" spans="2:35">
      <c r="B751" s="39">
        <f t="shared" si="369"/>
        <v>723</v>
      </c>
      <c r="C751" s="45">
        <f t="shared" si="370"/>
        <v>21.239208633092179</v>
      </c>
      <c r="D751" s="10">
        <f t="shared" si="371"/>
        <v>3.2607913669080517</v>
      </c>
      <c r="E751" s="40">
        <f t="shared" si="372"/>
        <v>62.478417266183897</v>
      </c>
      <c r="F751" s="40">
        <f t="shared" si="373"/>
        <v>69</v>
      </c>
      <c r="G751" s="3">
        <f t="shared" si="374"/>
        <v>290.08633093526441</v>
      </c>
      <c r="H751" s="3">
        <f t="shared" si="375"/>
        <v>221.47275588995251</v>
      </c>
      <c r="I751">
        <f t="shared" si="360"/>
        <v>2.214727558899525E-4</v>
      </c>
      <c r="J751" s="4">
        <f t="shared" si="376"/>
        <v>3744.4270748589183</v>
      </c>
      <c r="K751" s="40">
        <f t="shared" si="377"/>
        <v>16.906942164568019</v>
      </c>
      <c r="L751" s="40">
        <f t="shared" si="361"/>
        <v>0</v>
      </c>
      <c r="M751" s="10">
        <f t="shared" si="378"/>
        <v>5.9704798542669106</v>
      </c>
      <c r="N751" s="10">
        <f t="shared" si="357"/>
        <v>17.20418640980624</v>
      </c>
      <c r="O751" s="10">
        <f t="shared" si="358"/>
        <v>-0.14810000000000001</v>
      </c>
      <c r="P751" s="10">
        <f t="shared" si="379"/>
        <v>13.204050343498878</v>
      </c>
      <c r="Q751" s="45">
        <f t="shared" si="380"/>
        <v>1.6786034218258374</v>
      </c>
      <c r="R751" s="4">
        <f t="shared" si="381"/>
        <v>195355.04083035522</v>
      </c>
      <c r="S751">
        <f t="shared" si="362"/>
        <v>1.9535504083035521E-4</v>
      </c>
      <c r="T751" s="44">
        <f t="shared" si="363"/>
        <v>1.8810413536516485E-3</v>
      </c>
      <c r="U751" s="45">
        <f t="shared" si="382"/>
        <v>0.34871851563422562</v>
      </c>
      <c r="V751" s="45">
        <f t="shared" si="383"/>
        <v>1.4694762199437286</v>
      </c>
      <c r="W751" s="45">
        <f t="shared" si="384"/>
        <v>1.4622958875304399</v>
      </c>
      <c r="X751" s="45">
        <f t="shared" si="385"/>
        <v>7.180332413288637E-3</v>
      </c>
      <c r="Y751" s="45">
        <f t="shared" si="359"/>
        <v>3.4659001489928044E-2</v>
      </c>
      <c r="Z751" s="10">
        <f t="shared" si="386"/>
        <v>18.425433030828824</v>
      </c>
      <c r="AA751">
        <f t="shared" si="364"/>
        <v>5967468.931627675</v>
      </c>
      <c r="AB751" s="10">
        <f t="shared" si="365"/>
        <v>5.9674689316276748</v>
      </c>
      <c r="AC751" s="10">
        <f t="shared" si="366"/>
        <v>5.8664689316276748</v>
      </c>
      <c r="AD751" s="3">
        <f t="shared" si="367"/>
        <v>850.82943170814724</v>
      </c>
      <c r="AI751" s="100">
        <f t="shared" si="368"/>
        <v>1.4622958875304399</v>
      </c>
    </row>
    <row r="752" spans="2:35">
      <c r="B752" s="39">
        <f t="shared" si="369"/>
        <v>724</v>
      </c>
      <c r="C752" s="45">
        <f t="shared" si="370"/>
        <v>21.268585131893136</v>
      </c>
      <c r="D752" s="10">
        <f t="shared" si="371"/>
        <v>3.2314148681070947</v>
      </c>
      <c r="E752" s="40">
        <f t="shared" si="372"/>
        <v>62.537170263785811</v>
      </c>
      <c r="F752" s="40">
        <f t="shared" si="373"/>
        <v>69</v>
      </c>
      <c r="G752" s="3">
        <f t="shared" si="374"/>
        <v>289.85131894485676</v>
      </c>
      <c r="H752" s="3">
        <f t="shared" si="375"/>
        <v>221.47275588995251</v>
      </c>
      <c r="I752">
        <f t="shared" si="360"/>
        <v>2.214727558899525E-4</v>
      </c>
      <c r="J752" s="4">
        <f t="shared" si="376"/>
        <v>3750.1958561889692</v>
      </c>
      <c r="K752" s="40">
        <f t="shared" si="377"/>
        <v>16.932989527851461</v>
      </c>
      <c r="L752" s="40">
        <f t="shared" si="361"/>
        <v>0</v>
      </c>
      <c r="M752" s="10">
        <f t="shared" si="378"/>
        <v>5.9674689316276748</v>
      </c>
      <c r="N752" s="10">
        <f t="shared" si="357"/>
        <v>17.20418640980624</v>
      </c>
      <c r="O752" s="10">
        <f t="shared" si="358"/>
        <v>-0.14810000000000001</v>
      </c>
      <c r="P752" s="10">
        <f t="shared" si="379"/>
        <v>13.205036800916751</v>
      </c>
      <c r="Q752" s="45">
        <f t="shared" si="380"/>
        <v>1.6808280652890739</v>
      </c>
      <c r="R752" s="4">
        <f t="shared" si="381"/>
        <v>193524.68604369514</v>
      </c>
      <c r="S752">
        <f t="shared" si="362"/>
        <v>1.9352468604369515E-4</v>
      </c>
      <c r="T752" s="44">
        <f t="shared" si="363"/>
        <v>1.8828717084383086E-3</v>
      </c>
      <c r="U752" s="45">
        <f t="shared" si="382"/>
        <v>0.345451240822298</v>
      </c>
      <c r="V752" s="45">
        <f t="shared" si="383"/>
        <v>1.4686734597796167</v>
      </c>
      <c r="W752" s="45">
        <f t="shared" si="384"/>
        <v>1.4615457597674448</v>
      </c>
      <c r="X752" s="45">
        <f t="shared" si="385"/>
        <v>7.1277000121718892E-3</v>
      </c>
      <c r="Y752" s="45">
        <f t="shared" si="359"/>
        <v>3.4674858081168033E-2</v>
      </c>
      <c r="Z752" s="10">
        <f t="shared" si="386"/>
        <v>18.415943011819991</v>
      </c>
      <c r="AA752">
        <f t="shared" si="364"/>
        <v>5964447.4068915816</v>
      </c>
      <c r="AB752" s="10">
        <f t="shared" si="365"/>
        <v>5.9644474068915816</v>
      </c>
      <c r="AC752" s="10">
        <f t="shared" si="366"/>
        <v>5.8634474068915816</v>
      </c>
      <c r="AD752" s="3">
        <f t="shared" si="367"/>
        <v>850.3912120219843</v>
      </c>
      <c r="AI752" s="100">
        <f t="shared" si="368"/>
        <v>1.4615457597674448</v>
      </c>
    </row>
    <row r="753" spans="2:35">
      <c r="B753" s="39">
        <f t="shared" si="369"/>
        <v>725</v>
      </c>
      <c r="C753" s="45">
        <f t="shared" si="370"/>
        <v>21.297961630694093</v>
      </c>
      <c r="D753" s="10">
        <f t="shared" si="371"/>
        <v>3.2020383693061376</v>
      </c>
      <c r="E753" s="40">
        <f t="shared" si="372"/>
        <v>62.595923261387725</v>
      </c>
      <c r="F753" s="40">
        <f t="shared" si="373"/>
        <v>69</v>
      </c>
      <c r="G753" s="3">
        <f t="shared" si="374"/>
        <v>289.6163069544491</v>
      </c>
      <c r="H753" s="3">
        <f t="shared" si="375"/>
        <v>221.47275588995251</v>
      </c>
      <c r="I753">
        <f t="shared" si="360"/>
        <v>2.214727558899525E-4</v>
      </c>
      <c r="J753" s="4">
        <f t="shared" si="376"/>
        <v>3755.9700597739934</v>
      </c>
      <c r="K753" s="40">
        <f t="shared" si="377"/>
        <v>16.959061373852663</v>
      </c>
      <c r="L753" s="40">
        <f t="shared" si="361"/>
        <v>0</v>
      </c>
      <c r="M753" s="10">
        <f t="shared" si="378"/>
        <v>5.9644474068915816</v>
      </c>
      <c r="N753" s="10">
        <f t="shared" si="357"/>
        <v>17.20418640980624</v>
      </c>
      <c r="O753" s="10">
        <f t="shared" si="358"/>
        <v>-0.14810000000000001</v>
      </c>
      <c r="P753" s="10">
        <f t="shared" si="379"/>
        <v>13.206027306485108</v>
      </c>
      <c r="Q753" s="45">
        <f t="shared" si="380"/>
        <v>1.6830525418950348</v>
      </c>
      <c r="R753" s="4">
        <f t="shared" si="381"/>
        <v>191695.47234913945</v>
      </c>
      <c r="S753">
        <f t="shared" si="362"/>
        <v>1.9169547234913946E-4</v>
      </c>
      <c r="T753" s="44">
        <f t="shared" si="363"/>
        <v>1.8847009221328644E-3</v>
      </c>
      <c r="U753" s="45">
        <f t="shared" si="382"/>
        <v>0.34218600291683143</v>
      </c>
      <c r="V753" s="45">
        <f t="shared" si="383"/>
        <v>1.4678679455278238</v>
      </c>
      <c r="W753" s="45">
        <f t="shared" si="384"/>
        <v>1.4607929906455865</v>
      </c>
      <c r="X753" s="45">
        <f t="shared" si="385"/>
        <v>7.0749548822373054E-3</v>
      </c>
      <c r="Y753" s="45">
        <f t="shared" si="359"/>
        <v>3.4690596152791797E-2</v>
      </c>
      <c r="Z753" s="10">
        <f t="shared" si="386"/>
        <v>18.40641968463272</v>
      </c>
      <c r="AA753">
        <f t="shared" si="364"/>
        <v>5961415.2771730358</v>
      </c>
      <c r="AB753" s="10">
        <f t="shared" si="365"/>
        <v>5.9614152771730362</v>
      </c>
      <c r="AC753" s="10">
        <f t="shared" si="366"/>
        <v>5.8604152771730362</v>
      </c>
      <c r="AD753" s="3">
        <f t="shared" si="367"/>
        <v>849.95145426730028</v>
      </c>
      <c r="AI753" s="100">
        <f t="shared" si="368"/>
        <v>1.4607929906455865</v>
      </c>
    </row>
    <row r="754" spans="2:35">
      <c r="B754" s="39">
        <f t="shared" si="369"/>
        <v>726</v>
      </c>
      <c r="C754" s="45">
        <f t="shared" si="370"/>
        <v>21.32733812949505</v>
      </c>
      <c r="D754" s="10">
        <f t="shared" si="371"/>
        <v>3.1726618705051806</v>
      </c>
      <c r="E754" s="40">
        <f t="shared" si="372"/>
        <v>62.654676258989639</v>
      </c>
      <c r="F754" s="40">
        <f t="shared" si="373"/>
        <v>69</v>
      </c>
      <c r="G754" s="3">
        <f t="shared" si="374"/>
        <v>289.38129496404144</v>
      </c>
      <c r="H754" s="3">
        <f t="shared" si="375"/>
        <v>221.47275588995251</v>
      </c>
      <c r="I754">
        <f t="shared" si="360"/>
        <v>2.214727558899525E-4</v>
      </c>
      <c r="J754" s="4">
        <f t="shared" si="376"/>
        <v>3761.7496856139915</v>
      </c>
      <c r="K754" s="40">
        <f t="shared" si="377"/>
        <v>16.985157702571623</v>
      </c>
      <c r="L754" s="40">
        <f t="shared" si="361"/>
        <v>0</v>
      </c>
      <c r="M754" s="10">
        <f t="shared" si="378"/>
        <v>5.9614152771730362</v>
      </c>
      <c r="N754" s="10">
        <f t="shared" si="357"/>
        <v>17.20418640980624</v>
      </c>
      <c r="O754" s="10">
        <f t="shared" si="358"/>
        <v>-0.14810000000000001</v>
      </c>
      <c r="P754" s="10">
        <f t="shared" si="379"/>
        <v>13.207021867840075</v>
      </c>
      <c r="Q754" s="45">
        <f t="shared" si="380"/>
        <v>1.6852768509856779</v>
      </c>
      <c r="R754" s="4">
        <f t="shared" si="381"/>
        <v>189867.40356957278</v>
      </c>
      <c r="S754">
        <f t="shared" si="362"/>
        <v>1.8986740356957278E-4</v>
      </c>
      <c r="T754" s="44">
        <f t="shared" si="363"/>
        <v>1.886528990912431E-3</v>
      </c>
      <c r="U754" s="45">
        <f t="shared" si="382"/>
        <v>0.33892280874186592</v>
      </c>
      <c r="V754" s="45">
        <f t="shared" si="383"/>
        <v>1.4670596765047923</v>
      </c>
      <c r="W754" s="45">
        <f t="shared" si="384"/>
        <v>1.4600375794459615</v>
      </c>
      <c r="X754" s="45">
        <f t="shared" si="385"/>
        <v>7.022097058830834E-3</v>
      </c>
      <c r="Y754" s="45">
        <f t="shared" si="359"/>
        <v>3.470621546711513E-2</v>
      </c>
      <c r="Z754" s="10">
        <f t="shared" si="386"/>
        <v>18.396863040164181</v>
      </c>
      <c r="AA754">
        <f t="shared" si="364"/>
        <v>5958372.5395737896</v>
      </c>
      <c r="AB754" s="10">
        <f t="shared" si="365"/>
        <v>5.9583725395737899</v>
      </c>
      <c r="AC754" s="10">
        <f t="shared" si="366"/>
        <v>5.8573725395737899</v>
      </c>
      <c r="AD754" s="3">
        <f t="shared" si="367"/>
        <v>849.5101580237548</v>
      </c>
      <c r="AI754" s="100">
        <f t="shared" si="368"/>
        <v>1.4600375794459615</v>
      </c>
    </row>
    <row r="755" spans="2:35">
      <c r="B755" s="39">
        <f t="shared" si="369"/>
        <v>727</v>
      </c>
      <c r="C755" s="45">
        <f t="shared" si="370"/>
        <v>21.356714628296007</v>
      </c>
      <c r="D755" s="10">
        <f t="shared" si="371"/>
        <v>3.1432853717042235</v>
      </c>
      <c r="E755" s="40">
        <f t="shared" si="372"/>
        <v>62.713429256591553</v>
      </c>
      <c r="F755" s="40">
        <f t="shared" si="373"/>
        <v>69</v>
      </c>
      <c r="G755" s="3">
        <f t="shared" si="374"/>
        <v>289.14628297363379</v>
      </c>
      <c r="H755" s="3">
        <f t="shared" si="375"/>
        <v>221.47275588995251</v>
      </c>
      <c r="I755">
        <f t="shared" si="360"/>
        <v>2.214727558899525E-4</v>
      </c>
      <c r="J755" s="4">
        <f t="shared" si="376"/>
        <v>3767.5347337089643</v>
      </c>
      <c r="K755" s="40">
        <f t="shared" si="377"/>
        <v>17.011278514008346</v>
      </c>
      <c r="L755" s="40">
        <f t="shared" si="361"/>
        <v>0</v>
      </c>
      <c r="M755" s="10">
        <f t="shared" si="378"/>
        <v>5.9583725395737899</v>
      </c>
      <c r="N755" s="10">
        <f t="shared" si="357"/>
        <v>17.20418640980624</v>
      </c>
      <c r="O755" s="10">
        <f t="shared" si="358"/>
        <v>-0.14810000000000001</v>
      </c>
      <c r="P755" s="10">
        <f t="shared" si="379"/>
        <v>13.208020492659694</v>
      </c>
      <c r="Q755" s="45">
        <f t="shared" si="380"/>
        <v>1.6875009919019708</v>
      </c>
      <c r="R755" s="4">
        <f t="shared" si="381"/>
        <v>188040.48352787999</v>
      </c>
      <c r="S755">
        <f t="shared" si="362"/>
        <v>1.8804048352787998E-4</v>
      </c>
      <c r="T755" s="44">
        <f t="shared" si="363"/>
        <v>1.8883559109541237E-3</v>
      </c>
      <c r="U755" s="45">
        <f t="shared" si="382"/>
        <v>0.33566166512144219</v>
      </c>
      <c r="V755" s="45">
        <f t="shared" si="383"/>
        <v>1.4662486520230573</v>
      </c>
      <c r="W755" s="45">
        <f t="shared" si="384"/>
        <v>1.4592795254465123</v>
      </c>
      <c r="X755" s="45">
        <f t="shared" si="385"/>
        <v>6.9691265765450261E-3</v>
      </c>
      <c r="Y755" s="45">
        <f t="shared" si="359"/>
        <v>3.4721715786684849E-2</v>
      </c>
      <c r="Z755" s="10">
        <f t="shared" si="386"/>
        <v>18.387273069270673</v>
      </c>
      <c r="AA755">
        <f t="shared" si="364"/>
        <v>5955319.1911825826</v>
      </c>
      <c r="AB755" s="10">
        <f t="shared" si="365"/>
        <v>5.9553191911825829</v>
      </c>
      <c r="AC755" s="10">
        <f t="shared" si="366"/>
        <v>5.8543191911825829</v>
      </c>
      <c r="AD755" s="3">
        <f t="shared" si="367"/>
        <v>849.06732286912006</v>
      </c>
      <c r="AI755" s="100">
        <f t="shared" si="368"/>
        <v>1.4592795254465123</v>
      </c>
    </row>
    <row r="756" spans="2:35">
      <c r="B756" s="39">
        <f t="shared" si="369"/>
        <v>728</v>
      </c>
      <c r="C756" s="45">
        <f t="shared" si="370"/>
        <v>21.386091127096964</v>
      </c>
      <c r="D756" s="10">
        <f t="shared" si="371"/>
        <v>3.1139088729032665</v>
      </c>
      <c r="E756" s="40">
        <f t="shared" si="372"/>
        <v>62.772182254193467</v>
      </c>
      <c r="F756" s="40">
        <f t="shared" si="373"/>
        <v>69</v>
      </c>
      <c r="G756" s="3">
        <f t="shared" si="374"/>
        <v>288.91127098322613</v>
      </c>
      <c r="H756" s="3">
        <f t="shared" si="375"/>
        <v>221.47275588995251</v>
      </c>
      <c r="I756">
        <f t="shared" si="360"/>
        <v>2.214727558899525E-4</v>
      </c>
      <c r="J756" s="4">
        <f t="shared" si="376"/>
        <v>3773.32520405891</v>
      </c>
      <c r="K756" s="40">
        <f t="shared" si="377"/>
        <v>17.037423808162824</v>
      </c>
      <c r="L756" s="40">
        <f t="shared" si="361"/>
        <v>0</v>
      </c>
      <c r="M756" s="10">
        <f t="shared" si="378"/>
        <v>5.9553191911825829</v>
      </c>
      <c r="N756" s="10">
        <f t="shared" si="357"/>
        <v>17.20418640980624</v>
      </c>
      <c r="O756" s="10">
        <f t="shared" si="358"/>
        <v>-0.14810000000000001</v>
      </c>
      <c r="P756" s="10">
        <f t="shared" si="379"/>
        <v>13.209023188664226</v>
      </c>
      <c r="Q756" s="45">
        <f t="shared" si="380"/>
        <v>1.6897249639838858</v>
      </c>
      <c r="R756" s="4">
        <f t="shared" si="381"/>
        <v>186214.71604694598</v>
      </c>
      <c r="S756">
        <f t="shared" si="362"/>
        <v>1.8621471604694597E-4</v>
      </c>
      <c r="T756" s="44">
        <f t="shared" si="363"/>
        <v>1.8901816784350578E-3</v>
      </c>
      <c r="U756" s="45">
        <f t="shared" si="382"/>
        <v>0.3324025788796009</v>
      </c>
      <c r="V756" s="45">
        <f t="shared" si="383"/>
        <v>1.4654348713923206</v>
      </c>
      <c r="W756" s="45">
        <f t="shared" si="384"/>
        <v>1.4585188279219412</v>
      </c>
      <c r="X756" s="45">
        <f t="shared" si="385"/>
        <v>6.9160434703794404E-3</v>
      </c>
      <c r="Y756" s="45">
        <f t="shared" si="359"/>
        <v>3.4737096874280282E-2</v>
      </c>
      <c r="Z756" s="10">
        <f t="shared" si="386"/>
        <v>18.377649762767906</v>
      </c>
      <c r="AA756">
        <f t="shared" si="364"/>
        <v>5952255.2290752297</v>
      </c>
      <c r="AB756" s="10">
        <f t="shared" si="365"/>
        <v>5.95225522907523</v>
      </c>
      <c r="AC756" s="10">
        <f t="shared" si="366"/>
        <v>5.85125522907523</v>
      </c>
      <c r="AD756" s="3">
        <f t="shared" si="367"/>
        <v>848.62294837929369</v>
      </c>
      <c r="AI756" s="100">
        <f t="shared" si="368"/>
        <v>1.4585188279219412</v>
      </c>
    </row>
    <row r="757" spans="2:35">
      <c r="B757" s="39">
        <f t="shared" si="369"/>
        <v>729</v>
      </c>
      <c r="C757" s="45">
        <f t="shared" si="370"/>
        <v>21.415467625897922</v>
      </c>
      <c r="D757" s="10">
        <f t="shared" si="371"/>
        <v>3.0845323741023094</v>
      </c>
      <c r="E757" s="40">
        <f t="shared" si="372"/>
        <v>62.830935251795381</v>
      </c>
      <c r="F757" s="40">
        <f t="shared" si="373"/>
        <v>69</v>
      </c>
      <c r="G757" s="3">
        <f t="shared" si="374"/>
        <v>288.67625899281848</v>
      </c>
      <c r="H757" s="3">
        <f t="shared" si="375"/>
        <v>221.47275588995251</v>
      </c>
      <c r="I757">
        <f t="shared" si="360"/>
        <v>2.214727558899525E-4</v>
      </c>
      <c r="J757" s="4">
        <f t="shared" si="376"/>
        <v>3779.12109666383</v>
      </c>
      <c r="K757" s="40">
        <f t="shared" si="377"/>
        <v>17.063593585035061</v>
      </c>
      <c r="L757" s="40">
        <f t="shared" si="361"/>
        <v>0</v>
      </c>
      <c r="M757" s="10">
        <f t="shared" si="378"/>
        <v>5.95225522907523</v>
      </c>
      <c r="N757" s="10">
        <f t="shared" si="357"/>
        <v>17.20418640980624</v>
      </c>
      <c r="O757" s="10">
        <f t="shared" si="358"/>
        <v>-0.14810000000000001</v>
      </c>
      <c r="P757" s="10">
        <f t="shared" si="379"/>
        <v>13.21002996361633</v>
      </c>
      <c r="Q757" s="45">
        <f t="shared" si="380"/>
        <v>1.6919487665703954</v>
      </c>
      <c r="R757" s="4">
        <f t="shared" si="381"/>
        <v>184390.10494965539</v>
      </c>
      <c r="S757">
        <f t="shared" si="362"/>
        <v>1.843901049496554E-4</v>
      </c>
      <c r="T757" s="44">
        <f t="shared" si="363"/>
        <v>1.8920062895323485E-3</v>
      </c>
      <c r="U757" s="45">
        <f t="shared" si="382"/>
        <v>0.32914555684038233</v>
      </c>
      <c r="V757" s="45">
        <f t="shared" si="383"/>
        <v>1.4646183339190793</v>
      </c>
      <c r="W757" s="45">
        <f t="shared" si="384"/>
        <v>1.4577554861437301</v>
      </c>
      <c r="X757" s="45">
        <f t="shared" si="385"/>
        <v>6.862847775349179E-3</v>
      </c>
      <c r="Y757" s="45">
        <f t="shared" si="359"/>
        <v>3.4752358492913922E-2</v>
      </c>
      <c r="Z757" s="10">
        <f t="shared" si="386"/>
        <v>18.367993111430799</v>
      </c>
      <c r="AA757">
        <f t="shared" si="364"/>
        <v>5949180.650314562</v>
      </c>
      <c r="AB757" s="10">
        <f t="shared" si="365"/>
        <v>5.9491806503145623</v>
      </c>
      <c r="AC757" s="10">
        <f t="shared" si="366"/>
        <v>5.8481806503145624</v>
      </c>
      <c r="AD757" s="3">
        <f t="shared" si="367"/>
        <v>848.1770341282903</v>
      </c>
      <c r="AI757" s="100">
        <f t="shared" si="368"/>
        <v>1.4577554861437301</v>
      </c>
    </row>
    <row r="758" spans="2:35">
      <c r="B758" s="39">
        <f t="shared" si="369"/>
        <v>730</v>
      </c>
      <c r="C758" s="45">
        <f t="shared" si="370"/>
        <v>21.444844124698879</v>
      </c>
      <c r="D758" s="10">
        <f t="shared" si="371"/>
        <v>3.0551558753013524</v>
      </c>
      <c r="E758" s="40">
        <f t="shared" si="372"/>
        <v>62.889688249397295</v>
      </c>
      <c r="F758" s="40">
        <f t="shared" si="373"/>
        <v>69</v>
      </c>
      <c r="G758" s="3">
        <f t="shared" si="374"/>
        <v>288.44124700241082</v>
      </c>
      <c r="H758" s="3">
        <f t="shared" si="375"/>
        <v>221.47275588995251</v>
      </c>
      <c r="I758">
        <f t="shared" si="360"/>
        <v>2.214727558899525E-4</v>
      </c>
      <c r="J758" s="4">
        <f t="shared" si="376"/>
        <v>3784.9224115237239</v>
      </c>
      <c r="K758" s="40">
        <f t="shared" si="377"/>
        <v>17.089787844625061</v>
      </c>
      <c r="L758" s="40">
        <f t="shared" si="361"/>
        <v>0</v>
      </c>
      <c r="M758" s="10">
        <f t="shared" si="378"/>
        <v>5.9491806503145623</v>
      </c>
      <c r="N758" s="10">
        <f t="shared" si="357"/>
        <v>17.20418640980624</v>
      </c>
      <c r="O758" s="10">
        <f t="shared" si="358"/>
        <v>-0.14810000000000001</v>
      </c>
      <c r="P758" s="10">
        <f t="shared" si="379"/>
        <v>13.211040825321259</v>
      </c>
      <c r="Q758" s="45">
        <f t="shared" si="380"/>
        <v>1.6941723989994659</v>
      </c>
      <c r="R758" s="4">
        <f t="shared" si="381"/>
        <v>182566.65405889318</v>
      </c>
      <c r="S758">
        <f t="shared" si="362"/>
        <v>1.8256665405889317E-4</v>
      </c>
      <c r="T758" s="44">
        <f t="shared" si="363"/>
        <v>1.8938297404231107E-3</v>
      </c>
      <c r="U758" s="45">
        <f t="shared" si="382"/>
        <v>0.32589060582782731</v>
      </c>
      <c r="V758" s="45">
        <f t="shared" si="383"/>
        <v>1.4637990389066113</v>
      </c>
      <c r="W758" s="45">
        <f t="shared" si="384"/>
        <v>1.4569894993801253</v>
      </c>
      <c r="X758" s="45">
        <f t="shared" si="385"/>
        <v>6.809539526485997E-3</v>
      </c>
      <c r="Y758" s="45">
        <f t="shared" si="359"/>
        <v>3.4767500405832055E-2</v>
      </c>
      <c r="Z758" s="10">
        <f t="shared" si="386"/>
        <v>18.358303105993286</v>
      </c>
      <c r="AA758">
        <f t="shared" si="364"/>
        <v>5946095.4519503582</v>
      </c>
      <c r="AB758" s="10">
        <f t="shared" si="365"/>
        <v>5.9460954519503586</v>
      </c>
      <c r="AC758" s="10">
        <f t="shared" si="366"/>
        <v>5.8450954519503586</v>
      </c>
      <c r="AD758" s="3">
        <f t="shared" si="367"/>
        <v>847.72957968823175</v>
      </c>
      <c r="AI758" s="100">
        <f t="shared" si="368"/>
        <v>1.4569894993801253</v>
      </c>
    </row>
    <row r="759" spans="2:35">
      <c r="B759" s="39">
        <f t="shared" si="369"/>
        <v>731</v>
      </c>
      <c r="C759" s="45">
        <f t="shared" si="370"/>
        <v>21.474220623499836</v>
      </c>
      <c r="D759" s="10">
        <f t="shared" si="371"/>
        <v>3.0257793765003953</v>
      </c>
      <c r="E759" s="40">
        <f t="shared" si="372"/>
        <v>62.948441246999209</v>
      </c>
      <c r="F759" s="40">
        <f t="shared" si="373"/>
        <v>69</v>
      </c>
      <c r="G759" s="3">
        <f t="shared" si="374"/>
        <v>288.20623501200316</v>
      </c>
      <c r="H759" s="3">
        <f t="shared" si="375"/>
        <v>221.47275588995251</v>
      </c>
      <c r="I759">
        <f t="shared" si="360"/>
        <v>2.214727558899525E-4</v>
      </c>
      <c r="J759" s="4">
        <f t="shared" si="376"/>
        <v>3790.7291486385921</v>
      </c>
      <c r="K759" s="40">
        <f t="shared" si="377"/>
        <v>17.116006586932823</v>
      </c>
      <c r="L759" s="40">
        <f t="shared" si="361"/>
        <v>0</v>
      </c>
      <c r="M759" s="10">
        <f t="shared" si="378"/>
        <v>5.9460954519503586</v>
      </c>
      <c r="N759" s="10">
        <f t="shared" si="357"/>
        <v>17.20418640980624</v>
      </c>
      <c r="O759" s="10">
        <f t="shared" si="358"/>
        <v>-0.14810000000000001</v>
      </c>
      <c r="P759" s="10">
        <f t="shared" si="379"/>
        <v>13.212055781627102</v>
      </c>
      <c r="Q759" s="45">
        <f t="shared" si="380"/>
        <v>1.6963958606080529</v>
      </c>
      <c r="R759" s="4">
        <f t="shared" si="381"/>
        <v>180744.36719754396</v>
      </c>
      <c r="S759">
        <f t="shared" si="362"/>
        <v>1.8074436719754395E-4</v>
      </c>
      <c r="T759" s="44">
        <f t="shared" si="363"/>
        <v>1.8956520272844599E-3</v>
      </c>
      <c r="U759" s="45">
        <f t="shared" si="382"/>
        <v>0.3226377326659759</v>
      </c>
      <c r="V759" s="45">
        <f t="shared" si="383"/>
        <v>1.462976985655535</v>
      </c>
      <c r="W759" s="45">
        <f t="shared" si="384"/>
        <v>1.4562208668961225</v>
      </c>
      <c r="X759" s="45">
        <f t="shared" si="385"/>
        <v>6.7561187594125105E-3</v>
      </c>
      <c r="Y759" s="45">
        <f t="shared" si="359"/>
        <v>3.4782522376516661E-2</v>
      </c>
      <c r="Z759" s="10">
        <f t="shared" si="386"/>
        <v>18.348579737148789</v>
      </c>
      <c r="AA759">
        <f t="shared" si="364"/>
        <v>5942999.6310194973</v>
      </c>
      <c r="AB759" s="10">
        <f t="shared" si="365"/>
        <v>5.9429996310194975</v>
      </c>
      <c r="AC759" s="10">
        <f t="shared" si="366"/>
        <v>5.8419996310194975</v>
      </c>
      <c r="AD759" s="3">
        <f t="shared" si="367"/>
        <v>847.28058462936872</v>
      </c>
      <c r="AI759" s="100">
        <f t="shared" si="368"/>
        <v>1.4562208668961225</v>
      </c>
    </row>
    <row r="760" spans="2:35">
      <c r="B760" s="39">
        <f t="shared" si="369"/>
        <v>732</v>
      </c>
      <c r="C760" s="45">
        <f t="shared" si="370"/>
        <v>21.503597122300793</v>
      </c>
      <c r="D760" s="10">
        <f t="shared" si="371"/>
        <v>2.9964028776994382</v>
      </c>
      <c r="E760" s="40">
        <f t="shared" si="372"/>
        <v>63.007194244601124</v>
      </c>
      <c r="F760" s="40">
        <f t="shared" si="373"/>
        <v>69</v>
      </c>
      <c r="G760" s="3">
        <f t="shared" si="374"/>
        <v>287.97122302159551</v>
      </c>
      <c r="H760" s="3">
        <f t="shared" si="375"/>
        <v>221.47275588995251</v>
      </c>
      <c r="I760">
        <f t="shared" si="360"/>
        <v>2.214727558899525E-4</v>
      </c>
      <c r="J760" s="4">
        <f t="shared" si="376"/>
        <v>3796.5413080084336</v>
      </c>
      <c r="K760" s="40">
        <f t="shared" si="377"/>
        <v>17.14224981195834</v>
      </c>
      <c r="L760" s="40">
        <f t="shared" si="361"/>
        <v>0</v>
      </c>
      <c r="M760" s="10">
        <f t="shared" si="378"/>
        <v>5.9429996310194975</v>
      </c>
      <c r="N760" s="10">
        <f t="shared" si="357"/>
        <v>17.20418640980624</v>
      </c>
      <c r="O760" s="10">
        <f t="shared" si="358"/>
        <v>-0.14810000000000001</v>
      </c>
      <c r="P760" s="10">
        <f t="shared" si="379"/>
        <v>13.213074840424902</v>
      </c>
      <c r="Q760" s="45">
        <f t="shared" si="380"/>
        <v>1.698619150732096</v>
      </c>
      <c r="R760" s="4">
        <f t="shared" si="381"/>
        <v>178923.24818849278</v>
      </c>
      <c r="S760">
        <f t="shared" si="362"/>
        <v>1.7892324818849278E-4</v>
      </c>
      <c r="T760" s="44">
        <f t="shared" si="363"/>
        <v>1.8974731462935109E-3</v>
      </c>
      <c r="U760" s="45">
        <f t="shared" si="382"/>
        <v>0.31938694417886909</v>
      </c>
      <c r="V760" s="45">
        <f t="shared" si="383"/>
        <v>1.4621521734622647</v>
      </c>
      <c r="W760" s="45">
        <f t="shared" si="384"/>
        <v>1.4554495879535021</v>
      </c>
      <c r="X760" s="45">
        <f t="shared" si="385"/>
        <v>6.7025855087625708E-3</v>
      </c>
      <c r="Y760" s="45">
        <f t="shared" si="359"/>
        <v>3.4797424168683845E-2</v>
      </c>
      <c r="Z760" s="10">
        <f t="shared" si="386"/>
        <v>18.338822995548838</v>
      </c>
      <c r="AA760">
        <f t="shared" si="364"/>
        <v>5939893.1845455253</v>
      </c>
      <c r="AB760" s="10">
        <f t="shared" si="365"/>
        <v>5.9398931845455252</v>
      </c>
      <c r="AC760" s="10">
        <f t="shared" si="366"/>
        <v>5.8388931845455252</v>
      </c>
      <c r="AD760" s="3">
        <f t="shared" si="367"/>
        <v>846.83004852001818</v>
      </c>
      <c r="AI760" s="100">
        <f t="shared" si="368"/>
        <v>1.4554495879535021</v>
      </c>
    </row>
    <row r="761" spans="2:35">
      <c r="B761" s="39">
        <f t="shared" si="369"/>
        <v>733</v>
      </c>
      <c r="C761" s="45">
        <f t="shared" si="370"/>
        <v>21.53297362110175</v>
      </c>
      <c r="D761" s="10">
        <f t="shared" si="371"/>
        <v>2.9670263788984812</v>
      </c>
      <c r="E761" s="40">
        <f t="shared" si="372"/>
        <v>63.065947242203038</v>
      </c>
      <c r="F761" s="40">
        <f t="shared" si="373"/>
        <v>69</v>
      </c>
      <c r="G761" s="3">
        <f t="shared" si="374"/>
        <v>287.73621103118785</v>
      </c>
      <c r="H761" s="3">
        <f t="shared" si="375"/>
        <v>221.47275588995251</v>
      </c>
      <c r="I761">
        <f t="shared" si="360"/>
        <v>2.214727558899525E-4</v>
      </c>
      <c r="J761" s="4">
        <f t="shared" si="376"/>
        <v>3802.3588896332494</v>
      </c>
      <c r="K761" s="40">
        <f t="shared" si="377"/>
        <v>17.16851751970162</v>
      </c>
      <c r="L761" s="40">
        <f t="shared" si="361"/>
        <v>0</v>
      </c>
      <c r="M761" s="10">
        <f t="shared" si="378"/>
        <v>5.9398931845455252</v>
      </c>
      <c r="N761" s="10">
        <f t="shared" si="357"/>
        <v>17.20418640980624</v>
      </c>
      <c r="O761" s="10">
        <f t="shared" si="358"/>
        <v>-0.14810000000000001</v>
      </c>
      <c r="P761" s="10">
        <f t="shared" si="379"/>
        <v>13.214098009649023</v>
      </c>
      <c r="Q761" s="45">
        <f t="shared" si="380"/>
        <v>1.700842268706513</v>
      </c>
      <c r="R761" s="4">
        <f t="shared" si="381"/>
        <v>177103.30085462419</v>
      </c>
      <c r="S761">
        <f t="shared" si="362"/>
        <v>1.7710330085462419E-4</v>
      </c>
      <c r="T761" s="44">
        <f t="shared" si="363"/>
        <v>1.8992930936273795E-3</v>
      </c>
      <c r="U761" s="45">
        <f t="shared" si="382"/>
        <v>0.31613824719054695</v>
      </c>
      <c r="V761" s="45">
        <f t="shared" si="383"/>
        <v>1.4613246016213381</v>
      </c>
      <c r="W761" s="45">
        <f t="shared" si="384"/>
        <v>1.4546756618107251</v>
      </c>
      <c r="X761" s="45">
        <f t="shared" si="385"/>
        <v>6.648939810613097E-3</v>
      </c>
      <c r="Y761" s="45">
        <f t="shared" si="359"/>
        <v>3.4812205546287639E-2</v>
      </c>
      <c r="Z761" s="10">
        <f t="shared" si="386"/>
        <v>18.329032871804571</v>
      </c>
      <c r="AA761">
        <f t="shared" si="364"/>
        <v>5936776.1095391233</v>
      </c>
      <c r="AB761" s="10">
        <f t="shared" si="365"/>
        <v>5.9367761095391236</v>
      </c>
      <c r="AC761" s="10">
        <f t="shared" si="366"/>
        <v>5.8357761095391236</v>
      </c>
      <c r="AD761" s="3">
        <f t="shared" si="367"/>
        <v>846.37797092663141</v>
      </c>
      <c r="AI761" s="100">
        <f t="shared" si="368"/>
        <v>1.4546756618107251</v>
      </c>
    </row>
    <row r="762" spans="2:35">
      <c r="B762" s="39">
        <f t="shared" si="369"/>
        <v>734</v>
      </c>
      <c r="C762" s="45">
        <f t="shared" si="370"/>
        <v>21.562350119902707</v>
      </c>
      <c r="D762" s="10">
        <f t="shared" si="371"/>
        <v>2.9376498800975241</v>
      </c>
      <c r="E762" s="40">
        <f t="shared" si="372"/>
        <v>63.124700239804952</v>
      </c>
      <c r="F762" s="40">
        <f t="shared" si="373"/>
        <v>69</v>
      </c>
      <c r="G762" s="3">
        <f t="shared" si="374"/>
        <v>287.50119904078019</v>
      </c>
      <c r="H762" s="3">
        <f t="shared" si="375"/>
        <v>221.47275588995251</v>
      </c>
      <c r="I762">
        <f t="shared" si="360"/>
        <v>2.214727558899525E-4</v>
      </c>
      <c r="J762" s="4">
        <f t="shared" si="376"/>
        <v>3808.1818935130391</v>
      </c>
      <c r="K762" s="40">
        <f t="shared" si="377"/>
        <v>17.194809710162655</v>
      </c>
      <c r="L762" s="40">
        <f t="shared" si="361"/>
        <v>0</v>
      </c>
      <c r="M762" s="10">
        <f t="shared" si="378"/>
        <v>5.9367761095391236</v>
      </c>
      <c r="N762" s="10">
        <f t="shared" si="357"/>
        <v>17.20418640980624</v>
      </c>
      <c r="O762" s="10">
        <f t="shared" si="358"/>
        <v>-0.14810000000000001</v>
      </c>
      <c r="P762" s="10">
        <f t="shared" si="379"/>
        <v>13.215125297277186</v>
      </c>
      <c r="Q762" s="45">
        <f t="shared" si="380"/>
        <v>1.7030652138651949</v>
      </c>
      <c r="R762" s="4">
        <f t="shared" si="381"/>
        <v>175284.52901882317</v>
      </c>
      <c r="S762">
        <f t="shared" si="362"/>
        <v>1.7528452901882318E-4</v>
      </c>
      <c r="T762" s="44">
        <f t="shared" si="363"/>
        <v>1.9011118654631805E-3</v>
      </c>
      <c r="U762" s="45">
        <f t="shared" si="382"/>
        <v>0.3128916485250503</v>
      </c>
      <c r="V762" s="45">
        <f t="shared" si="383"/>
        <v>1.4604942694230374</v>
      </c>
      <c r="W762" s="45">
        <f t="shared" si="384"/>
        <v>1.4538990877230447</v>
      </c>
      <c r="X762" s="45">
        <f t="shared" si="385"/>
        <v>6.595181699992736E-3</v>
      </c>
      <c r="Y762" s="45">
        <f t="shared" si="359"/>
        <v>3.4826866273518269E-2</v>
      </c>
      <c r="Z762" s="10">
        <f t="shared" si="386"/>
        <v>18.319209356485274</v>
      </c>
      <c r="AA762">
        <f t="shared" si="364"/>
        <v>5933648.4029976483</v>
      </c>
      <c r="AB762" s="10">
        <f t="shared" si="365"/>
        <v>5.9336484029976484</v>
      </c>
      <c r="AC762" s="10">
        <f t="shared" si="366"/>
        <v>5.8326484029976484</v>
      </c>
      <c r="AD762" s="3">
        <f t="shared" si="367"/>
        <v>845.92435141372709</v>
      </c>
      <c r="AI762" s="100">
        <f t="shared" si="368"/>
        <v>1.4538990877230447</v>
      </c>
    </row>
    <row r="763" spans="2:35">
      <c r="B763" s="39">
        <f t="shared" si="369"/>
        <v>735</v>
      </c>
      <c r="C763" s="45">
        <f t="shared" si="370"/>
        <v>21.591726618703664</v>
      </c>
      <c r="D763" s="10">
        <f t="shared" si="371"/>
        <v>2.9082733812965671</v>
      </c>
      <c r="E763" s="40">
        <f t="shared" si="372"/>
        <v>63.183453237406866</v>
      </c>
      <c r="F763" s="40">
        <f t="shared" si="373"/>
        <v>69</v>
      </c>
      <c r="G763" s="3">
        <f t="shared" si="374"/>
        <v>287.26618705037254</v>
      </c>
      <c r="H763" s="3">
        <f t="shared" si="375"/>
        <v>221.47275588995251</v>
      </c>
      <c r="I763">
        <f t="shared" si="360"/>
        <v>2.214727558899525E-4</v>
      </c>
      <c r="J763" s="4">
        <f t="shared" si="376"/>
        <v>3814.0103196478026</v>
      </c>
      <c r="K763" s="40">
        <f t="shared" si="377"/>
        <v>17.221126383341453</v>
      </c>
      <c r="L763" s="40">
        <f t="shared" si="361"/>
        <v>0</v>
      </c>
      <c r="M763" s="10">
        <f t="shared" si="378"/>
        <v>5.9336484029976484</v>
      </c>
      <c r="N763" s="10">
        <f t="shared" si="357"/>
        <v>17.20418640980624</v>
      </c>
      <c r="O763" s="10">
        <f t="shared" si="358"/>
        <v>-0.14810000000000001</v>
      </c>
      <c r="P763" s="10">
        <f t="shared" si="379"/>
        <v>13.216156711330825</v>
      </c>
      <c r="Q763" s="45">
        <f t="shared" si="380"/>
        <v>1.7052879855410008</v>
      </c>
      <c r="R763" s="4">
        <f t="shared" si="381"/>
        <v>173466.93650397443</v>
      </c>
      <c r="S763">
        <f t="shared" si="362"/>
        <v>1.7346693650397444E-4</v>
      </c>
      <c r="T763" s="44">
        <f t="shared" si="363"/>
        <v>1.9029294579780295E-3</v>
      </c>
      <c r="U763" s="45">
        <f t="shared" si="382"/>
        <v>0.30964715500641959</v>
      </c>
      <c r="V763" s="45">
        <f t="shared" si="383"/>
        <v>1.4596611761549529</v>
      </c>
      <c r="W763" s="45">
        <f t="shared" si="384"/>
        <v>1.4531198649423962</v>
      </c>
      <c r="X763" s="45">
        <f t="shared" si="385"/>
        <v>6.5413112125567441E-3</v>
      </c>
      <c r="Y763" s="45">
        <f t="shared" si="359"/>
        <v>3.4841406114804171E-2</v>
      </c>
      <c r="Z763" s="10">
        <f t="shared" si="386"/>
        <v>18.3093524401189</v>
      </c>
      <c r="AA763">
        <f t="shared" si="364"/>
        <v>5930510.0619052993</v>
      </c>
      <c r="AB763" s="10">
        <f t="shared" si="365"/>
        <v>5.9305100619052995</v>
      </c>
      <c r="AC763" s="10">
        <f t="shared" si="366"/>
        <v>5.8295100619052995</v>
      </c>
      <c r="AD763" s="3">
        <f t="shared" si="367"/>
        <v>845.46918954391583</v>
      </c>
      <c r="AI763" s="100">
        <f t="shared" si="368"/>
        <v>1.4531198649423962</v>
      </c>
    </row>
    <row r="764" spans="2:35">
      <c r="B764" s="39">
        <f t="shared" si="369"/>
        <v>736</v>
      </c>
      <c r="C764" s="45">
        <f t="shared" si="370"/>
        <v>21.621103117504621</v>
      </c>
      <c r="D764" s="10">
        <f t="shared" si="371"/>
        <v>2.87889688249561</v>
      </c>
      <c r="E764" s="40">
        <f t="shared" si="372"/>
        <v>63.24220623500878</v>
      </c>
      <c r="F764" s="40">
        <f t="shared" si="373"/>
        <v>69</v>
      </c>
      <c r="G764" s="3">
        <f t="shared" si="374"/>
        <v>287.03117505996488</v>
      </c>
      <c r="H764" s="3">
        <f t="shared" si="375"/>
        <v>221.47275588995251</v>
      </c>
      <c r="I764">
        <f t="shared" si="360"/>
        <v>2.214727558899525E-4</v>
      </c>
      <c r="J764" s="4">
        <f t="shared" si="376"/>
        <v>3819.8441680375399</v>
      </c>
      <c r="K764" s="40">
        <f t="shared" si="377"/>
        <v>17.247467539238013</v>
      </c>
      <c r="L764" s="40">
        <f t="shared" si="361"/>
        <v>0</v>
      </c>
      <c r="M764" s="10">
        <f t="shared" si="378"/>
        <v>5.9305100619052995</v>
      </c>
      <c r="N764" s="10">
        <f t="shared" si="357"/>
        <v>17.20418640980624</v>
      </c>
      <c r="O764" s="10">
        <f t="shared" si="358"/>
        <v>-0.14810000000000001</v>
      </c>
      <c r="P764" s="10">
        <f t="shared" si="379"/>
        <v>13.217192259875233</v>
      </c>
      <c r="Q764" s="45">
        <f t="shared" si="380"/>
        <v>1.707510583065752</v>
      </c>
      <c r="R764" s="4">
        <f t="shared" si="381"/>
        <v>171650.52713296286</v>
      </c>
      <c r="S764">
        <f t="shared" si="362"/>
        <v>1.7165052713296285E-4</v>
      </c>
      <c r="T764" s="44">
        <f t="shared" si="363"/>
        <v>1.9047458673490409E-3</v>
      </c>
      <c r="U764" s="45">
        <f t="shared" si="382"/>
        <v>0.30640477345869532</v>
      </c>
      <c r="V764" s="45">
        <f t="shared" si="383"/>
        <v>1.4588253211013795</v>
      </c>
      <c r="W764" s="45">
        <f t="shared" si="384"/>
        <v>1.4523379927174369</v>
      </c>
      <c r="X764" s="45">
        <f t="shared" si="385"/>
        <v>6.4873283839426144E-3</v>
      </c>
      <c r="Y764" s="45">
        <f t="shared" si="359"/>
        <v>3.4855824834812574E-2</v>
      </c>
      <c r="Z764" s="10">
        <f t="shared" si="386"/>
        <v>18.299462113191876</v>
      </c>
      <c r="AA764">
        <f t="shared" si="364"/>
        <v>5927361.0832330501</v>
      </c>
      <c r="AB764" s="10">
        <f t="shared" si="365"/>
        <v>5.9273610832330501</v>
      </c>
      <c r="AC764" s="10">
        <f t="shared" si="366"/>
        <v>5.8263610832330501</v>
      </c>
      <c r="AD764" s="3">
        <f t="shared" si="367"/>
        <v>845.01248487788973</v>
      </c>
      <c r="AI764" s="100">
        <f t="shared" si="368"/>
        <v>1.4523379927174369</v>
      </c>
    </row>
    <row r="765" spans="2:35">
      <c r="B765" s="39">
        <f t="shared" si="369"/>
        <v>737</v>
      </c>
      <c r="C765" s="45">
        <f t="shared" si="370"/>
        <v>21.650479616305578</v>
      </c>
      <c r="D765" s="10">
        <f t="shared" si="371"/>
        <v>2.849520383694653</v>
      </c>
      <c r="E765" s="40">
        <f t="shared" si="372"/>
        <v>63.300959232610694</v>
      </c>
      <c r="F765" s="40">
        <f t="shared" si="373"/>
        <v>69</v>
      </c>
      <c r="G765" s="3">
        <f t="shared" si="374"/>
        <v>286.79616306955722</v>
      </c>
      <c r="H765" s="3">
        <f t="shared" si="375"/>
        <v>221.47275588995251</v>
      </c>
      <c r="I765">
        <f t="shared" si="360"/>
        <v>2.214727558899525E-4</v>
      </c>
      <c r="J765" s="4">
        <f t="shared" si="376"/>
        <v>3825.6834386822511</v>
      </c>
      <c r="K765" s="40">
        <f t="shared" si="377"/>
        <v>17.273833177852328</v>
      </c>
      <c r="L765" s="40">
        <f t="shared" si="361"/>
        <v>0</v>
      </c>
      <c r="M765" s="10">
        <f t="shared" si="378"/>
        <v>5.9273610832330501</v>
      </c>
      <c r="N765" s="10">
        <f t="shared" si="357"/>
        <v>3.8408799049960156</v>
      </c>
      <c r="O765" s="10">
        <f t="shared" si="358"/>
        <v>0.68820000000000003</v>
      </c>
      <c r="P765" s="10">
        <f t="shared" si="379"/>
        <v>13.071154042039492</v>
      </c>
      <c r="Q765" s="45">
        <f t="shared" si="380"/>
        <v>1.7097580126887582</v>
      </c>
      <c r="R765" s="4">
        <f t="shared" si="381"/>
        <v>169835.30472867319</v>
      </c>
      <c r="S765">
        <f t="shared" si="362"/>
        <v>1.6983530472867319E-4</v>
      </c>
      <c r="T765" s="44">
        <f t="shared" si="363"/>
        <v>1.9065610897533306E-3</v>
      </c>
      <c r="U765" s="45">
        <f t="shared" si="382"/>
        <v>0.3031645107059181</v>
      </c>
      <c r="V765" s="45">
        <f t="shared" si="383"/>
        <v>1.4417638352755342</v>
      </c>
      <c r="W765" s="45">
        <f t="shared" si="384"/>
        <v>1.4515534702935282</v>
      </c>
      <c r="X765" s="45">
        <f t="shared" si="385"/>
        <v>-9.7896350179940139E-3</v>
      </c>
      <c r="Y765" s="45">
        <f t="shared" si="359"/>
        <v>3.4833823319074718E-2</v>
      </c>
      <c r="Z765" s="10">
        <f t="shared" si="386"/>
        <v>18.270499438117398</v>
      </c>
      <c r="AA765">
        <f t="shared" si="364"/>
        <v>5918139.6644898942</v>
      </c>
      <c r="AB765" s="10">
        <f t="shared" si="365"/>
        <v>5.9181396644898943</v>
      </c>
      <c r="AC765" s="10">
        <f t="shared" si="366"/>
        <v>5.8171396644898943</v>
      </c>
      <c r="AD765" s="3">
        <f t="shared" si="367"/>
        <v>843.67507824363952</v>
      </c>
      <c r="AI765" s="100">
        <f t="shared" si="368"/>
        <v>1.4515534702935282</v>
      </c>
    </row>
    <row r="766" spans="2:35">
      <c r="B766" s="39">
        <f t="shared" si="369"/>
        <v>738</v>
      </c>
      <c r="C766" s="45">
        <f t="shared" si="370"/>
        <v>21.679856115106535</v>
      </c>
      <c r="D766" s="10">
        <f t="shared" si="371"/>
        <v>2.8201438848936959</v>
      </c>
      <c r="E766" s="40">
        <f t="shared" si="372"/>
        <v>63.359712230212608</v>
      </c>
      <c r="F766" s="40">
        <f t="shared" si="373"/>
        <v>69</v>
      </c>
      <c r="G766" s="3">
        <f t="shared" si="374"/>
        <v>286.56115107914957</v>
      </c>
      <c r="H766" s="3">
        <f t="shared" si="375"/>
        <v>221.47275588995251</v>
      </c>
      <c r="I766">
        <f t="shared" si="360"/>
        <v>2.214727558899525E-4</v>
      </c>
      <c r="J766" s="4">
        <f t="shared" si="376"/>
        <v>3831.5281315819366</v>
      </c>
      <c r="K766" s="40">
        <f t="shared" si="377"/>
        <v>17.300223299184406</v>
      </c>
      <c r="L766" s="40">
        <f t="shared" si="361"/>
        <v>0</v>
      </c>
      <c r="M766" s="10">
        <f t="shared" si="378"/>
        <v>5.9181396644898943</v>
      </c>
      <c r="N766" s="10">
        <f t="shared" si="357"/>
        <v>3.8408799049960156</v>
      </c>
      <c r="O766" s="10">
        <f t="shared" si="358"/>
        <v>0.68820000000000003</v>
      </c>
      <c r="P766" s="10">
        <f t="shared" si="379"/>
        <v>13.057155901389851</v>
      </c>
      <c r="Q766" s="45">
        <f t="shared" si="380"/>
        <v>1.7120078517059847</v>
      </c>
      <c r="R766" s="4">
        <f t="shared" si="381"/>
        <v>168021.27311399026</v>
      </c>
      <c r="S766">
        <f t="shared" si="362"/>
        <v>1.6802127311399027E-4</v>
      </c>
      <c r="T766" s="44">
        <f t="shared" si="363"/>
        <v>1.9083751213680136E-3</v>
      </c>
      <c r="U766" s="45">
        <f t="shared" si="382"/>
        <v>0.29992637357212831</v>
      </c>
      <c r="V766" s="45">
        <f t="shared" si="383"/>
        <v>1.4392750365675382</v>
      </c>
      <c r="W766" s="45">
        <f t="shared" si="384"/>
        <v>1.4492560873839495</v>
      </c>
      <c r="X766" s="45">
        <f t="shared" si="385"/>
        <v>-9.9810508164113187E-3</v>
      </c>
      <c r="Y766" s="45">
        <f t="shared" si="359"/>
        <v>3.4811367561515032E-2</v>
      </c>
      <c r="Z766" s="10">
        <f t="shared" si="386"/>
        <v>18.241365217840713</v>
      </c>
      <c r="AA766">
        <f t="shared" si="364"/>
        <v>5908863.6275134822</v>
      </c>
      <c r="AB766" s="10">
        <f t="shared" si="365"/>
        <v>5.9088636275134823</v>
      </c>
      <c r="AC766" s="10">
        <f t="shared" si="366"/>
        <v>5.8078636275134823</v>
      </c>
      <c r="AD766" s="3">
        <f t="shared" si="367"/>
        <v>842.32975018324612</v>
      </c>
      <c r="AI766" s="100">
        <f t="shared" si="368"/>
        <v>1.4492560873839495</v>
      </c>
    </row>
    <row r="767" spans="2:35">
      <c r="B767" s="39">
        <f t="shared" si="369"/>
        <v>739</v>
      </c>
      <c r="C767" s="45">
        <f t="shared" si="370"/>
        <v>21.709232613907492</v>
      </c>
      <c r="D767" s="10">
        <f t="shared" si="371"/>
        <v>2.7907673860927389</v>
      </c>
      <c r="E767" s="40">
        <f t="shared" si="372"/>
        <v>63.418465227814522</v>
      </c>
      <c r="F767" s="40">
        <f t="shared" si="373"/>
        <v>69</v>
      </c>
      <c r="G767" s="3">
        <f t="shared" si="374"/>
        <v>286.32613908874191</v>
      </c>
      <c r="H767" s="3">
        <f t="shared" si="375"/>
        <v>221.47275588995251</v>
      </c>
      <c r="I767">
        <f t="shared" si="360"/>
        <v>2.214727558899525E-4</v>
      </c>
      <c r="J767" s="4">
        <f t="shared" si="376"/>
        <v>3837.3782467365959</v>
      </c>
      <c r="K767" s="40">
        <f t="shared" si="377"/>
        <v>17.326637903234243</v>
      </c>
      <c r="L767" s="40">
        <f t="shared" si="361"/>
        <v>0</v>
      </c>
      <c r="M767" s="10">
        <f t="shared" si="378"/>
        <v>5.9088636275134823</v>
      </c>
      <c r="N767" s="10">
        <f t="shared" si="357"/>
        <v>3.8408799049960156</v>
      </c>
      <c r="O767" s="10">
        <f t="shared" si="358"/>
        <v>0.68820000000000003</v>
      </c>
      <c r="P767" s="10">
        <f t="shared" si="379"/>
        <v>13.043067987079429</v>
      </c>
      <c r="Q767" s="45">
        <f t="shared" si="380"/>
        <v>1.7142601207909929</v>
      </c>
      <c r="R767" s="4">
        <f t="shared" si="381"/>
        <v>166208.43611179874</v>
      </c>
      <c r="S767">
        <f t="shared" si="362"/>
        <v>1.6620843611179874E-4</v>
      </c>
      <c r="T767" s="44">
        <f t="shared" si="363"/>
        <v>1.9101879583702051E-3</v>
      </c>
      <c r="U767" s="45">
        <f t="shared" si="382"/>
        <v>0.29669036888136635</v>
      </c>
      <c r="V767" s="45">
        <f t="shared" si="383"/>
        <v>1.4367753446077187</v>
      </c>
      <c r="W767" s="45">
        <f t="shared" si="384"/>
        <v>1.4469450971326876</v>
      </c>
      <c r="X767" s="45">
        <f t="shared" si="385"/>
        <v>-1.0169752524968878E-2</v>
      </c>
      <c r="Y767" s="45">
        <f t="shared" si="359"/>
        <v>3.4788462542300863E-2</v>
      </c>
      <c r="Z767" s="10">
        <f t="shared" si="386"/>
        <v>18.212062530214457</v>
      </c>
      <c r="AA767">
        <f t="shared" si="364"/>
        <v>5899533.9522605315</v>
      </c>
      <c r="AB767" s="10">
        <f t="shared" si="365"/>
        <v>5.8995339522605317</v>
      </c>
      <c r="AC767" s="10">
        <f t="shared" si="366"/>
        <v>5.7985339522605317</v>
      </c>
      <c r="AD767" s="3">
        <f t="shared" si="367"/>
        <v>840.97664282241215</v>
      </c>
      <c r="AI767" s="100">
        <f t="shared" si="368"/>
        <v>1.4469450971326876</v>
      </c>
    </row>
    <row r="768" spans="2:35">
      <c r="B768" s="39">
        <f t="shared" si="369"/>
        <v>740</v>
      </c>
      <c r="C768" s="45">
        <f t="shared" si="370"/>
        <v>21.738609112708449</v>
      </c>
      <c r="D768" s="10">
        <f t="shared" si="371"/>
        <v>2.7613908872917818</v>
      </c>
      <c r="E768" s="40">
        <f t="shared" si="372"/>
        <v>63.477218225416436</v>
      </c>
      <c r="F768" s="40">
        <f t="shared" si="373"/>
        <v>69</v>
      </c>
      <c r="G768" s="3">
        <f t="shared" si="374"/>
        <v>286.09112709833425</v>
      </c>
      <c r="H768" s="3">
        <f t="shared" si="375"/>
        <v>221.47275588995251</v>
      </c>
      <c r="I768">
        <f t="shared" si="360"/>
        <v>2.214727558899525E-4</v>
      </c>
      <c r="J768" s="4">
        <f t="shared" si="376"/>
        <v>3843.233784146229</v>
      </c>
      <c r="K768" s="40">
        <f t="shared" si="377"/>
        <v>17.353076990001838</v>
      </c>
      <c r="L768" s="40">
        <f t="shared" si="361"/>
        <v>0</v>
      </c>
      <c r="M768" s="10">
        <f t="shared" si="378"/>
        <v>5.8995339522605317</v>
      </c>
      <c r="N768" s="10">
        <f t="shared" si="357"/>
        <v>3.8408799049960156</v>
      </c>
      <c r="O768" s="10">
        <f t="shared" si="358"/>
        <v>0.68820000000000003</v>
      </c>
      <c r="P768" s="10">
        <f t="shared" si="379"/>
        <v>13.02889165261573</v>
      </c>
      <c r="Q768" s="45">
        <f t="shared" si="380"/>
        <v>1.7165148405004058</v>
      </c>
      <c r="R768" s="4">
        <f t="shared" si="381"/>
        <v>164396.79754498359</v>
      </c>
      <c r="S768">
        <f t="shared" si="362"/>
        <v>1.6439679754498359E-4</v>
      </c>
      <c r="T768" s="44">
        <f t="shared" si="363"/>
        <v>1.9119995969370202E-3</v>
      </c>
      <c r="U768" s="45">
        <f t="shared" si="382"/>
        <v>0.29345650345767293</v>
      </c>
      <c r="V768" s="45">
        <f t="shared" si="383"/>
        <v>1.4342649377626744</v>
      </c>
      <c r="W768" s="45">
        <f t="shared" si="384"/>
        <v>1.4446207436817651</v>
      </c>
      <c r="X768" s="45">
        <f t="shared" si="385"/>
        <v>-1.0355805919090688E-2</v>
      </c>
      <c r="Y768" s="45">
        <f t="shared" si="359"/>
        <v>3.4765113102588237E-2</v>
      </c>
      <c r="Z768" s="10">
        <f t="shared" si="386"/>
        <v>18.182594367844615</v>
      </c>
      <c r="AA768">
        <f t="shared" si="364"/>
        <v>5890151.5915461006</v>
      </c>
      <c r="AB768" s="10">
        <f t="shared" si="365"/>
        <v>5.8901515915461005</v>
      </c>
      <c r="AC768" s="10">
        <f t="shared" si="366"/>
        <v>5.7891515915461005</v>
      </c>
      <c r="AD768" s="3">
        <f t="shared" si="367"/>
        <v>839.61589435041344</v>
      </c>
      <c r="AI768" s="100">
        <f t="shared" si="368"/>
        <v>1.4446207436817651</v>
      </c>
    </row>
    <row r="769" spans="2:35">
      <c r="B769" s="39">
        <f t="shared" si="369"/>
        <v>741</v>
      </c>
      <c r="C769" s="45">
        <f t="shared" si="370"/>
        <v>21.767985611509406</v>
      </c>
      <c r="D769" s="10">
        <f t="shared" si="371"/>
        <v>2.7320143884908248</v>
      </c>
      <c r="E769" s="40">
        <f t="shared" si="372"/>
        <v>63.53597122301835</v>
      </c>
      <c r="F769" s="40">
        <f t="shared" si="373"/>
        <v>69</v>
      </c>
      <c r="G769" s="3">
        <f t="shared" si="374"/>
        <v>285.8561151079266</v>
      </c>
      <c r="H769" s="3">
        <f t="shared" si="375"/>
        <v>221.47275588995251</v>
      </c>
      <c r="I769">
        <f t="shared" si="360"/>
        <v>2.214727558899525E-4</v>
      </c>
      <c r="J769" s="4">
        <f t="shared" si="376"/>
        <v>3849.0947438108356</v>
      </c>
      <c r="K769" s="40">
        <f t="shared" si="377"/>
        <v>17.379540559487193</v>
      </c>
      <c r="L769" s="40">
        <f t="shared" si="361"/>
        <v>0</v>
      </c>
      <c r="M769" s="10">
        <f t="shared" si="378"/>
        <v>5.8901515915461005</v>
      </c>
      <c r="N769" s="10">
        <f t="shared" si="357"/>
        <v>3.8408799049960156</v>
      </c>
      <c r="O769" s="10">
        <f t="shared" si="358"/>
        <v>0.68820000000000003</v>
      </c>
      <c r="P769" s="10">
        <f t="shared" si="379"/>
        <v>13.014628211917577</v>
      </c>
      <c r="Q769" s="45">
        <f t="shared" si="380"/>
        <v>1.71877203128009</v>
      </c>
      <c r="R769" s="4">
        <f t="shared" si="381"/>
        <v>162586.36123642966</v>
      </c>
      <c r="S769">
        <f t="shared" si="362"/>
        <v>1.6258636123642965E-4</v>
      </c>
      <c r="T769" s="44">
        <f t="shared" si="363"/>
        <v>1.9138100332455742E-3</v>
      </c>
      <c r="U769" s="45">
        <f t="shared" si="382"/>
        <v>0.29022478412508879</v>
      </c>
      <c r="V769" s="45">
        <f t="shared" si="383"/>
        <v>1.4317439897731001</v>
      </c>
      <c r="W769" s="45">
        <f t="shared" si="384"/>
        <v>1.4422832644112529</v>
      </c>
      <c r="X769" s="45">
        <f t="shared" si="385"/>
        <v>-1.053927463815274E-2</v>
      </c>
      <c r="Y769" s="45">
        <f t="shared" si="359"/>
        <v>3.474132394905044E-2</v>
      </c>
      <c r="Z769" s="10">
        <f t="shared" si="386"/>
        <v>18.152963640875917</v>
      </c>
      <c r="AA769">
        <f t="shared" si="364"/>
        <v>5880717.4719304275</v>
      </c>
      <c r="AB769" s="10">
        <f t="shared" si="365"/>
        <v>5.8807174719304278</v>
      </c>
      <c r="AC769" s="10">
        <f t="shared" si="366"/>
        <v>5.7797174719304278</v>
      </c>
      <c r="AD769" s="3">
        <f t="shared" si="367"/>
        <v>838.2476391487204</v>
      </c>
      <c r="AI769" s="100">
        <f t="shared" si="368"/>
        <v>1.4422832644112529</v>
      </c>
    </row>
    <row r="770" spans="2:35">
      <c r="B770" s="39">
        <f t="shared" si="369"/>
        <v>742</v>
      </c>
      <c r="C770" s="45">
        <f t="shared" si="370"/>
        <v>21.797362110310363</v>
      </c>
      <c r="D770" s="10">
        <f t="shared" si="371"/>
        <v>2.7026378896898677</v>
      </c>
      <c r="E770" s="40">
        <f t="shared" si="372"/>
        <v>63.594724220620265</v>
      </c>
      <c r="F770" s="40">
        <f t="shared" si="373"/>
        <v>69</v>
      </c>
      <c r="G770" s="3">
        <f t="shared" si="374"/>
        <v>285.62110311751894</v>
      </c>
      <c r="H770" s="3">
        <f t="shared" si="375"/>
        <v>221.47275588995251</v>
      </c>
      <c r="I770">
        <f t="shared" si="360"/>
        <v>2.214727558899525E-4</v>
      </c>
      <c r="J770" s="4">
        <f t="shared" si="376"/>
        <v>3854.9611257304168</v>
      </c>
      <c r="K770" s="40">
        <f t="shared" si="377"/>
        <v>17.40602861169031</v>
      </c>
      <c r="L770" s="40">
        <f t="shared" si="361"/>
        <v>0</v>
      </c>
      <c r="M770" s="10">
        <f t="shared" si="378"/>
        <v>5.8807174719304278</v>
      </c>
      <c r="N770" s="10">
        <f t="shared" si="357"/>
        <v>3.8408799049960156</v>
      </c>
      <c r="O770" s="10">
        <f t="shared" si="358"/>
        <v>0.68820000000000003</v>
      </c>
      <c r="P770" s="10">
        <f t="shared" si="379"/>
        <v>13.00027894060784</v>
      </c>
      <c r="Q770" s="45">
        <f t="shared" si="380"/>
        <v>1.7210317134711541</v>
      </c>
      <c r="R770" s="4">
        <f t="shared" si="381"/>
        <v>160777.13100902157</v>
      </c>
      <c r="S770">
        <f t="shared" si="362"/>
        <v>1.6077713100902158E-4</v>
      </c>
      <c r="T770" s="44">
        <f t="shared" si="363"/>
        <v>1.9156192634729823E-3</v>
      </c>
      <c r="U770" s="45">
        <f t="shared" si="382"/>
        <v>0.28699521770765396</v>
      </c>
      <c r="V770" s="45">
        <f t="shared" si="383"/>
        <v>1.4292126699082446</v>
      </c>
      <c r="W770" s="45">
        <f t="shared" si="384"/>
        <v>1.4399328901602124</v>
      </c>
      <c r="X770" s="45">
        <f t="shared" si="385"/>
        <v>-1.0720220251967838E-2</v>
      </c>
      <c r="Y770" s="45">
        <f t="shared" si="359"/>
        <v>3.4717099658262786E-2</v>
      </c>
      <c r="Z770" s="10">
        <f t="shared" si="386"/>
        <v>18.123173179685679</v>
      </c>
      <c r="AA770">
        <f t="shared" si="364"/>
        <v>5871232.4945766265</v>
      </c>
      <c r="AB770" s="10">
        <f t="shared" si="365"/>
        <v>5.8712324945766268</v>
      </c>
      <c r="AC770" s="10">
        <f t="shared" si="366"/>
        <v>5.7702324945766268</v>
      </c>
      <c r="AD770" s="3">
        <f t="shared" si="367"/>
        <v>836.8720079153918</v>
      </c>
      <c r="AI770" s="100">
        <f t="shared" si="368"/>
        <v>1.4399328901602124</v>
      </c>
    </row>
    <row r="771" spans="2:35">
      <c r="B771" s="39">
        <f t="shared" si="369"/>
        <v>743</v>
      </c>
      <c r="C771" s="45">
        <f t="shared" si="370"/>
        <v>21.82673860911132</v>
      </c>
      <c r="D771" s="10">
        <f t="shared" si="371"/>
        <v>2.6732613908889107</v>
      </c>
      <c r="E771" s="40">
        <f t="shared" si="372"/>
        <v>63.653477218222179</v>
      </c>
      <c r="F771" s="40">
        <f t="shared" si="373"/>
        <v>69</v>
      </c>
      <c r="G771" s="3">
        <f t="shared" si="374"/>
        <v>285.38609112711129</v>
      </c>
      <c r="H771" s="3">
        <f t="shared" si="375"/>
        <v>221.47275588995251</v>
      </c>
      <c r="I771">
        <f t="shared" si="360"/>
        <v>2.214727558899525E-4</v>
      </c>
      <c r="J771" s="4">
        <f t="shared" si="376"/>
        <v>3860.8329299049715</v>
      </c>
      <c r="K771" s="40">
        <f t="shared" si="377"/>
        <v>17.432541146611182</v>
      </c>
      <c r="L771" s="40">
        <f t="shared" si="361"/>
        <v>0</v>
      </c>
      <c r="M771" s="10">
        <f t="shared" si="378"/>
        <v>5.8712324945766268</v>
      </c>
      <c r="N771" s="10">
        <f t="shared" si="357"/>
        <v>3.8408799049960156</v>
      </c>
      <c r="O771" s="10">
        <f t="shared" si="358"/>
        <v>0.68820000000000003</v>
      </c>
      <c r="P771" s="10">
        <f t="shared" si="379"/>
        <v>12.985845077263242</v>
      </c>
      <c r="Q771" s="45">
        <f t="shared" si="380"/>
        <v>1.7232939073157729</v>
      </c>
      <c r="R771" s="4">
        <f t="shared" si="381"/>
        <v>158969.11068564418</v>
      </c>
      <c r="S771">
        <f t="shared" si="362"/>
        <v>1.5896911068564418E-4</v>
      </c>
      <c r="T771" s="44">
        <f t="shared" si="363"/>
        <v>1.9174272837963597E-3</v>
      </c>
      <c r="U771" s="45">
        <f t="shared" si="382"/>
        <v>0.28376781102940912</v>
      </c>
      <c r="V771" s="45">
        <f t="shared" si="383"/>
        <v>1.426671143112717</v>
      </c>
      <c r="W771" s="45">
        <f t="shared" si="384"/>
        <v>1.4375698454403809</v>
      </c>
      <c r="X771" s="45">
        <f t="shared" si="385"/>
        <v>-1.0898702327663878E-2</v>
      </c>
      <c r="Y771" s="45">
        <f t="shared" si="359"/>
        <v>3.4692444680942812E-2</v>
      </c>
      <c r="Z771" s="10">
        <f t="shared" si="386"/>
        <v>18.093225737486335</v>
      </c>
      <c r="AA771">
        <f t="shared" si="364"/>
        <v>5861697.5360793024</v>
      </c>
      <c r="AB771" s="10">
        <f t="shared" si="365"/>
        <v>5.8616975360793022</v>
      </c>
      <c r="AC771" s="10">
        <f t="shared" si="366"/>
        <v>5.7606975360793022</v>
      </c>
      <c r="AD771" s="3">
        <f t="shared" si="367"/>
        <v>835.4891277852505</v>
      </c>
      <c r="AI771" s="100">
        <f t="shared" si="368"/>
        <v>1.4375698454403809</v>
      </c>
    </row>
    <row r="772" spans="2:35">
      <c r="B772" s="39">
        <f t="shared" si="369"/>
        <v>744</v>
      </c>
      <c r="C772" s="45">
        <f t="shared" si="370"/>
        <v>21.856115107912277</v>
      </c>
      <c r="D772" s="10">
        <f t="shared" si="371"/>
        <v>2.6438848920879536</v>
      </c>
      <c r="E772" s="40">
        <f t="shared" si="372"/>
        <v>63.712230215824093</v>
      </c>
      <c r="F772" s="40">
        <f t="shared" si="373"/>
        <v>69</v>
      </c>
      <c r="G772" s="3">
        <f t="shared" si="374"/>
        <v>285.15107913670363</v>
      </c>
      <c r="H772" s="3">
        <f t="shared" si="375"/>
        <v>221.47275588995251</v>
      </c>
      <c r="I772">
        <f t="shared" si="360"/>
        <v>2.214727558899525E-4</v>
      </c>
      <c r="J772" s="4">
        <f t="shared" si="376"/>
        <v>3866.7101563345</v>
      </c>
      <c r="K772" s="40">
        <f t="shared" si="377"/>
        <v>17.459078164249817</v>
      </c>
      <c r="L772" s="40">
        <f t="shared" si="361"/>
        <v>0</v>
      </c>
      <c r="M772" s="10">
        <f t="shared" si="378"/>
        <v>5.8616975360793022</v>
      </c>
      <c r="N772" s="10">
        <f t="shared" si="357"/>
        <v>3.8408799049960156</v>
      </c>
      <c r="O772" s="10">
        <f t="shared" si="358"/>
        <v>0.68820000000000003</v>
      </c>
      <c r="P772" s="10">
        <f t="shared" si="379"/>
        <v>12.971327824621403</v>
      </c>
      <c r="Q772" s="45">
        <f t="shared" si="380"/>
        <v>1.7255586329628418</v>
      </c>
      <c r="R772" s="4">
        <f t="shared" si="381"/>
        <v>157162.30408918241</v>
      </c>
      <c r="S772">
        <f t="shared" si="362"/>
        <v>1.5716230408918241E-4</v>
      </c>
      <c r="T772" s="44">
        <f t="shared" si="363"/>
        <v>1.9192340903928214E-3</v>
      </c>
      <c r="U772" s="45">
        <f t="shared" si="382"/>
        <v>0.28054257091439505</v>
      </c>
      <c r="V772" s="45">
        <f t="shared" si="383"/>
        <v>1.4241195701511475</v>
      </c>
      <c r="W772" s="45">
        <f t="shared" si="384"/>
        <v>1.4351943486426069</v>
      </c>
      <c r="X772" s="45">
        <f t="shared" si="385"/>
        <v>-1.1074778491459325E-2</v>
      </c>
      <c r="Y772" s="45">
        <f t="shared" si="359"/>
        <v>3.4667363346057599E-2</v>
      </c>
      <c r="Z772" s="10">
        <f t="shared" si="386"/>
        <v>18.063123992843426</v>
      </c>
      <c r="AA772">
        <f t="shared" si="364"/>
        <v>5852113.4492662568</v>
      </c>
      <c r="AB772" s="10">
        <f t="shared" si="365"/>
        <v>5.8521134492662572</v>
      </c>
      <c r="AC772" s="10">
        <f t="shared" si="366"/>
        <v>5.7511134492662572</v>
      </c>
      <c r="AD772" s="3">
        <f t="shared" si="367"/>
        <v>834.09912244615759</v>
      </c>
      <c r="AI772" s="100">
        <f t="shared" si="368"/>
        <v>1.4351943486426069</v>
      </c>
    </row>
    <row r="773" spans="2:35">
      <c r="B773" s="39">
        <f t="shared" si="369"/>
        <v>745</v>
      </c>
      <c r="C773" s="45">
        <f t="shared" si="370"/>
        <v>21.885491606713234</v>
      </c>
      <c r="D773" s="10">
        <f t="shared" si="371"/>
        <v>2.6145083932869966</v>
      </c>
      <c r="E773" s="40">
        <f t="shared" si="372"/>
        <v>63.770983213426007</v>
      </c>
      <c r="F773" s="40">
        <f t="shared" si="373"/>
        <v>69</v>
      </c>
      <c r="G773" s="3">
        <f t="shared" si="374"/>
        <v>284.91606714629597</v>
      </c>
      <c r="H773" s="3">
        <f t="shared" si="375"/>
        <v>221.47275588995251</v>
      </c>
      <c r="I773">
        <f t="shared" si="360"/>
        <v>2.214727558899525E-4</v>
      </c>
      <c r="J773" s="4">
        <f t="shared" si="376"/>
        <v>3872.5928050190032</v>
      </c>
      <c r="K773" s="40">
        <f t="shared" si="377"/>
        <v>17.485639664606214</v>
      </c>
      <c r="L773" s="40">
        <f t="shared" si="361"/>
        <v>0</v>
      </c>
      <c r="M773" s="10">
        <f t="shared" si="378"/>
        <v>5.8521134492662572</v>
      </c>
      <c r="N773" s="10">
        <f t="shared" si="357"/>
        <v>3.8408799049960156</v>
      </c>
      <c r="O773" s="10">
        <f t="shared" si="358"/>
        <v>0.68820000000000003</v>
      </c>
      <c r="P773" s="10">
        <f t="shared" si="379"/>
        <v>12.956728350748309</v>
      </c>
      <c r="Q773" s="45">
        <f t="shared" si="380"/>
        <v>1.727825910473469</v>
      </c>
      <c r="R773" s="4">
        <f t="shared" si="381"/>
        <v>155356.71504252078</v>
      </c>
      <c r="S773">
        <f t="shared" si="362"/>
        <v>1.5535671504252079E-4</v>
      </c>
      <c r="T773" s="44">
        <f t="shared" si="363"/>
        <v>1.921039679439483E-3</v>
      </c>
      <c r="U773" s="45">
        <f t="shared" si="382"/>
        <v>0.27731950418665174</v>
      </c>
      <c r="V773" s="45">
        <f t="shared" si="383"/>
        <v>1.4215581077464827</v>
      </c>
      <c r="W773" s="45">
        <f t="shared" si="384"/>
        <v>1.4328066122365839</v>
      </c>
      <c r="X773" s="45">
        <f t="shared" si="385"/>
        <v>-1.1248504490101174E-2</v>
      </c>
      <c r="Y773" s="45">
        <f t="shared" si="359"/>
        <v>3.4641859864799007E-2</v>
      </c>
      <c r="Z773" s="10">
        <f t="shared" si="386"/>
        <v>18.032870552109959</v>
      </c>
      <c r="AA773">
        <f t="shared" si="364"/>
        <v>5842481.0639735609</v>
      </c>
      <c r="AB773" s="10">
        <f t="shared" si="365"/>
        <v>5.8424810639735609</v>
      </c>
      <c r="AC773" s="10">
        <f t="shared" si="366"/>
        <v>5.7414810639735609</v>
      </c>
      <c r="AD773" s="3">
        <f t="shared" si="367"/>
        <v>832.70211225142293</v>
      </c>
      <c r="AI773" s="100">
        <f t="shared" si="368"/>
        <v>1.4328066122365839</v>
      </c>
    </row>
    <row r="774" spans="2:35">
      <c r="B774" s="39">
        <f t="shared" si="369"/>
        <v>746</v>
      </c>
      <c r="C774" s="45">
        <f t="shared" si="370"/>
        <v>21.914868105514191</v>
      </c>
      <c r="D774" s="10">
        <f t="shared" si="371"/>
        <v>2.5851318944860395</v>
      </c>
      <c r="E774" s="40">
        <f t="shared" si="372"/>
        <v>63.829736211027921</v>
      </c>
      <c r="F774" s="40">
        <f t="shared" si="373"/>
        <v>69</v>
      </c>
      <c r="G774" s="3">
        <f t="shared" si="374"/>
        <v>284.68105515588832</v>
      </c>
      <c r="H774" s="3">
        <f t="shared" si="375"/>
        <v>221.47275588995251</v>
      </c>
      <c r="I774">
        <f t="shared" si="360"/>
        <v>2.214727558899525E-4</v>
      </c>
      <c r="J774" s="4">
        <f t="shared" si="376"/>
        <v>3878.4808759584794</v>
      </c>
      <c r="K774" s="40">
        <f t="shared" si="377"/>
        <v>17.512225647680367</v>
      </c>
      <c r="L774" s="40">
        <f t="shared" si="361"/>
        <v>0</v>
      </c>
      <c r="M774" s="10">
        <f t="shared" si="378"/>
        <v>5.8424810639735609</v>
      </c>
      <c r="N774" s="10">
        <f t="shared" si="357"/>
        <v>3.8408799049960156</v>
      </c>
      <c r="O774" s="10">
        <f t="shared" si="358"/>
        <v>0.68820000000000003</v>
      </c>
      <c r="P774" s="10">
        <f t="shared" si="379"/>
        <v>12.942047790166724</v>
      </c>
      <c r="Q774" s="45">
        <f t="shared" si="380"/>
        <v>1.7300957598263109</v>
      </c>
      <c r="R774" s="4">
        <f t="shared" si="381"/>
        <v>153552.34736854449</v>
      </c>
      <c r="S774">
        <f t="shared" si="362"/>
        <v>1.5355234736854449E-4</v>
      </c>
      <c r="T774" s="44">
        <f t="shared" si="363"/>
        <v>1.9228440471134593E-3</v>
      </c>
      <c r="U774" s="45">
        <f t="shared" si="382"/>
        <v>0.27409861767022031</v>
      </c>
      <c r="V774" s="45">
        <f t="shared" si="383"/>
        <v>1.4189869087121549</v>
      </c>
      <c r="W774" s="45">
        <f t="shared" si="384"/>
        <v>1.4304068429639489</v>
      </c>
      <c r="X774" s="45">
        <f t="shared" si="385"/>
        <v>-1.1419934251793995E-2</v>
      </c>
      <c r="Y774" s="45">
        <f t="shared" si="359"/>
        <v>3.4615938334428074E-2</v>
      </c>
      <c r="Z774" s="10">
        <f t="shared" si="386"/>
        <v>18.002467951778478</v>
      </c>
      <c r="AA774">
        <f t="shared" si="364"/>
        <v>5832801.1877944274</v>
      </c>
      <c r="AB774" s="10">
        <f t="shared" si="365"/>
        <v>5.832801187794427</v>
      </c>
      <c r="AC774" s="10">
        <f t="shared" si="366"/>
        <v>5.731801187794427</v>
      </c>
      <c r="AD774" s="3">
        <f t="shared" si="367"/>
        <v>831.29821432841584</v>
      </c>
      <c r="AI774" s="100">
        <f t="shared" si="368"/>
        <v>1.4304068429639489</v>
      </c>
    </row>
    <row r="775" spans="2:35">
      <c r="B775" s="39">
        <f t="shared" si="369"/>
        <v>747</v>
      </c>
      <c r="C775" s="45">
        <f t="shared" si="370"/>
        <v>21.944244604315148</v>
      </c>
      <c r="D775" s="10">
        <f t="shared" si="371"/>
        <v>2.5557553956850825</v>
      </c>
      <c r="E775" s="40">
        <f t="shared" si="372"/>
        <v>63.888489208629835</v>
      </c>
      <c r="F775" s="40">
        <f t="shared" si="373"/>
        <v>69</v>
      </c>
      <c r="G775" s="3">
        <f t="shared" si="374"/>
        <v>284.44604316548066</v>
      </c>
      <c r="H775" s="3">
        <f t="shared" si="375"/>
        <v>221.47275588995251</v>
      </c>
      <c r="I775">
        <f t="shared" si="360"/>
        <v>2.214727558899525E-4</v>
      </c>
      <c r="J775" s="4">
        <f t="shared" si="376"/>
        <v>3884.3743691529298</v>
      </c>
      <c r="K775" s="40">
        <f t="shared" si="377"/>
        <v>17.538836113472282</v>
      </c>
      <c r="L775" s="40">
        <f t="shared" si="361"/>
        <v>0</v>
      </c>
      <c r="M775" s="10">
        <f t="shared" si="378"/>
        <v>5.832801187794427</v>
      </c>
      <c r="N775" s="10">
        <f t="shared" si="357"/>
        <v>3.8408799049960156</v>
      </c>
      <c r="O775" s="10">
        <f t="shared" si="358"/>
        <v>0.68820000000000003</v>
      </c>
      <c r="P775" s="10">
        <f t="shared" si="379"/>
        <v>12.927287244946086</v>
      </c>
      <c r="Q775" s="45">
        <f t="shared" si="380"/>
        <v>1.7323682009227555</v>
      </c>
      <c r="R775" s="4">
        <f t="shared" si="381"/>
        <v>151749.20489013797</v>
      </c>
      <c r="S775">
        <f t="shared" si="362"/>
        <v>1.5174920489013796E-4</v>
      </c>
      <c r="T775" s="44">
        <f t="shared" si="363"/>
        <v>1.9246471895918659E-3</v>
      </c>
      <c r="U775" s="45">
        <f t="shared" si="382"/>
        <v>0.27087991818914081</v>
      </c>
      <c r="V775" s="45">
        <f t="shared" si="383"/>
        <v>1.4164061220840825</v>
      </c>
      <c r="W775" s="45">
        <f t="shared" si="384"/>
        <v>1.4279952420248541</v>
      </c>
      <c r="X775" s="45">
        <f t="shared" si="385"/>
        <v>-1.1589119940771608E-2</v>
      </c>
      <c r="Y775" s="45">
        <f t="shared" si="359"/>
        <v>3.4589602742003039E-2</v>
      </c>
      <c r="Z775" s="10">
        <f t="shared" si="386"/>
        <v>17.971918660758803</v>
      </c>
      <c r="AA775">
        <f t="shared" si="364"/>
        <v>5823074.6068044277</v>
      </c>
      <c r="AB775" s="10">
        <f t="shared" si="365"/>
        <v>5.8230746068044281</v>
      </c>
      <c r="AC775" s="10">
        <f t="shared" si="366"/>
        <v>5.7220746068044281</v>
      </c>
      <c r="AD775" s="3">
        <f t="shared" si="367"/>
        <v>829.88754268374589</v>
      </c>
      <c r="AI775" s="100">
        <f t="shared" si="368"/>
        <v>1.4279952420248541</v>
      </c>
    </row>
    <row r="776" spans="2:35">
      <c r="B776" s="39">
        <f t="shared" si="369"/>
        <v>748</v>
      </c>
      <c r="C776" s="45">
        <f t="shared" si="370"/>
        <v>21.973621103116106</v>
      </c>
      <c r="D776" s="10">
        <f t="shared" si="371"/>
        <v>2.5263788968841254</v>
      </c>
      <c r="E776" s="40">
        <f t="shared" si="372"/>
        <v>63.947242206231749</v>
      </c>
      <c r="F776" s="40">
        <f t="shared" si="373"/>
        <v>69</v>
      </c>
      <c r="G776" s="3">
        <f t="shared" si="374"/>
        <v>284.211031175073</v>
      </c>
      <c r="H776" s="3">
        <f t="shared" si="375"/>
        <v>221.47275588995251</v>
      </c>
      <c r="I776">
        <f t="shared" si="360"/>
        <v>2.214727558899525E-4</v>
      </c>
      <c r="J776" s="4">
        <f t="shared" si="376"/>
        <v>3890.2732846023546</v>
      </c>
      <c r="K776" s="40">
        <f t="shared" si="377"/>
        <v>17.565471061981956</v>
      </c>
      <c r="L776" s="40">
        <f t="shared" si="361"/>
        <v>0</v>
      </c>
      <c r="M776" s="10">
        <f t="shared" si="378"/>
        <v>5.8230746068044281</v>
      </c>
      <c r="N776" s="10">
        <f t="shared" si="357"/>
        <v>3.8408799049960156</v>
      </c>
      <c r="O776" s="10">
        <f t="shared" si="358"/>
        <v>0.68820000000000003</v>
      </c>
      <c r="P776" s="10">
        <f t="shared" si="379"/>
        <v>12.912447785757807</v>
      </c>
      <c r="Q776" s="45">
        <f t="shared" si="380"/>
        <v>1.7346432535919605</v>
      </c>
      <c r="R776" s="4">
        <f t="shared" si="381"/>
        <v>149947.29143018625</v>
      </c>
      <c r="S776">
        <f t="shared" si="362"/>
        <v>1.4994729143018624E-4</v>
      </c>
      <c r="T776" s="44">
        <f t="shared" si="363"/>
        <v>1.9264491030518175E-3</v>
      </c>
      <c r="U776" s="45">
        <f t="shared" si="382"/>
        <v>0.26766341256745396</v>
      </c>
      <c r="V776" s="45">
        <f t="shared" si="383"/>
        <v>1.4138158932429457</v>
      </c>
      <c r="W776" s="45">
        <f t="shared" si="384"/>
        <v>1.4255720052586409</v>
      </c>
      <c r="X776" s="45">
        <f t="shared" si="385"/>
        <v>-1.1756112015695264E-2</v>
      </c>
      <c r="Y776" s="45">
        <f t="shared" si="359"/>
        <v>3.456285696798226E-2</v>
      </c>
      <c r="Z776" s="10">
        <f t="shared" si="386"/>
        <v>17.941225082577532</v>
      </c>
      <c r="AA776">
        <f t="shared" si="364"/>
        <v>5813302.0862617828</v>
      </c>
      <c r="AB776" s="10">
        <f t="shared" si="365"/>
        <v>5.8133020862617828</v>
      </c>
      <c r="AC776" s="10">
        <f t="shared" si="366"/>
        <v>5.7123020862617828</v>
      </c>
      <c r="AD776" s="3">
        <f t="shared" si="367"/>
        <v>828.47020830482711</v>
      </c>
      <c r="AI776" s="100">
        <f t="shared" si="368"/>
        <v>1.4255720052586409</v>
      </c>
    </row>
    <row r="777" spans="2:35">
      <c r="B777" s="39">
        <f t="shared" si="369"/>
        <v>749</v>
      </c>
      <c r="C777" s="45">
        <f t="shared" si="370"/>
        <v>22.002997601917063</v>
      </c>
      <c r="D777" s="10">
        <f t="shared" si="371"/>
        <v>2.4970023980831684</v>
      </c>
      <c r="E777" s="40">
        <f t="shared" si="372"/>
        <v>64.005995203833663</v>
      </c>
      <c r="F777" s="40">
        <f t="shared" si="373"/>
        <v>69</v>
      </c>
      <c r="G777" s="3">
        <f t="shared" si="374"/>
        <v>283.97601918466535</v>
      </c>
      <c r="H777" s="3">
        <f t="shared" si="375"/>
        <v>221.47275588995251</v>
      </c>
      <c r="I777">
        <f t="shared" si="360"/>
        <v>2.214727558899525E-4</v>
      </c>
      <c r="J777" s="4">
        <f t="shared" si="376"/>
        <v>3896.1776223067527</v>
      </c>
      <c r="K777" s="40">
        <f t="shared" si="377"/>
        <v>17.592130493209389</v>
      </c>
      <c r="L777" s="40">
        <f t="shared" si="361"/>
        <v>0</v>
      </c>
      <c r="M777" s="10">
        <f t="shared" si="378"/>
        <v>5.8133020862617828</v>
      </c>
      <c r="N777" s="10">
        <f t="shared" si="357"/>
        <v>3.8408799049960156</v>
      </c>
      <c r="O777" s="10">
        <f t="shared" si="358"/>
        <v>0.68820000000000003</v>
      </c>
      <c r="P777" s="10">
        <f t="shared" si="379"/>
        <v>12.89753045289399</v>
      </c>
      <c r="Q777" s="45">
        <f t="shared" si="380"/>
        <v>1.7369209375957511</v>
      </c>
      <c r="R777" s="4">
        <f t="shared" si="381"/>
        <v>148146.61081157406</v>
      </c>
      <c r="S777">
        <f t="shared" si="362"/>
        <v>1.4814661081157408E-4</v>
      </c>
      <c r="T777" s="44">
        <f t="shared" si="363"/>
        <v>1.9282497836704297E-3</v>
      </c>
      <c r="U777" s="45">
        <f t="shared" si="382"/>
        <v>0.26444910762920026</v>
      </c>
      <c r="V777" s="45">
        <f t="shared" si="383"/>
        <v>1.4112163640366127</v>
      </c>
      <c r="W777" s="45">
        <f t="shared" si="384"/>
        <v>1.4231373233183102</v>
      </c>
      <c r="X777" s="45">
        <f t="shared" si="385"/>
        <v>-1.1920959281697563E-2</v>
      </c>
      <c r="Y777" s="45">
        <f t="shared" si="359"/>
        <v>3.4535704789716501E-2</v>
      </c>
      <c r="Z777" s="10">
        <f t="shared" si="386"/>
        <v>17.910389557507262</v>
      </c>
      <c r="AA777">
        <f t="shared" si="364"/>
        <v>5803484.3712852886</v>
      </c>
      <c r="AB777" s="10">
        <f t="shared" si="365"/>
        <v>5.8034843712852888</v>
      </c>
      <c r="AC777" s="10">
        <f t="shared" si="366"/>
        <v>5.7024843712852888</v>
      </c>
      <c r="AD777" s="3">
        <f t="shared" si="367"/>
        <v>827.0463192581999</v>
      </c>
      <c r="AI777" s="100">
        <f t="shared" si="368"/>
        <v>1.4231373233183102</v>
      </c>
    </row>
    <row r="778" spans="2:35">
      <c r="B778" s="39">
        <f t="shared" si="369"/>
        <v>750</v>
      </c>
      <c r="C778" s="45">
        <f t="shared" si="370"/>
        <v>22.03237410071802</v>
      </c>
      <c r="D778" s="10">
        <f t="shared" si="371"/>
        <v>2.4676258992822113</v>
      </c>
      <c r="E778" s="40">
        <f t="shared" si="372"/>
        <v>64.064748201435577</v>
      </c>
      <c r="F778" s="40">
        <f t="shared" si="373"/>
        <v>69</v>
      </c>
      <c r="G778" s="3">
        <f t="shared" si="374"/>
        <v>283.74100719425769</v>
      </c>
      <c r="H778" s="3">
        <f t="shared" si="375"/>
        <v>221.47275588995251</v>
      </c>
      <c r="I778">
        <f t="shared" si="360"/>
        <v>2.214727558899525E-4</v>
      </c>
      <c r="J778" s="4">
        <f t="shared" si="376"/>
        <v>3902.0873822661247</v>
      </c>
      <c r="K778" s="40">
        <f t="shared" si="377"/>
        <v>17.618814407154581</v>
      </c>
      <c r="L778" s="40">
        <f t="shared" si="361"/>
        <v>0</v>
      </c>
      <c r="M778" s="10">
        <f t="shared" si="378"/>
        <v>5.8034843712852888</v>
      </c>
      <c r="N778" s="10">
        <f t="shared" si="357"/>
        <v>3.8408799049960156</v>
      </c>
      <c r="O778" s="10">
        <f t="shared" si="358"/>
        <v>0.68820000000000003</v>
      </c>
      <c r="P778" s="10">
        <f t="shared" si="379"/>
        <v>12.882536257253452</v>
      </c>
      <c r="Q778" s="45">
        <f t="shared" si="380"/>
        <v>1.7392012726333814</v>
      </c>
      <c r="R778" s="4">
        <f t="shared" si="381"/>
        <v>146347.16685718627</v>
      </c>
      <c r="S778">
        <f t="shared" si="362"/>
        <v>1.4634716685718626E-4</v>
      </c>
      <c r="T778" s="44">
        <f t="shared" si="363"/>
        <v>1.9300492276248175E-3</v>
      </c>
      <c r="U778" s="45">
        <f t="shared" si="382"/>
        <v>0.26123701019842033</v>
      </c>
      <c r="V778" s="45">
        <f t="shared" si="383"/>
        <v>1.4086076728960941</v>
      </c>
      <c r="W778" s="45">
        <f t="shared" si="384"/>
        <v>1.420691381839418</v>
      </c>
      <c r="X778" s="45">
        <f t="shared" si="385"/>
        <v>-1.208370894332389E-2</v>
      </c>
      <c r="Y778" s="45">
        <f t="shared" si="359"/>
        <v>3.4508149884828511E-2</v>
      </c>
      <c r="Z778" s="10">
        <f t="shared" si="386"/>
        <v>17.879414364624981</v>
      </c>
      <c r="AA778">
        <f t="shared" si="364"/>
        <v>5793622.1875096858</v>
      </c>
      <c r="AB778" s="10">
        <f t="shared" si="365"/>
        <v>5.7936221875096861</v>
      </c>
      <c r="AC778" s="10">
        <f t="shared" si="366"/>
        <v>5.6926221875096861</v>
      </c>
      <c r="AD778" s="3">
        <f t="shared" si="367"/>
        <v>825.61598078458098</v>
      </c>
      <c r="AI778" s="100">
        <f t="shared" si="368"/>
        <v>1.420691381839418</v>
      </c>
    </row>
    <row r="779" spans="2:35">
      <c r="B779" s="39">
        <f t="shared" si="369"/>
        <v>751</v>
      </c>
      <c r="C779" s="45">
        <f t="shared" si="370"/>
        <v>22.061750599518977</v>
      </c>
      <c r="D779" s="10">
        <f t="shared" si="371"/>
        <v>2.4382494004812543</v>
      </c>
      <c r="E779" s="40">
        <f t="shared" si="372"/>
        <v>64.123501199037491</v>
      </c>
      <c r="F779" s="40">
        <f t="shared" si="373"/>
        <v>69</v>
      </c>
      <c r="G779" s="3">
        <f t="shared" si="374"/>
        <v>283.50599520385003</v>
      </c>
      <c r="H779" s="3">
        <f t="shared" si="375"/>
        <v>221.47275588995251</v>
      </c>
      <c r="I779">
        <f t="shared" si="360"/>
        <v>2.214727558899525E-4</v>
      </c>
      <c r="J779" s="4">
        <f t="shared" si="376"/>
        <v>3908.0025644804705</v>
      </c>
      <c r="K779" s="40">
        <f t="shared" si="377"/>
        <v>17.645522803817531</v>
      </c>
      <c r="L779" s="40">
        <f t="shared" si="361"/>
        <v>0</v>
      </c>
      <c r="M779" s="10">
        <f t="shared" si="378"/>
        <v>5.7936221875096861</v>
      </c>
      <c r="N779" s="10">
        <f t="shared" si="357"/>
        <v>3.8408799049960156</v>
      </c>
      <c r="O779" s="10">
        <f t="shared" si="358"/>
        <v>0.68820000000000003</v>
      </c>
      <c r="P779" s="10">
        <f t="shared" si="379"/>
        <v>12.867466181294748</v>
      </c>
      <c r="Q779" s="45">
        <f t="shared" si="380"/>
        <v>1.7414842783461659</v>
      </c>
      <c r="R779" s="4">
        <f t="shared" si="381"/>
        <v>144548.96338990764</v>
      </c>
      <c r="S779">
        <f t="shared" si="362"/>
        <v>1.4454896338990766E-4</v>
      </c>
      <c r="T779" s="44">
        <f t="shared" si="363"/>
        <v>1.931847431092096E-3</v>
      </c>
      <c r="U779" s="45">
        <f t="shared" si="382"/>
        <v>0.25802712709915465</v>
      </c>
      <c r="V779" s="45">
        <f t="shared" si="383"/>
        <v>1.4059899549487735</v>
      </c>
      <c r="W779" s="45">
        <f t="shared" si="384"/>
        <v>1.418234361603349</v>
      </c>
      <c r="X779" s="45">
        <f t="shared" si="385"/>
        <v>-1.224440665457549E-2</v>
      </c>
      <c r="Y779" s="45">
        <f t="shared" si="359"/>
        <v>3.4480195834486457E-2</v>
      </c>
      <c r="Z779" s="10">
        <f t="shared" si="386"/>
        <v>17.84830172380352</v>
      </c>
      <c r="AA779">
        <f t="shared" si="364"/>
        <v>5783716.2417197227</v>
      </c>
      <c r="AB779" s="10">
        <f t="shared" si="365"/>
        <v>5.7837162417197225</v>
      </c>
      <c r="AC779" s="10">
        <f t="shared" si="366"/>
        <v>5.6827162417197226</v>
      </c>
      <c r="AD779" s="3">
        <f t="shared" si="367"/>
        <v>824.17929539082274</v>
      </c>
      <c r="AI779" s="100">
        <f t="shared" si="368"/>
        <v>1.418234361603349</v>
      </c>
    </row>
    <row r="780" spans="2:35">
      <c r="B780" s="39">
        <f t="shared" si="369"/>
        <v>752</v>
      </c>
      <c r="C780" s="45">
        <f t="shared" si="370"/>
        <v>22.091127098319934</v>
      </c>
      <c r="D780" s="10">
        <f t="shared" si="371"/>
        <v>2.4088729016802972</v>
      </c>
      <c r="E780" s="40">
        <f t="shared" si="372"/>
        <v>64.182254196639406</v>
      </c>
      <c r="F780" s="40">
        <f t="shared" si="373"/>
        <v>69</v>
      </c>
      <c r="G780" s="3">
        <f t="shared" si="374"/>
        <v>283.27098321344238</v>
      </c>
      <c r="H780" s="3">
        <f t="shared" si="375"/>
        <v>221.47275588995251</v>
      </c>
      <c r="I780">
        <f t="shared" si="360"/>
        <v>2.214727558899525E-4</v>
      </c>
      <c r="J780" s="4">
        <f t="shared" si="376"/>
        <v>3913.923168949791</v>
      </c>
      <c r="K780" s="40">
        <f t="shared" si="377"/>
        <v>17.672255683198244</v>
      </c>
      <c r="L780" s="40">
        <f t="shared" si="361"/>
        <v>0</v>
      </c>
      <c r="M780" s="10">
        <f t="shared" si="378"/>
        <v>5.7837162417197225</v>
      </c>
      <c r="N780" s="10">
        <f t="shared" si="357"/>
        <v>3.8408799049960156</v>
      </c>
      <c r="O780" s="10">
        <f t="shared" si="358"/>
        <v>0.68820000000000003</v>
      </c>
      <c r="P780" s="10">
        <f t="shared" si="379"/>
        <v>12.852321179958048</v>
      </c>
      <c r="Q780" s="45">
        <f t="shared" si="380"/>
        <v>1.7437699743219846</v>
      </c>
      <c r="R780" s="4">
        <f t="shared" si="381"/>
        <v>142752.00423262283</v>
      </c>
      <c r="S780">
        <f t="shared" si="362"/>
        <v>1.4275200423262283E-4</v>
      </c>
      <c r="T780" s="44">
        <f t="shared" si="363"/>
        <v>1.933644390249381E-3</v>
      </c>
      <c r="U780" s="45">
        <f t="shared" si="382"/>
        <v>0.2548194651554434</v>
      </c>
      <c r="V780" s="45">
        <f t="shared" si="383"/>
        <v>1.4033633421270826</v>
      </c>
      <c r="W780" s="45">
        <f t="shared" si="384"/>
        <v>1.4157664386952857</v>
      </c>
      <c r="X780" s="45">
        <f t="shared" si="385"/>
        <v>-1.2403096568203154E-2</v>
      </c>
      <c r="Y780" s="45">
        <f t="shared" si="359"/>
        <v>3.4451846126572823E-2</v>
      </c>
      <c r="Z780" s="10">
        <f t="shared" si="386"/>
        <v>17.817053797637314</v>
      </c>
      <c r="AA780">
        <f t="shared" si="364"/>
        <v>5773767.2224632893</v>
      </c>
      <c r="AB780" s="10">
        <f t="shared" si="365"/>
        <v>5.773767222463289</v>
      </c>
      <c r="AC780" s="10">
        <f t="shared" si="366"/>
        <v>5.672767222463289</v>
      </c>
      <c r="AD780" s="3">
        <f t="shared" si="367"/>
        <v>822.73636293883817</v>
      </c>
      <c r="AI780" s="100">
        <f t="shared" si="368"/>
        <v>1.4157664386952857</v>
      </c>
    </row>
    <row r="781" spans="2:35">
      <c r="B781" s="39">
        <f t="shared" si="369"/>
        <v>753</v>
      </c>
      <c r="C781" s="45">
        <f t="shared" si="370"/>
        <v>22.120503597120891</v>
      </c>
      <c r="D781" s="10">
        <f t="shared" si="371"/>
        <v>2.3794964028793402</v>
      </c>
      <c r="E781" s="40">
        <f t="shared" si="372"/>
        <v>64.24100719424132</v>
      </c>
      <c r="F781" s="40">
        <f t="shared" si="373"/>
        <v>69</v>
      </c>
      <c r="G781" s="3">
        <f t="shared" si="374"/>
        <v>283.03597122303472</v>
      </c>
      <c r="H781" s="3">
        <f t="shared" si="375"/>
        <v>221.47275588995251</v>
      </c>
      <c r="I781">
        <f t="shared" si="360"/>
        <v>2.214727558899525E-4</v>
      </c>
      <c r="J781" s="4">
        <f t="shared" si="376"/>
        <v>3919.8491956740845</v>
      </c>
      <c r="K781" s="40">
        <f t="shared" si="377"/>
        <v>17.699013045296716</v>
      </c>
      <c r="L781" s="40">
        <f t="shared" si="361"/>
        <v>0</v>
      </c>
      <c r="M781" s="10">
        <f t="shared" si="378"/>
        <v>5.773767222463289</v>
      </c>
      <c r="N781" s="10">
        <f t="shared" si="357"/>
        <v>3.8408799049960156</v>
      </c>
      <c r="O781" s="10">
        <f t="shared" si="358"/>
        <v>0.68820000000000003</v>
      </c>
      <c r="P781" s="10">
        <f t="shared" si="379"/>
        <v>12.837102181556432</v>
      </c>
      <c r="Q781" s="45">
        <f t="shared" si="380"/>
        <v>1.7460583800996659</v>
      </c>
      <c r="R781" s="4">
        <f t="shared" si="381"/>
        <v>140956.29320821684</v>
      </c>
      <c r="S781">
        <f t="shared" si="362"/>
        <v>1.4095629320821684E-4</v>
      </c>
      <c r="T781" s="44">
        <f t="shared" si="363"/>
        <v>1.935440101273787E-3</v>
      </c>
      <c r="U781" s="45">
        <f t="shared" si="382"/>
        <v>0.25161403119132747</v>
      </c>
      <c r="V781" s="45">
        <f t="shared" si="383"/>
        <v>1.4007279632739782</v>
      </c>
      <c r="W781" s="45">
        <f t="shared" si="384"/>
        <v>1.4132877846569607</v>
      </c>
      <c r="X781" s="45">
        <f t="shared" si="385"/>
        <v>-1.2559821382982506E-2</v>
      </c>
      <c r="Y781" s="45">
        <f t="shared" si="359"/>
        <v>3.4423104158753361E-2</v>
      </c>
      <c r="Z781" s="10">
        <f t="shared" si="386"/>
        <v>17.785672693305365</v>
      </c>
      <c r="AA781">
        <f t="shared" si="364"/>
        <v>5763775.8006445719</v>
      </c>
      <c r="AB781" s="10">
        <f t="shared" si="365"/>
        <v>5.7637758006445718</v>
      </c>
      <c r="AC781" s="10">
        <f t="shared" si="366"/>
        <v>5.6627758006445719</v>
      </c>
      <c r="AD781" s="3">
        <f t="shared" si="367"/>
        <v>821.28728073162756</v>
      </c>
      <c r="AI781" s="100">
        <f t="shared" si="368"/>
        <v>1.4132877846569607</v>
      </c>
    </row>
    <row r="782" spans="2:35">
      <c r="B782" s="39">
        <f t="shared" si="369"/>
        <v>754</v>
      </c>
      <c r="C782" s="45">
        <f t="shared" si="370"/>
        <v>22.149880095921848</v>
      </c>
      <c r="D782" s="10">
        <f t="shared" si="371"/>
        <v>2.3501199040783831</v>
      </c>
      <c r="E782" s="40">
        <f t="shared" si="372"/>
        <v>64.299760191843234</v>
      </c>
      <c r="F782" s="40">
        <f t="shared" si="373"/>
        <v>69</v>
      </c>
      <c r="G782" s="3">
        <f t="shared" si="374"/>
        <v>282.80095923262706</v>
      </c>
      <c r="H782" s="3">
        <f t="shared" si="375"/>
        <v>221.47275588995251</v>
      </c>
      <c r="I782">
        <f t="shared" si="360"/>
        <v>2.214727558899525E-4</v>
      </c>
      <c r="J782" s="4">
        <f t="shared" si="376"/>
        <v>3925.7806446533523</v>
      </c>
      <c r="K782" s="40">
        <f t="shared" si="377"/>
        <v>17.725794890112947</v>
      </c>
      <c r="L782" s="40">
        <f t="shared" si="361"/>
        <v>0</v>
      </c>
      <c r="M782" s="10">
        <f t="shared" si="378"/>
        <v>5.7637758006445718</v>
      </c>
      <c r="N782" s="10">
        <f t="shared" si="357"/>
        <v>3.8408799049960156</v>
      </c>
      <c r="O782" s="10">
        <f t="shared" si="358"/>
        <v>0.68820000000000003</v>
      </c>
      <c r="P782" s="10">
        <f t="shared" si="379"/>
        <v>12.821810088638065</v>
      </c>
      <c r="Q782" s="45">
        <f t="shared" si="380"/>
        <v>1.7483495151732535</v>
      </c>
      <c r="R782" s="4">
        <f t="shared" si="381"/>
        <v>139161.83413957446</v>
      </c>
      <c r="S782">
        <f t="shared" si="362"/>
        <v>1.3916183413957447E-4</v>
      </c>
      <c r="T782" s="44">
        <f t="shared" si="363"/>
        <v>1.9372345603424293E-3</v>
      </c>
      <c r="U782" s="45">
        <f t="shared" si="382"/>
        <v>0.24841083203084741</v>
      </c>
      <c r="V782" s="45">
        <f t="shared" si="383"/>
        <v>1.3980839442452295</v>
      </c>
      <c r="W782" s="45">
        <f t="shared" si="384"/>
        <v>1.4107985666344354</v>
      </c>
      <c r="X782" s="45">
        <f t="shared" si="385"/>
        <v>-1.2714622389205843E-2</v>
      </c>
      <c r="Y782" s="45">
        <f t="shared" si="359"/>
        <v>3.4393973241450028E-2</v>
      </c>
      <c r="Z782" s="10">
        <f t="shared" si="386"/>
        <v>17.754160464373754</v>
      </c>
      <c r="AA782">
        <f t="shared" si="364"/>
        <v>5753742.6300979517</v>
      </c>
      <c r="AB782" s="10">
        <f t="shared" si="365"/>
        <v>5.7537426300979515</v>
      </c>
      <c r="AC782" s="10">
        <f t="shared" si="366"/>
        <v>5.6527426300979515</v>
      </c>
      <c r="AD782" s="3">
        <f t="shared" si="367"/>
        <v>819.8321435965122</v>
      </c>
      <c r="AI782" s="100">
        <f t="shared" si="368"/>
        <v>1.4107985666344354</v>
      </c>
    </row>
    <row r="783" spans="2:35">
      <c r="B783" s="39">
        <f t="shared" si="369"/>
        <v>755</v>
      </c>
      <c r="C783" s="45">
        <f t="shared" si="370"/>
        <v>22.179256594722805</v>
      </c>
      <c r="D783" s="10">
        <f t="shared" si="371"/>
        <v>2.3207434052774261</v>
      </c>
      <c r="E783" s="40">
        <f t="shared" si="372"/>
        <v>64.358513189445148</v>
      </c>
      <c r="F783" s="40">
        <f t="shared" si="373"/>
        <v>69</v>
      </c>
      <c r="G783" s="3">
        <f t="shared" si="374"/>
        <v>282.56594724221941</v>
      </c>
      <c r="H783" s="3">
        <f t="shared" si="375"/>
        <v>221.47275588995251</v>
      </c>
      <c r="I783">
        <f t="shared" si="360"/>
        <v>2.214727558899525E-4</v>
      </c>
      <c r="J783" s="4">
        <f t="shared" si="376"/>
        <v>3931.7175158875943</v>
      </c>
      <c r="K783" s="40">
        <f t="shared" si="377"/>
        <v>17.752601217646941</v>
      </c>
      <c r="L783" s="40">
        <f t="shared" si="361"/>
        <v>0</v>
      </c>
      <c r="M783" s="10">
        <f t="shared" si="378"/>
        <v>5.7537426300979515</v>
      </c>
      <c r="N783" s="10">
        <f t="shared" si="357"/>
        <v>3.8408799049960156</v>
      </c>
      <c r="O783" s="10">
        <f t="shared" si="358"/>
        <v>0.68820000000000003</v>
      </c>
      <c r="P783" s="10">
        <f t="shared" si="379"/>
        <v>12.806445778820233</v>
      </c>
      <c r="Q783" s="45">
        <f t="shared" si="380"/>
        <v>1.7506433989961594</v>
      </c>
      <c r="R783" s="4">
        <f t="shared" si="381"/>
        <v>137368.63084958028</v>
      </c>
      <c r="S783">
        <f t="shared" si="362"/>
        <v>1.3736863084958027E-4</v>
      </c>
      <c r="T783" s="44">
        <f t="shared" si="363"/>
        <v>1.9390277636324236E-3</v>
      </c>
      <c r="U783" s="45">
        <f t="shared" si="382"/>
        <v>0.2452098744980433</v>
      </c>
      <c r="V783" s="45">
        <f t="shared" si="383"/>
        <v>1.3954314080079238</v>
      </c>
      <c r="W783" s="45">
        <f t="shared" si="384"/>
        <v>1.4082989475210743</v>
      </c>
      <c r="X783" s="45">
        <f t="shared" si="385"/>
        <v>-1.2867539513150561E-2</v>
      </c>
      <c r="Y783" s="45">
        <f t="shared" si="359"/>
        <v>3.4364456600720211E-2</v>
      </c>
      <c r="Z783" s="10">
        <f t="shared" si="386"/>
        <v>17.722519112539427</v>
      </c>
      <c r="AA783">
        <f t="shared" si="364"/>
        <v>5743668.3481432097</v>
      </c>
      <c r="AB783" s="10">
        <f t="shared" si="365"/>
        <v>5.7436683481432098</v>
      </c>
      <c r="AC783" s="10">
        <f t="shared" si="366"/>
        <v>5.6426683481432098</v>
      </c>
      <c r="AD783" s="3">
        <f t="shared" si="367"/>
        <v>818.37104396565769</v>
      </c>
      <c r="AI783" s="100">
        <f t="shared" si="368"/>
        <v>1.4082989475210743</v>
      </c>
    </row>
    <row r="784" spans="2:35">
      <c r="B784" s="39">
        <f t="shared" si="369"/>
        <v>756</v>
      </c>
      <c r="C784" s="45">
        <f t="shared" si="370"/>
        <v>22.208633093523762</v>
      </c>
      <c r="D784" s="10">
        <f t="shared" si="371"/>
        <v>2.291366906476469</v>
      </c>
      <c r="E784" s="40">
        <f t="shared" si="372"/>
        <v>64.417266187047062</v>
      </c>
      <c r="F784" s="40">
        <f t="shared" si="373"/>
        <v>69</v>
      </c>
      <c r="G784" s="3">
        <f t="shared" si="374"/>
        <v>282.33093525181175</v>
      </c>
      <c r="H784" s="3">
        <f t="shared" si="375"/>
        <v>221.47275588995251</v>
      </c>
      <c r="I784">
        <f t="shared" si="360"/>
        <v>2.214727558899525E-4</v>
      </c>
      <c r="J784" s="4">
        <f t="shared" si="376"/>
        <v>3937.6598093768098</v>
      </c>
      <c r="K784" s="40">
        <f t="shared" si="377"/>
        <v>17.779432027898689</v>
      </c>
      <c r="L784" s="40">
        <f t="shared" si="361"/>
        <v>0</v>
      </c>
      <c r="M784" s="10">
        <f t="shared" si="378"/>
        <v>5.7436683481432098</v>
      </c>
      <c r="N784" s="10">
        <f t="shared" si="357"/>
        <v>3.8408799049960156</v>
      </c>
      <c r="O784" s="10">
        <f t="shared" si="358"/>
        <v>0.68820000000000003</v>
      </c>
      <c r="P784" s="10">
        <f t="shared" si="379"/>
        <v>12.791010105596186</v>
      </c>
      <c r="Q784" s="45">
        <f t="shared" si="380"/>
        <v>1.752940050985208</v>
      </c>
      <c r="R784" s="4">
        <f t="shared" si="381"/>
        <v>135576.68716111931</v>
      </c>
      <c r="S784">
        <f t="shared" si="362"/>
        <v>1.3557668716111931E-4</v>
      </c>
      <c r="T784" s="44">
        <f t="shared" si="363"/>
        <v>1.9408197073208845E-3</v>
      </c>
      <c r="U784" s="45">
        <f t="shared" si="382"/>
        <v>0.242011165416956</v>
      </c>
      <c r="V784" s="45">
        <f t="shared" si="383"/>
        <v>1.3927704747345611</v>
      </c>
      <c r="W784" s="45">
        <f t="shared" si="384"/>
        <v>1.4057890860958695</v>
      </c>
      <c r="X784" s="45">
        <f t="shared" si="385"/>
        <v>-1.3018611361308441E-2</v>
      </c>
      <c r="Y784" s="45">
        <f t="shared" si="359"/>
        <v>3.4334557381042609E-2</v>
      </c>
      <c r="Z784" s="10">
        <f t="shared" si="386"/>
        <v>17.690750589315776</v>
      </c>
      <c r="AA784">
        <f t="shared" si="364"/>
        <v>5733553.5761221983</v>
      </c>
      <c r="AB784" s="10">
        <f t="shared" si="365"/>
        <v>5.7335535761221985</v>
      </c>
      <c r="AC784" s="10">
        <f t="shared" si="366"/>
        <v>5.6325535761221985</v>
      </c>
      <c r="AD784" s="3">
        <f t="shared" si="367"/>
        <v>816.90407195390833</v>
      </c>
      <c r="AI784" s="100">
        <f t="shared" si="368"/>
        <v>1.4057890860958695</v>
      </c>
    </row>
    <row r="785" spans="2:35">
      <c r="B785" s="39">
        <f t="shared" si="369"/>
        <v>757</v>
      </c>
      <c r="C785" s="45">
        <f t="shared" si="370"/>
        <v>22.238009592324719</v>
      </c>
      <c r="D785" s="10">
        <f t="shared" si="371"/>
        <v>2.261990407675512</v>
      </c>
      <c r="E785" s="40">
        <f t="shared" si="372"/>
        <v>64.476019184648976</v>
      </c>
      <c r="F785" s="40">
        <f t="shared" si="373"/>
        <v>69</v>
      </c>
      <c r="G785" s="3">
        <f t="shared" si="374"/>
        <v>282.0959232614041</v>
      </c>
      <c r="H785" s="3">
        <f t="shared" si="375"/>
        <v>221.47275588995251</v>
      </c>
      <c r="I785">
        <f t="shared" si="360"/>
        <v>2.214727558899525E-4</v>
      </c>
      <c r="J785" s="4">
        <f t="shared" si="376"/>
        <v>3943.607525121</v>
      </c>
      <c r="K785" s="40">
        <f t="shared" si="377"/>
        <v>17.806287320868204</v>
      </c>
      <c r="L785" s="40">
        <f t="shared" si="361"/>
        <v>0</v>
      </c>
      <c r="M785" s="10">
        <f t="shared" si="378"/>
        <v>5.7335535761221985</v>
      </c>
      <c r="N785" s="10">
        <f t="shared" si="357"/>
        <v>3.8408799049960156</v>
      </c>
      <c r="O785" s="10">
        <f t="shared" si="358"/>
        <v>0.68820000000000003</v>
      </c>
      <c r="P785" s="10">
        <f t="shared" si="379"/>
        <v>12.7755038991149</v>
      </c>
      <c r="Q785" s="45">
        <f t="shared" si="380"/>
        <v>1.7552394905245747</v>
      </c>
      <c r="R785" s="4">
        <f t="shared" si="381"/>
        <v>133786.00689707615</v>
      </c>
      <c r="S785">
        <f t="shared" si="362"/>
        <v>1.3378600689707614E-4</v>
      </c>
      <c r="T785" s="44">
        <f t="shared" si="363"/>
        <v>1.9426103875849277E-3</v>
      </c>
      <c r="U785" s="45">
        <f t="shared" si="382"/>
        <v>0.23881471161162579</v>
      </c>
      <c r="V785" s="45">
        <f t="shared" si="383"/>
        <v>1.3901012618972854</v>
      </c>
      <c r="W785" s="45">
        <f t="shared" si="384"/>
        <v>1.4032691371571433</v>
      </c>
      <c r="X785" s="45">
        <f t="shared" si="385"/>
        <v>-1.3167875259857853E-2</v>
      </c>
      <c r="Y785" s="45">
        <f t="shared" si="359"/>
        <v>3.4304278648020645E-2</v>
      </c>
      <c r="Z785" s="10">
        <f t="shared" si="386"/>
        <v>17.65885679766598</v>
      </c>
      <c r="AA785">
        <f t="shared" si="364"/>
        <v>5723398.9199188799</v>
      </c>
      <c r="AB785" s="10">
        <f t="shared" si="365"/>
        <v>5.7233989199188802</v>
      </c>
      <c r="AC785" s="10">
        <f t="shared" si="366"/>
        <v>5.6223989199188802</v>
      </c>
      <c r="AD785" s="3">
        <f t="shared" si="367"/>
        <v>815.43131543421032</v>
      </c>
      <c r="AI785" s="100">
        <f t="shared" si="368"/>
        <v>1.4032691371571433</v>
      </c>
    </row>
    <row r="786" spans="2:35">
      <c r="B786" s="39">
        <f t="shared" si="369"/>
        <v>758</v>
      </c>
      <c r="C786" s="45">
        <f t="shared" si="370"/>
        <v>22.267386091125676</v>
      </c>
      <c r="D786" s="10">
        <f t="shared" si="371"/>
        <v>2.2326139088745549</v>
      </c>
      <c r="E786" s="40">
        <f t="shared" si="372"/>
        <v>64.53477218225089</v>
      </c>
      <c r="F786" s="40">
        <f t="shared" si="373"/>
        <v>69</v>
      </c>
      <c r="G786" s="3">
        <f t="shared" si="374"/>
        <v>281.86091127099644</v>
      </c>
      <c r="H786" s="3">
        <f t="shared" si="375"/>
        <v>221.47275588995251</v>
      </c>
      <c r="I786">
        <f t="shared" si="360"/>
        <v>2.214727558899525E-4</v>
      </c>
      <c r="J786" s="4">
        <f t="shared" si="376"/>
        <v>3949.5606631201626</v>
      </c>
      <c r="K786" s="40">
        <f t="shared" si="377"/>
        <v>17.833167096555471</v>
      </c>
      <c r="L786" s="40">
        <f t="shared" si="361"/>
        <v>0</v>
      </c>
      <c r="M786" s="10">
        <f t="shared" si="378"/>
        <v>5.7233989199188802</v>
      </c>
      <c r="N786" s="10">
        <f t="shared" si="357"/>
        <v>3.8408799049960156</v>
      </c>
      <c r="O786" s="10">
        <f t="shared" si="358"/>
        <v>0.68820000000000003</v>
      </c>
      <c r="P786" s="10">
        <f t="shared" si="379"/>
        <v>12.759927966936727</v>
      </c>
      <c r="Q786" s="45">
        <f t="shared" si="380"/>
        <v>1.7575417369696233</v>
      </c>
      <c r="R786" s="4">
        <f t="shared" si="381"/>
        <v>131996.59388033603</v>
      </c>
      <c r="S786">
        <f t="shared" si="362"/>
        <v>1.3199659388033602E-4</v>
      </c>
      <c r="T786" s="44">
        <f t="shared" si="363"/>
        <v>1.9443998006016677E-3</v>
      </c>
      <c r="U786" s="45">
        <f t="shared" si="382"/>
        <v>0.23562051990609384</v>
      </c>
      <c r="V786" s="45">
        <f t="shared" si="383"/>
        <v>1.3874238843550475</v>
      </c>
      <c r="W786" s="45">
        <f t="shared" si="384"/>
        <v>1.4007392516521096</v>
      </c>
      <c r="X786" s="45">
        <f t="shared" si="385"/>
        <v>-1.3315367297062064E-2</v>
      </c>
      <c r="Y786" s="45">
        <f t="shared" si="359"/>
        <v>3.4273623390996467E-2</v>
      </c>
      <c r="Z786" s="10">
        <f t="shared" si="386"/>
        <v>17.626839593580993</v>
      </c>
      <c r="AA786">
        <f t="shared" si="364"/>
        <v>5713204.970461742</v>
      </c>
      <c r="AB786" s="10">
        <f t="shared" si="365"/>
        <v>5.7132049704617422</v>
      </c>
      <c r="AC786" s="10">
        <f t="shared" si="366"/>
        <v>5.6122049704617423</v>
      </c>
      <c r="AD786" s="3">
        <f t="shared" si="367"/>
        <v>813.95286011047745</v>
      </c>
      <c r="AI786" s="100">
        <f t="shared" si="368"/>
        <v>1.4007392516521096</v>
      </c>
    </row>
    <row r="787" spans="2:35">
      <c r="B787" s="39">
        <f t="shared" si="369"/>
        <v>759</v>
      </c>
      <c r="C787" s="45">
        <f t="shared" si="370"/>
        <v>22.296762589926633</v>
      </c>
      <c r="D787" s="10">
        <f t="shared" si="371"/>
        <v>2.2032374100735979</v>
      </c>
      <c r="E787" s="40">
        <f t="shared" si="372"/>
        <v>64.593525179852804</v>
      </c>
      <c r="F787" s="40">
        <f t="shared" si="373"/>
        <v>69</v>
      </c>
      <c r="G787" s="3">
        <f t="shared" si="374"/>
        <v>281.62589928058878</v>
      </c>
      <c r="H787" s="3">
        <f t="shared" si="375"/>
        <v>221.47275588995251</v>
      </c>
      <c r="I787">
        <f t="shared" si="360"/>
        <v>2.214727558899525E-4</v>
      </c>
      <c r="J787" s="4">
        <f t="shared" si="376"/>
        <v>3955.5192233743001</v>
      </c>
      <c r="K787" s="40">
        <f t="shared" si="377"/>
        <v>17.8600713549605</v>
      </c>
      <c r="L787" s="40">
        <f t="shared" si="361"/>
        <v>0</v>
      </c>
      <c r="M787" s="10">
        <f t="shared" si="378"/>
        <v>5.7132049704617422</v>
      </c>
      <c r="N787" s="10">
        <f t="shared" si="357"/>
        <v>3.8408799049960156</v>
      </c>
      <c r="O787" s="10">
        <f t="shared" si="358"/>
        <v>0.68820000000000003</v>
      </c>
      <c r="P787" s="10">
        <f t="shared" si="379"/>
        <v>12.744283094763306</v>
      </c>
      <c r="Q787" s="45">
        <f t="shared" si="380"/>
        <v>1.7598468096506461</v>
      </c>
      <c r="R787" s="4">
        <f t="shared" si="381"/>
        <v>130208.45193378329</v>
      </c>
      <c r="S787">
        <f t="shared" si="362"/>
        <v>1.3020845193378329E-4</v>
      </c>
      <c r="T787" s="44">
        <f t="shared" si="363"/>
        <v>1.9461879425482205E-3</v>
      </c>
      <c r="U787" s="45">
        <f t="shared" si="382"/>
        <v>0.23242859712439987</v>
      </c>
      <c r="V787" s="45">
        <f t="shared" si="383"/>
        <v>1.384738454441151</v>
      </c>
      <c r="W787" s="45">
        <f t="shared" si="384"/>
        <v>1.398199576802041</v>
      </c>
      <c r="X787" s="45">
        <f t="shared" si="385"/>
        <v>-1.3461122360890032E-2</v>
      </c>
      <c r="Y787" s="45">
        <f t="shared" si="359"/>
        <v>3.4242594525586478E-2</v>
      </c>
      <c r="Z787" s="10">
        <f t="shared" si="386"/>
        <v>17.594700787608055</v>
      </c>
      <c r="AA787">
        <f t="shared" si="364"/>
        <v>5702972.304210458</v>
      </c>
      <c r="AB787" s="10">
        <f t="shared" si="365"/>
        <v>5.7029723042104576</v>
      </c>
      <c r="AC787" s="10">
        <f t="shared" si="366"/>
        <v>5.6019723042104577</v>
      </c>
      <c r="AD787" s="3">
        <f t="shared" si="367"/>
        <v>812.46878958817376</v>
      </c>
      <c r="AI787" s="100">
        <f t="shared" si="368"/>
        <v>1.398199576802041</v>
      </c>
    </row>
    <row r="788" spans="2:35">
      <c r="B788" s="39">
        <f t="shared" si="369"/>
        <v>760</v>
      </c>
      <c r="C788" s="45">
        <f t="shared" si="370"/>
        <v>22.32613908872759</v>
      </c>
      <c r="D788" s="10">
        <f t="shared" si="371"/>
        <v>2.1738609112726408</v>
      </c>
      <c r="E788" s="40">
        <f t="shared" si="372"/>
        <v>64.652278177454718</v>
      </c>
      <c r="F788" s="40">
        <f t="shared" si="373"/>
        <v>69</v>
      </c>
      <c r="G788" s="3">
        <f t="shared" si="374"/>
        <v>281.39088729018113</v>
      </c>
      <c r="H788" s="3">
        <f t="shared" si="375"/>
        <v>221.47275588995251</v>
      </c>
      <c r="I788">
        <f t="shared" si="360"/>
        <v>2.214727558899525E-4</v>
      </c>
      <c r="J788" s="4">
        <f t="shared" si="376"/>
        <v>3961.4832058834122</v>
      </c>
      <c r="K788" s="40">
        <f t="shared" si="377"/>
        <v>17.887000096083295</v>
      </c>
      <c r="L788" s="40">
        <f t="shared" si="361"/>
        <v>0</v>
      </c>
      <c r="M788" s="10">
        <f t="shared" si="378"/>
        <v>5.7029723042104576</v>
      </c>
      <c r="N788" s="10">
        <f t="shared" si="357"/>
        <v>3.8408799049960156</v>
      </c>
      <c r="O788" s="10">
        <f t="shared" si="358"/>
        <v>0.68820000000000003</v>
      </c>
      <c r="P788" s="10">
        <f t="shared" si="379"/>
        <v>12.728570047144629</v>
      </c>
      <c r="Q788" s="45">
        <f t="shared" si="380"/>
        <v>1.7621547278765075</v>
      </c>
      <c r="R788" s="4">
        <f t="shared" si="381"/>
        <v>128421.58488030279</v>
      </c>
      <c r="S788">
        <f t="shared" si="362"/>
        <v>1.2842158488030278E-4</v>
      </c>
      <c r="T788" s="44">
        <f t="shared" si="363"/>
        <v>1.9479748096017011E-3</v>
      </c>
      <c r="U788" s="45">
        <f t="shared" si="382"/>
        <v>0.22923895009058448</v>
      </c>
      <c r="V788" s="45">
        <f t="shared" si="383"/>
        <v>1.3820450820456969</v>
      </c>
      <c r="W788" s="45">
        <f t="shared" si="384"/>
        <v>1.3956502562235154</v>
      </c>
      <c r="X788" s="45">
        <f t="shared" si="385"/>
        <v>-1.360517417781848E-2</v>
      </c>
      <c r="Y788" s="45">
        <f t="shared" si="359"/>
        <v>3.4211194896135472E-2</v>
      </c>
      <c r="Z788" s="10">
        <f t="shared" si="386"/>
        <v>17.562442146328664</v>
      </c>
      <c r="AA788">
        <f t="shared" si="364"/>
        <v>5692701.4836264625</v>
      </c>
      <c r="AB788" s="10">
        <f t="shared" si="365"/>
        <v>5.6927014836264629</v>
      </c>
      <c r="AC788" s="10">
        <f t="shared" si="366"/>
        <v>5.5917014836264629</v>
      </c>
      <c r="AD788" s="3">
        <f t="shared" si="367"/>
        <v>810.97918544256163</v>
      </c>
      <c r="AI788" s="100">
        <f t="shared" si="368"/>
        <v>1.3956502562235154</v>
      </c>
    </row>
    <row r="789" spans="2:35">
      <c r="B789" s="39">
        <f t="shared" si="369"/>
        <v>761</v>
      </c>
      <c r="C789" s="45">
        <f t="shared" si="370"/>
        <v>22.355515587528547</v>
      </c>
      <c r="D789" s="10">
        <f t="shared" si="371"/>
        <v>2.1444844124716838</v>
      </c>
      <c r="E789" s="40">
        <f t="shared" si="372"/>
        <v>64.711031175056632</v>
      </c>
      <c r="F789" s="40">
        <f t="shared" si="373"/>
        <v>69</v>
      </c>
      <c r="G789" s="3">
        <f t="shared" si="374"/>
        <v>281.15587529977347</v>
      </c>
      <c r="H789" s="3">
        <f t="shared" si="375"/>
        <v>221.47275588995251</v>
      </c>
      <c r="I789">
        <f t="shared" si="360"/>
        <v>2.214727558899525E-4</v>
      </c>
      <c r="J789" s="4">
        <f t="shared" si="376"/>
        <v>3967.4526106474968</v>
      </c>
      <c r="K789" s="40">
        <f t="shared" si="377"/>
        <v>17.913953319923838</v>
      </c>
      <c r="L789" s="40">
        <f t="shared" si="361"/>
        <v>0</v>
      </c>
      <c r="M789" s="10">
        <f t="shared" si="378"/>
        <v>5.6927014836264629</v>
      </c>
      <c r="N789" s="10">
        <f t="shared" si="357"/>
        <v>3.8408799049960156</v>
      </c>
      <c r="O789" s="10">
        <f t="shared" si="358"/>
        <v>0.68820000000000003</v>
      </c>
      <c r="P789" s="10">
        <f t="shared" si="379"/>
        <v>12.712789568162673</v>
      </c>
      <c r="Q789" s="45">
        <f t="shared" si="380"/>
        <v>1.764465510938199</v>
      </c>
      <c r="R789" s="4">
        <f t="shared" si="381"/>
        <v>126635.99654277971</v>
      </c>
      <c r="S789">
        <f t="shared" si="362"/>
        <v>1.2663599654277972E-4</v>
      </c>
      <c r="T789" s="44">
        <f t="shared" si="363"/>
        <v>1.9497603979392241E-3</v>
      </c>
      <c r="U789" s="45">
        <f t="shared" si="382"/>
        <v>0.22605158562868893</v>
      </c>
      <c r="V789" s="45">
        <f t="shared" si="383"/>
        <v>1.3793438746960327</v>
      </c>
      <c r="W789" s="45">
        <f t="shared" si="384"/>
        <v>1.3930914300456518</v>
      </c>
      <c r="X789" s="45">
        <f t="shared" si="385"/>
        <v>-1.3747555349619134E-2</v>
      </c>
      <c r="Y789" s="45">
        <f t="shared" si="359"/>
        <v>3.4179427278093907E-2</v>
      </c>
      <c r="Z789" s="10">
        <f t="shared" si="386"/>
        <v>17.530065393788611</v>
      </c>
      <c r="AA789">
        <f t="shared" si="364"/>
        <v>5682393.0576282553</v>
      </c>
      <c r="AB789" s="10">
        <f t="shared" si="365"/>
        <v>5.6823930576282553</v>
      </c>
      <c r="AC789" s="10">
        <f t="shared" si="366"/>
        <v>5.5813930576282553</v>
      </c>
      <c r="AD789" s="3">
        <f t="shared" si="367"/>
        <v>809.48412728473613</v>
      </c>
      <c r="AI789" s="100">
        <f t="shared" si="368"/>
        <v>1.3930914300456518</v>
      </c>
    </row>
    <row r="790" spans="2:35">
      <c r="B790" s="39">
        <f t="shared" si="369"/>
        <v>762</v>
      </c>
      <c r="C790" s="45">
        <f t="shared" si="370"/>
        <v>22.384892086329504</v>
      </c>
      <c r="D790" s="10">
        <f t="shared" si="371"/>
        <v>2.1151079136707267</v>
      </c>
      <c r="E790" s="40">
        <f t="shared" si="372"/>
        <v>64.769784172658547</v>
      </c>
      <c r="F790" s="40">
        <f t="shared" si="373"/>
        <v>69</v>
      </c>
      <c r="G790" s="3">
        <f t="shared" si="374"/>
        <v>280.92086330936581</v>
      </c>
      <c r="H790" s="3">
        <f t="shared" si="375"/>
        <v>221.47275588995251</v>
      </c>
      <c r="I790">
        <f t="shared" si="360"/>
        <v>2.214727558899525E-4</v>
      </c>
      <c r="J790" s="4">
        <f t="shared" si="376"/>
        <v>3973.4274376665558</v>
      </c>
      <c r="K790" s="40">
        <f t="shared" si="377"/>
        <v>17.940931026482147</v>
      </c>
      <c r="L790" s="40">
        <f t="shared" si="361"/>
        <v>0</v>
      </c>
      <c r="M790" s="10">
        <f t="shared" si="378"/>
        <v>5.6823930576282553</v>
      </c>
      <c r="N790" s="10">
        <f t="shared" si="357"/>
        <v>3.8408799049960156</v>
      </c>
      <c r="O790" s="10">
        <f t="shared" si="358"/>
        <v>0.68820000000000003</v>
      </c>
      <c r="P790" s="10">
        <f t="shared" si="379"/>
        <v>12.696942382092885</v>
      </c>
      <c r="Q790" s="45">
        <f t="shared" si="380"/>
        <v>1.7667791781123046</v>
      </c>
      <c r="R790" s="4">
        <f t="shared" si="381"/>
        <v>124851.69074409845</v>
      </c>
      <c r="S790">
        <f t="shared" si="362"/>
        <v>1.2485169074409846E-4</v>
      </c>
      <c r="T790" s="44">
        <f t="shared" si="363"/>
        <v>1.9515447037379053E-3</v>
      </c>
      <c r="U790" s="45">
        <f t="shared" si="382"/>
        <v>0.22286651056275295</v>
      </c>
      <c r="V790" s="45">
        <f t="shared" si="383"/>
        <v>1.3766349376363309</v>
      </c>
      <c r="W790" s="45">
        <f t="shared" si="384"/>
        <v>1.3905232350235441</v>
      </c>
      <c r="X790" s="45">
        <f t="shared" si="385"/>
        <v>-1.38882973872132E-2</v>
      </c>
      <c r="Y790" s="45">
        <f t="shared" si="359"/>
        <v>3.4147294380324898E-2</v>
      </c>
      <c r="Z790" s="10">
        <f t="shared" si="386"/>
        <v>17.497572212883789</v>
      </c>
      <c r="AA790">
        <f t="shared" si="364"/>
        <v>5672047.5620326316</v>
      </c>
      <c r="AB790" s="10">
        <f t="shared" si="365"/>
        <v>5.6720475620326312</v>
      </c>
      <c r="AC790" s="10">
        <f t="shared" si="366"/>
        <v>5.5710475620326312</v>
      </c>
      <c r="AD790" s="3">
        <f t="shared" si="367"/>
        <v>807.98369282561737</v>
      </c>
      <c r="AI790" s="100">
        <f t="shared" si="368"/>
        <v>1.3905232350235441</v>
      </c>
    </row>
    <row r="791" spans="2:35">
      <c r="B791" s="39">
        <f t="shared" si="369"/>
        <v>763</v>
      </c>
      <c r="C791" s="45">
        <f t="shared" si="370"/>
        <v>22.414268585130461</v>
      </c>
      <c r="D791" s="10">
        <f t="shared" si="371"/>
        <v>2.0857314148697697</v>
      </c>
      <c r="E791" s="40">
        <f t="shared" si="372"/>
        <v>64.828537170260461</v>
      </c>
      <c r="F791" s="40">
        <f t="shared" si="373"/>
        <v>69</v>
      </c>
      <c r="G791" s="3">
        <f t="shared" si="374"/>
        <v>280.68585131895816</v>
      </c>
      <c r="H791" s="3">
        <f t="shared" si="375"/>
        <v>221.47275588995251</v>
      </c>
      <c r="I791">
        <f t="shared" si="360"/>
        <v>2.214727558899525E-4</v>
      </c>
      <c r="J791" s="4">
        <f t="shared" si="376"/>
        <v>3979.407686940589</v>
      </c>
      <c r="K791" s="40">
        <f t="shared" si="377"/>
        <v>17.967933215758215</v>
      </c>
      <c r="L791" s="40">
        <f t="shared" si="361"/>
        <v>0</v>
      </c>
      <c r="M791" s="10">
        <f t="shared" si="378"/>
        <v>5.6720475620326312</v>
      </c>
      <c r="N791" s="10">
        <f t="shared" si="357"/>
        <v>3.8408799049960156</v>
      </c>
      <c r="O791" s="10">
        <f t="shared" si="358"/>
        <v>0.68820000000000003</v>
      </c>
      <c r="P791" s="10">
        <f t="shared" si="379"/>
        <v>12.681029194045227</v>
      </c>
      <c r="Q791" s="45">
        <f t="shared" si="380"/>
        <v>1.7690957486643819</v>
      </c>
      <c r="R791" s="4">
        <f t="shared" si="381"/>
        <v>123068.67130714402</v>
      </c>
      <c r="S791">
        <f t="shared" si="362"/>
        <v>1.2306867130714401E-4</v>
      </c>
      <c r="T791" s="44">
        <f t="shared" si="363"/>
        <v>1.9533277231748598E-3</v>
      </c>
      <c r="U791" s="45">
        <f t="shared" si="382"/>
        <v>0.21968373171681743</v>
      </c>
      <c r="V791" s="45">
        <f t="shared" si="383"/>
        <v>1.3739183739003371</v>
      </c>
      <c r="W791" s="45">
        <f t="shared" si="384"/>
        <v>1.3879458046481852</v>
      </c>
      <c r="X791" s="45">
        <f t="shared" si="385"/>
        <v>-1.4027430747848069E-2</v>
      </c>
      <c r="Y791" s="45">
        <f t="shared" si="359"/>
        <v>3.4114798847333129E-2</v>
      </c>
      <c r="Z791" s="10">
        <f t="shared" si="386"/>
        <v>17.464964246698099</v>
      </c>
      <c r="AA791">
        <f t="shared" si="364"/>
        <v>5661665.519980656</v>
      </c>
      <c r="AB791" s="10">
        <f t="shared" si="365"/>
        <v>5.661665519980656</v>
      </c>
      <c r="AC791" s="10">
        <f t="shared" si="366"/>
        <v>5.5606655199806561</v>
      </c>
      <c r="AD791" s="3">
        <f t="shared" si="367"/>
        <v>806.47795793773116</v>
      </c>
      <c r="AI791" s="100">
        <f t="shared" si="368"/>
        <v>1.3879458046481852</v>
      </c>
    </row>
    <row r="792" spans="2:35">
      <c r="B792" s="39">
        <f t="shared" si="369"/>
        <v>764</v>
      </c>
      <c r="C792" s="45">
        <f t="shared" si="370"/>
        <v>22.443645083931418</v>
      </c>
      <c r="D792" s="10">
        <f t="shared" si="371"/>
        <v>2.0563549160688126</v>
      </c>
      <c r="E792" s="40">
        <f t="shared" si="372"/>
        <v>64.887290167862375</v>
      </c>
      <c r="F792" s="40">
        <f t="shared" si="373"/>
        <v>69</v>
      </c>
      <c r="G792" s="3">
        <f t="shared" si="374"/>
        <v>280.4508393285505</v>
      </c>
      <c r="H792" s="3">
        <f t="shared" si="375"/>
        <v>221.47275588995251</v>
      </c>
      <c r="I792">
        <f t="shared" si="360"/>
        <v>2.214727558899525E-4</v>
      </c>
      <c r="J792" s="4">
        <f t="shared" si="376"/>
        <v>3985.393358469596</v>
      </c>
      <c r="K792" s="40">
        <f t="shared" si="377"/>
        <v>17.994959887752046</v>
      </c>
      <c r="L792" s="40">
        <f t="shared" si="361"/>
        <v>0</v>
      </c>
      <c r="M792" s="10">
        <f t="shared" si="378"/>
        <v>5.661665519980656</v>
      </c>
      <c r="N792" s="10">
        <f t="shared" si="357"/>
        <v>3.8408799049960156</v>
      </c>
      <c r="O792" s="10">
        <f t="shared" si="358"/>
        <v>0.68820000000000003</v>
      </c>
      <c r="P792" s="10">
        <f t="shared" si="379"/>
        <v>12.665050690583048</v>
      </c>
      <c r="Q792" s="45">
        <f t="shared" si="380"/>
        <v>1.7714152418522615</v>
      </c>
      <c r="R792" s="4">
        <f t="shared" si="381"/>
        <v>121286.94205480101</v>
      </c>
      <c r="S792">
        <f t="shared" si="362"/>
        <v>1.2128694205480101E-4</v>
      </c>
      <c r="T792" s="44">
        <f t="shared" si="363"/>
        <v>1.9551094524272029E-3</v>
      </c>
      <c r="U792" s="45">
        <f t="shared" si="382"/>
        <v>0.21650325591492253</v>
      </c>
      <c r="V792" s="45">
        <f t="shared" si="383"/>
        <v>1.3711942843869143</v>
      </c>
      <c r="W792" s="45">
        <f t="shared" si="384"/>
        <v>1.3853592692525938</v>
      </c>
      <c r="X792" s="45">
        <f t="shared" si="385"/>
        <v>-1.416498486567952E-2</v>
      </c>
      <c r="Y792" s="45">
        <f t="shared" si="359"/>
        <v>3.4081943261430769E-2</v>
      </c>
      <c r="Z792" s="10">
        <f t="shared" si="386"/>
        <v>17.432243099801486</v>
      </c>
      <c r="AA792">
        <f t="shared" si="364"/>
        <v>5651247.4423509464</v>
      </c>
      <c r="AB792" s="10">
        <f t="shared" si="365"/>
        <v>5.6512474423509467</v>
      </c>
      <c r="AC792" s="10">
        <f t="shared" si="366"/>
        <v>5.5502474423509467</v>
      </c>
      <c r="AD792" s="3">
        <f t="shared" si="367"/>
        <v>804.96699671514818</v>
      </c>
      <c r="AI792" s="100">
        <f t="shared" si="368"/>
        <v>1.3853592692525938</v>
      </c>
    </row>
    <row r="793" spans="2:35">
      <c r="B793" s="39">
        <f t="shared" si="369"/>
        <v>765</v>
      </c>
      <c r="C793" s="45">
        <f t="shared" si="370"/>
        <v>22.473021582732375</v>
      </c>
      <c r="D793" s="10">
        <f t="shared" si="371"/>
        <v>2.0269784172678555</v>
      </c>
      <c r="E793" s="40">
        <f t="shared" si="372"/>
        <v>64.946043165464289</v>
      </c>
      <c r="F793" s="40">
        <f t="shared" si="373"/>
        <v>69</v>
      </c>
      <c r="G793" s="3">
        <f t="shared" si="374"/>
        <v>280.21582733814284</v>
      </c>
      <c r="H793" s="3">
        <f t="shared" si="375"/>
        <v>221.47275588995251</v>
      </c>
      <c r="I793">
        <f t="shared" si="360"/>
        <v>2.214727558899525E-4</v>
      </c>
      <c r="J793" s="4">
        <f t="shared" si="376"/>
        <v>3991.3844522535769</v>
      </c>
      <c r="K793" s="40">
        <f t="shared" si="377"/>
        <v>18.022011042463635</v>
      </c>
      <c r="L793" s="40">
        <f t="shared" si="361"/>
        <v>0</v>
      </c>
      <c r="M793" s="10">
        <f t="shared" si="378"/>
        <v>5.6512474423509467</v>
      </c>
      <c r="N793" s="10">
        <f t="shared" si="357"/>
        <v>3.8408799049960156</v>
      </c>
      <c r="O793" s="10">
        <f t="shared" si="358"/>
        <v>0.68820000000000003</v>
      </c>
      <c r="P793" s="10">
        <f t="shared" si="379"/>
        <v>12.649007540323593</v>
      </c>
      <c r="Q793" s="45">
        <f t="shared" si="380"/>
        <v>1.7737376769292672</v>
      </c>
      <c r="R793" s="4">
        <f t="shared" si="381"/>
        <v>119506.50680995443</v>
      </c>
      <c r="S793">
        <f t="shared" si="362"/>
        <v>1.1950650680995443E-4</v>
      </c>
      <c r="T793" s="44">
        <f t="shared" si="363"/>
        <v>1.9568898876720494E-3</v>
      </c>
      <c r="U793" s="45">
        <f t="shared" si="382"/>
        <v>0.21332508998110916</v>
      </c>
      <c r="V793" s="45">
        <f t="shared" si="383"/>
        <v>1.3684627679284669</v>
      </c>
      <c r="W793" s="45">
        <f t="shared" si="384"/>
        <v>1.3827637561147776</v>
      </c>
      <c r="X793" s="45">
        <f t="shared" si="385"/>
        <v>-1.4300988186310759E-2</v>
      </c>
      <c r="Y793" s="45">
        <f t="shared" si="359"/>
        <v>3.4048730144831035E-2</v>
      </c>
      <c r="Z793" s="10">
        <f t="shared" si="386"/>
        <v>17.399410339503568</v>
      </c>
      <c r="AA793">
        <f t="shared" si="364"/>
        <v>5640793.8281588107</v>
      </c>
      <c r="AB793" s="10">
        <f t="shared" si="365"/>
        <v>5.6407938281588104</v>
      </c>
      <c r="AC793" s="10">
        <f t="shared" si="366"/>
        <v>5.5397938281588104</v>
      </c>
      <c r="AD793" s="3">
        <f t="shared" si="367"/>
        <v>803.45088153137215</v>
      </c>
      <c r="AI793" s="100">
        <f t="shared" si="368"/>
        <v>1.3827637561147776</v>
      </c>
    </row>
    <row r="794" spans="2:35">
      <c r="B794" s="39">
        <f t="shared" si="369"/>
        <v>766</v>
      </c>
      <c r="C794" s="45">
        <f t="shared" si="370"/>
        <v>22.502398081533332</v>
      </c>
      <c r="D794" s="10">
        <f t="shared" si="371"/>
        <v>1.9976019184668985</v>
      </c>
      <c r="E794" s="40">
        <f t="shared" si="372"/>
        <v>65.004796163066203</v>
      </c>
      <c r="F794" s="40">
        <f t="shared" si="373"/>
        <v>69</v>
      </c>
      <c r="G794" s="3">
        <f t="shared" si="374"/>
        <v>279.98081534773519</v>
      </c>
      <c r="H794" s="3">
        <f t="shared" si="375"/>
        <v>221.47275588995251</v>
      </c>
      <c r="I794">
        <f t="shared" si="360"/>
        <v>2.214727558899525E-4</v>
      </c>
      <c r="J794" s="4">
        <f t="shared" si="376"/>
        <v>3997.3809682925316</v>
      </c>
      <c r="K794" s="40">
        <f t="shared" si="377"/>
        <v>18.04908667989298</v>
      </c>
      <c r="L794" s="40">
        <f t="shared" si="361"/>
        <v>0</v>
      </c>
      <c r="M794" s="10">
        <f t="shared" si="378"/>
        <v>5.6407938281588104</v>
      </c>
      <c r="N794" s="10">
        <f t="shared" si="357"/>
        <v>3.8408799049960156</v>
      </c>
      <c r="O794" s="10">
        <f t="shared" si="358"/>
        <v>0.68820000000000003</v>
      </c>
      <c r="P794" s="10">
        <f t="shared" si="379"/>
        <v>12.632900394517936</v>
      </c>
      <c r="Q794" s="45">
        <f t="shared" si="380"/>
        <v>1.7760630731473601</v>
      </c>
      <c r="R794" s="4">
        <f t="shared" si="381"/>
        <v>117727.36939548908</v>
      </c>
      <c r="S794">
        <f t="shared" si="362"/>
        <v>1.1772736939548907E-4</v>
      </c>
      <c r="T794" s="44">
        <f t="shared" si="363"/>
        <v>1.9586690250865146E-3</v>
      </c>
      <c r="U794" s="45">
        <f t="shared" si="382"/>
        <v>0.21014924073941779</v>
      </c>
      <c r="V794" s="45">
        <f t="shared" si="383"/>
        <v>1.3657239213607757</v>
      </c>
      <c r="W794" s="45">
        <f t="shared" si="384"/>
        <v>1.3801593895571724</v>
      </c>
      <c r="X794" s="45">
        <f t="shared" si="385"/>
        <v>-1.4435468196396739E-2</v>
      </c>
      <c r="Y794" s="45">
        <f t="shared" si="359"/>
        <v>3.4015161961680737E-2</v>
      </c>
      <c r="Z794" s="10">
        <f t="shared" si="386"/>
        <v>17.366467497068978</v>
      </c>
      <c r="AA794">
        <f t="shared" si="364"/>
        <v>5630305.1649432071</v>
      </c>
      <c r="AB794" s="10">
        <f t="shared" si="365"/>
        <v>5.6303051649432074</v>
      </c>
      <c r="AC794" s="10">
        <f t="shared" si="366"/>
        <v>5.5293051649432075</v>
      </c>
      <c r="AD794" s="3">
        <f t="shared" si="367"/>
        <v>801.92968309546154</v>
      </c>
      <c r="AI794" s="100">
        <f t="shared" si="368"/>
        <v>1.3801593895571724</v>
      </c>
    </row>
    <row r="795" spans="2:35">
      <c r="B795" s="39">
        <f t="shared" si="369"/>
        <v>767</v>
      </c>
      <c r="C795" s="45">
        <f t="shared" si="370"/>
        <v>22.531774580334289</v>
      </c>
      <c r="D795" s="10">
        <f t="shared" si="371"/>
        <v>1.9682254196659414</v>
      </c>
      <c r="E795" s="40">
        <f t="shared" si="372"/>
        <v>65.063549160668117</v>
      </c>
      <c r="F795" s="40">
        <f t="shared" si="373"/>
        <v>69</v>
      </c>
      <c r="G795" s="3">
        <f t="shared" si="374"/>
        <v>279.74580335732753</v>
      </c>
      <c r="H795" s="3">
        <f t="shared" si="375"/>
        <v>221.47275588995251</v>
      </c>
      <c r="I795">
        <f t="shared" si="360"/>
        <v>2.214727558899525E-4</v>
      </c>
      <c r="J795" s="4">
        <f t="shared" si="376"/>
        <v>4003.3829065864606</v>
      </c>
      <c r="K795" s="40">
        <f t="shared" si="377"/>
        <v>18.076186800040091</v>
      </c>
      <c r="L795" s="40">
        <f t="shared" si="361"/>
        <v>0</v>
      </c>
      <c r="M795" s="10">
        <f t="shared" si="378"/>
        <v>5.6303051649432074</v>
      </c>
      <c r="N795" s="10">
        <f t="shared" si="357"/>
        <v>3.8408799049960156</v>
      </c>
      <c r="O795" s="10">
        <f t="shared" si="358"/>
        <v>0.68820000000000003</v>
      </c>
      <c r="P795" s="10">
        <f t="shared" si="379"/>
        <v>12.61672988761334</v>
      </c>
      <c r="Q795" s="45">
        <f t="shared" si="380"/>
        <v>1.7783914497602096</v>
      </c>
      <c r="R795" s="4">
        <f t="shared" si="381"/>
        <v>115949.53363428955</v>
      </c>
      <c r="S795">
        <f t="shared" si="362"/>
        <v>1.1594953363428955E-4</v>
      </c>
      <c r="T795" s="44">
        <f t="shared" si="363"/>
        <v>1.9604468608477141E-3</v>
      </c>
      <c r="U795" s="45">
        <f t="shared" si="382"/>
        <v>0.20697571501388856</v>
      </c>
      <c r="V795" s="45">
        <f t="shared" si="383"/>
        <v>1.3629778395881933</v>
      </c>
      <c r="W795" s="45">
        <f t="shared" si="384"/>
        <v>1.3775462910430483</v>
      </c>
      <c r="X795" s="45">
        <f t="shared" si="385"/>
        <v>-1.4568451454854969E-2</v>
      </c>
      <c r="Y795" s="45">
        <f t="shared" si="359"/>
        <v>3.3981241120027823E-2</v>
      </c>
      <c r="Z795" s="10">
        <f t="shared" si="386"/>
        <v>17.3334160688926</v>
      </c>
      <c r="AA795">
        <f t="shared" si="364"/>
        <v>5619781.9291409208</v>
      </c>
      <c r="AB795" s="10">
        <f t="shared" si="365"/>
        <v>5.6197819291409203</v>
      </c>
      <c r="AC795" s="10">
        <f t="shared" si="366"/>
        <v>5.5187819291409204</v>
      </c>
      <c r="AD795" s="3">
        <f t="shared" si="367"/>
        <v>800.40347050629748</v>
      </c>
      <c r="AI795" s="100">
        <f t="shared" si="368"/>
        <v>1.3775462910430483</v>
      </c>
    </row>
    <row r="796" spans="2:35">
      <c r="B796" s="39">
        <f t="shared" si="369"/>
        <v>768</v>
      </c>
      <c r="C796" s="45">
        <f t="shared" si="370"/>
        <v>22.561151079135247</v>
      </c>
      <c r="D796" s="10">
        <f t="shared" si="371"/>
        <v>1.9388489208649844</v>
      </c>
      <c r="E796" s="40">
        <f t="shared" si="372"/>
        <v>65.122302158270031</v>
      </c>
      <c r="F796" s="40">
        <f t="shared" si="373"/>
        <v>69</v>
      </c>
      <c r="G796" s="3">
        <f t="shared" si="374"/>
        <v>279.51079136691988</v>
      </c>
      <c r="H796" s="3">
        <f t="shared" si="375"/>
        <v>221.47275588995251</v>
      </c>
      <c r="I796">
        <f t="shared" si="360"/>
        <v>2.214727558899525E-4</v>
      </c>
      <c r="J796" s="4">
        <f t="shared" si="376"/>
        <v>4009.3902671353626</v>
      </c>
      <c r="K796" s="40">
        <f t="shared" si="377"/>
        <v>18.103311402904954</v>
      </c>
      <c r="L796" s="40">
        <f t="shared" si="361"/>
        <v>0</v>
      </c>
      <c r="M796" s="10">
        <f t="shared" si="378"/>
        <v>5.6197819291409203</v>
      </c>
      <c r="N796" s="10">
        <f t="shared" ref="N796:N862" si="387">IF(fueltype=1,VLOOKUP($M796,kndxbn_,4),IF(fueltype=2,VLOOKUP($M796,knsobn_,4),IF(fueltype=3,VLOOKUP($M796,knsbcobn_,4),IF(fueltype=4,VLOOKUP($M796,knsubn_,4),IF(fueltype=5,am_1,IF(fueltype=6,am_0,IF(fueltype=7,am_3,am_4)))))))</f>
        <v>3.8408799049960156</v>
      </c>
      <c r="O796" s="10">
        <f t="shared" ref="O796:O862" si="388">IF(fueltype=1,VLOOKUP($M796,kndxbn_,5),IF(fueltype=2,VLOOKUP($M796,knsobn_,5),IF(fueltype=3,VLOOKUP($M796,knsbcobn_,5),IF(fueltype=4,VLOOKUP($M796,knsubn_,5),IF(fueltype=5,nm_1,IF(fueltype=6,an_0,IF(fueltype=7,nm_3,nm_4)))))))</f>
        <v>0.68820000000000003</v>
      </c>
      <c r="P796" s="10">
        <f t="shared" si="379"/>
        <v>12.600496637797036</v>
      </c>
      <c r="Q796" s="45">
        <f t="shared" si="380"/>
        <v>1.7807228260261925</v>
      </c>
      <c r="R796" s="4">
        <f t="shared" si="381"/>
        <v>114173.00334924106</v>
      </c>
      <c r="S796">
        <f t="shared" si="362"/>
        <v>1.1417300334924106E-4</v>
      </c>
      <c r="T796" s="44">
        <f t="shared" si="363"/>
        <v>1.9622233911327628E-3</v>
      </c>
      <c r="U796" s="45">
        <f t="shared" si="382"/>
        <v>0.20380451962856275</v>
      </c>
      <c r="V796" s="45">
        <f t="shared" si="383"/>
        <v>1.3602246156472952</v>
      </c>
      <c r="W796" s="45">
        <f t="shared" si="384"/>
        <v>1.3749245792697278</v>
      </c>
      <c r="X796" s="45">
        <f t="shared" si="385"/>
        <v>-1.4699963622432533E-2</v>
      </c>
      <c r="Y796" s="45">
        <f t="shared" si="359"/>
        <v>3.3946969973727675E-2</v>
      </c>
      <c r="Z796" s="10">
        <f t="shared" si="386"/>
        <v>17.300257517636965</v>
      </c>
      <c r="AA796">
        <f t="shared" si="364"/>
        <v>5609224.586448703</v>
      </c>
      <c r="AB796" s="10">
        <f t="shared" si="365"/>
        <v>5.6092245864487031</v>
      </c>
      <c r="AC796" s="10">
        <f t="shared" si="366"/>
        <v>5.5082245864487032</v>
      </c>
      <c r="AD796" s="3">
        <f t="shared" si="367"/>
        <v>798.87231130510554</v>
      </c>
      <c r="AI796" s="100">
        <f t="shared" si="368"/>
        <v>1.3749245792697278</v>
      </c>
    </row>
    <row r="797" spans="2:35">
      <c r="B797" s="39">
        <f t="shared" si="369"/>
        <v>769</v>
      </c>
      <c r="C797" s="45">
        <f t="shared" si="370"/>
        <v>22.590527577936204</v>
      </c>
      <c r="D797" s="10">
        <f t="shared" si="371"/>
        <v>1.9094724220640273</v>
      </c>
      <c r="E797" s="40">
        <f t="shared" si="372"/>
        <v>65.181055155871945</v>
      </c>
      <c r="F797" s="40">
        <f t="shared" si="373"/>
        <v>69</v>
      </c>
      <c r="G797" s="3">
        <f t="shared" si="374"/>
        <v>279.27577937651222</v>
      </c>
      <c r="H797" s="3">
        <f t="shared" si="375"/>
        <v>221.47275588995251</v>
      </c>
      <c r="I797">
        <f t="shared" si="360"/>
        <v>2.214727558899525E-4</v>
      </c>
      <c r="J797" s="4">
        <f t="shared" si="376"/>
        <v>4015.4030499392397</v>
      </c>
      <c r="K797" s="40">
        <f t="shared" si="377"/>
        <v>18.130460488487582</v>
      </c>
      <c r="L797" s="40">
        <f t="shared" si="361"/>
        <v>0</v>
      </c>
      <c r="M797" s="10">
        <f t="shared" si="378"/>
        <v>5.6092245864487031</v>
      </c>
      <c r="N797" s="10">
        <f t="shared" si="387"/>
        <v>3.8408799049960156</v>
      </c>
      <c r="O797" s="10">
        <f t="shared" si="388"/>
        <v>0.68820000000000003</v>
      </c>
      <c r="P797" s="10">
        <f t="shared" si="379"/>
        <v>12.584201247522591</v>
      </c>
      <c r="Q797" s="45">
        <f t="shared" si="380"/>
        <v>1.7830572212113251</v>
      </c>
      <c r="R797" s="4">
        <f t="shared" si="381"/>
        <v>112397.7823632278</v>
      </c>
      <c r="S797">
        <f t="shared" si="362"/>
        <v>1.1239778236322781E-4</v>
      </c>
      <c r="T797" s="44">
        <f t="shared" si="363"/>
        <v>1.963998612118776E-3</v>
      </c>
      <c r="U797" s="45">
        <f t="shared" si="382"/>
        <v>0.20063566140747979</v>
      </c>
      <c r="V797" s="45">
        <f t="shared" si="383"/>
        <v>1.3574643407700702</v>
      </c>
      <c r="W797" s="45">
        <f t="shared" si="384"/>
        <v>1.3722943702588126</v>
      </c>
      <c r="X797" s="45">
        <f t="shared" si="385"/>
        <v>-1.4830029488742458E-2</v>
      </c>
      <c r="Y797" s="45">
        <f t="shared" si="359"/>
        <v>3.391235082429378E-2</v>
      </c>
      <c r="Z797" s="10">
        <f t="shared" si="386"/>
        <v>17.266993273334794</v>
      </c>
      <c r="AA797">
        <f t="shared" si="364"/>
        <v>5598633.5921743084</v>
      </c>
      <c r="AB797" s="10">
        <f t="shared" si="365"/>
        <v>5.5986335921743082</v>
      </c>
      <c r="AC797" s="10">
        <f t="shared" si="366"/>
        <v>5.4976335921743082</v>
      </c>
      <c r="AD797" s="3">
        <f t="shared" si="367"/>
        <v>797.33627152636814</v>
      </c>
      <c r="AI797" s="100">
        <f t="shared" si="368"/>
        <v>1.3722943702588126</v>
      </c>
    </row>
    <row r="798" spans="2:35">
      <c r="B798" s="39">
        <f t="shared" si="369"/>
        <v>770</v>
      </c>
      <c r="C798" s="45">
        <f t="shared" si="370"/>
        <v>22.619904076737161</v>
      </c>
      <c r="D798" s="10">
        <f t="shared" si="371"/>
        <v>1.8800959232630703</v>
      </c>
      <c r="E798" s="40">
        <f t="shared" si="372"/>
        <v>65.239808153473859</v>
      </c>
      <c r="F798" s="40">
        <f t="shared" si="373"/>
        <v>69</v>
      </c>
      <c r="G798" s="3">
        <f t="shared" si="374"/>
        <v>279.04076738610456</v>
      </c>
      <c r="H798" s="3">
        <f t="shared" si="375"/>
        <v>221.47275588995251</v>
      </c>
      <c r="I798">
        <f t="shared" si="360"/>
        <v>2.214727558899525E-4</v>
      </c>
      <c r="J798" s="4">
        <f t="shared" si="376"/>
        <v>4021.4212549980898</v>
      </c>
      <c r="K798" s="40">
        <f t="shared" si="377"/>
        <v>18.15763405678797</v>
      </c>
      <c r="L798" s="40">
        <f t="shared" si="361"/>
        <v>0</v>
      </c>
      <c r="M798" s="10">
        <f t="shared" si="378"/>
        <v>5.5986335921743082</v>
      </c>
      <c r="N798" s="10">
        <f t="shared" si="387"/>
        <v>3.8408799049960156</v>
      </c>
      <c r="O798" s="10">
        <f t="shared" si="388"/>
        <v>0.68820000000000003</v>
      </c>
      <c r="P798" s="10">
        <f t="shared" si="379"/>
        <v>12.567844304020243</v>
      </c>
      <c r="Q798" s="45">
        <f t="shared" si="380"/>
        <v>1.7853946545921286</v>
      </c>
      <c r="R798" s="4">
        <f t="shared" si="381"/>
        <v>110623.87449913519</v>
      </c>
      <c r="S798">
        <f t="shared" si="362"/>
        <v>1.1062387449913519E-4</v>
      </c>
      <c r="T798" s="44">
        <f t="shared" si="363"/>
        <v>1.9657725199828686E-3</v>
      </c>
      <c r="U798" s="45">
        <f t="shared" si="382"/>
        <v>0.19746914717468128</v>
      </c>
      <c r="V798" s="45">
        <f t="shared" si="383"/>
        <v>1.3546971044411169</v>
      </c>
      <c r="W798" s="45">
        <f t="shared" si="384"/>
        <v>1.3696557774436335</v>
      </c>
      <c r="X798" s="45">
        <f t="shared" si="385"/>
        <v>-1.4958673002516631E-2</v>
      </c>
      <c r="Y798" s="45">
        <f t="shared" ref="Y798:Y861" si="389">IF((X798*(Q798-Q797)+Y797)&lt;0,0,X798*(Q798-Q797)+Y797)</f>
        <v>3.3877385922685174E-2</v>
      </c>
      <c r="Z798" s="10">
        <f t="shared" si="386"/>
        <v>17.233624734453208</v>
      </c>
      <c r="AA798">
        <f t="shared" si="364"/>
        <v>5588009.3915753253</v>
      </c>
      <c r="AB798" s="10">
        <f t="shared" si="365"/>
        <v>5.5880093915753255</v>
      </c>
      <c r="AC798" s="10">
        <f t="shared" si="366"/>
        <v>5.4870093915753255</v>
      </c>
      <c r="AD798" s="3">
        <f t="shared" si="367"/>
        <v>795.7954157469652</v>
      </c>
      <c r="AI798" s="100">
        <f t="shared" si="368"/>
        <v>1.3696557774436335</v>
      </c>
    </row>
    <row r="799" spans="2:35">
      <c r="B799" s="39">
        <f t="shared" si="369"/>
        <v>771</v>
      </c>
      <c r="C799" s="45">
        <f t="shared" si="370"/>
        <v>22.649280575538118</v>
      </c>
      <c r="D799" s="10">
        <f t="shared" si="371"/>
        <v>1.8507194244621132</v>
      </c>
      <c r="E799" s="40">
        <f t="shared" si="372"/>
        <v>65.298561151075774</v>
      </c>
      <c r="F799" s="40">
        <f t="shared" si="373"/>
        <v>69</v>
      </c>
      <c r="G799" s="3">
        <f t="shared" si="374"/>
        <v>278.80575539569691</v>
      </c>
      <c r="H799" s="3">
        <f t="shared" si="375"/>
        <v>221.47275588995251</v>
      </c>
      <c r="I799">
        <f t="shared" si="360"/>
        <v>2.214727558899525E-4</v>
      </c>
      <c r="J799" s="4">
        <f t="shared" si="376"/>
        <v>4027.4448823119142</v>
      </c>
      <c r="K799" s="40">
        <f t="shared" si="377"/>
        <v>18.184832107806116</v>
      </c>
      <c r="L799" s="40">
        <f t="shared" si="361"/>
        <v>0</v>
      </c>
      <c r="M799" s="10">
        <f t="shared" si="378"/>
        <v>5.5880093915753255</v>
      </c>
      <c r="N799" s="10">
        <f t="shared" si="387"/>
        <v>3.8408799049960156</v>
      </c>
      <c r="O799" s="10">
        <f t="shared" si="388"/>
        <v>0.68820000000000003</v>
      </c>
      <c r="P799" s="10">
        <f t="shared" si="379"/>
        <v>12.551426379789445</v>
      </c>
      <c r="Q799" s="45">
        <f t="shared" si="380"/>
        <v>1.7877351454584305</v>
      </c>
      <c r="R799" s="4">
        <f t="shared" si="381"/>
        <v>108851.2835798476</v>
      </c>
      <c r="S799">
        <f t="shared" si="362"/>
        <v>1.088512835798476E-4</v>
      </c>
      <c r="T799" s="44">
        <f t="shared" si="363"/>
        <v>1.9675451109021562E-3</v>
      </c>
      <c r="U799" s="45">
        <f t="shared" si="382"/>
        <v>0.19430498375420696</v>
      </c>
      <c r="V799" s="45">
        <f t="shared" si="383"/>
        <v>1.3519229944588298</v>
      </c>
      <c r="W799" s="45">
        <f t="shared" si="384"/>
        <v>1.3670089117536701</v>
      </c>
      <c r="X799" s="45">
        <f t="shared" si="385"/>
        <v>-1.5085917294840323E-2</v>
      </c>
      <c r="Y799" s="45">
        <f t="shared" si="389"/>
        <v>3.3842077471046818E-2</v>
      </c>
      <c r="Z799" s="10">
        <f t="shared" si="386"/>
        <v>17.200153268927895</v>
      </c>
      <c r="AA799">
        <f t="shared" si="364"/>
        <v>5577352.4201884521</v>
      </c>
      <c r="AB799" s="10">
        <f t="shared" si="365"/>
        <v>5.5773524201884523</v>
      </c>
      <c r="AC799" s="10">
        <f t="shared" si="366"/>
        <v>5.4763524201884524</v>
      </c>
      <c r="AD799" s="3">
        <f t="shared" si="367"/>
        <v>794.24980713393074</v>
      </c>
      <c r="AI799" s="100">
        <f t="shared" si="368"/>
        <v>1.3670089117536701</v>
      </c>
    </row>
    <row r="800" spans="2:35">
      <c r="B800" s="39">
        <f t="shared" si="369"/>
        <v>772</v>
      </c>
      <c r="C800" s="45">
        <f t="shared" si="370"/>
        <v>22.678657074339075</v>
      </c>
      <c r="D800" s="10">
        <f t="shared" si="371"/>
        <v>1.8213429256611562</v>
      </c>
      <c r="E800" s="40">
        <f t="shared" si="372"/>
        <v>65.357314148677688</v>
      </c>
      <c r="F800" s="40">
        <f t="shared" si="373"/>
        <v>69</v>
      </c>
      <c r="G800" s="3">
        <f t="shared" si="374"/>
        <v>278.57074340528925</v>
      </c>
      <c r="H800" s="3">
        <f t="shared" si="375"/>
        <v>221.47275588995251</v>
      </c>
      <c r="I800">
        <f t="shared" si="360"/>
        <v>2.214727558899525E-4</v>
      </c>
      <c r="J800" s="4">
        <f t="shared" si="376"/>
        <v>4033.4739318807124</v>
      </c>
      <c r="K800" s="40">
        <f t="shared" si="377"/>
        <v>18.212054641542021</v>
      </c>
      <c r="L800" s="40">
        <f t="shared" si="361"/>
        <v>0</v>
      </c>
      <c r="M800" s="10">
        <f t="shared" si="378"/>
        <v>5.5773524201884523</v>
      </c>
      <c r="N800" s="10">
        <f t="shared" si="387"/>
        <v>3.8408799049960156</v>
      </c>
      <c r="O800" s="10">
        <f t="shared" si="388"/>
        <v>0.68820000000000003</v>
      </c>
      <c r="P800" s="10">
        <f t="shared" si="379"/>
        <v>12.534948033077789</v>
      </c>
      <c r="Q800" s="45">
        <f t="shared" si="380"/>
        <v>1.7900787131161056</v>
      </c>
      <c r="R800" s="4">
        <f t="shared" si="381"/>
        <v>107080.01342825005</v>
      </c>
      <c r="S800">
        <f t="shared" si="362"/>
        <v>1.0708001342825005E-4</v>
      </c>
      <c r="T800" s="44">
        <f t="shared" si="363"/>
        <v>1.9693163810537537E-3</v>
      </c>
      <c r="U800" s="45">
        <f t="shared" si="382"/>
        <v>0.19114317797009775</v>
      </c>
      <c r="V800" s="45">
        <f t="shared" si="383"/>
        <v>1.3491420969880896</v>
      </c>
      <c r="W800" s="45">
        <f t="shared" si="384"/>
        <v>1.3643538816965817</v>
      </c>
      <c r="X800" s="45">
        <f t="shared" si="385"/>
        <v>-1.5211784708492049E-2</v>
      </c>
      <c r="Y800" s="45">
        <f t="shared" si="389"/>
        <v>3.3806427624388478E-2</v>
      </c>
      <c r="Z800" s="10">
        <f t="shared" si="386"/>
        <v>17.166580215160316</v>
      </c>
      <c r="AA800">
        <f t="shared" si="364"/>
        <v>5566663.1041469881</v>
      </c>
      <c r="AB800" s="10">
        <f t="shared" si="365"/>
        <v>5.5666631041469881</v>
      </c>
      <c r="AC800" s="10">
        <f t="shared" si="366"/>
        <v>5.4656631041469881</v>
      </c>
      <c r="AD800" s="3">
        <f t="shared" si="367"/>
        <v>792.6995074904986</v>
      </c>
      <c r="AI800" s="100">
        <f t="shared" si="368"/>
        <v>1.3643538816965817</v>
      </c>
    </row>
    <row r="801" spans="2:35">
      <c r="B801" s="39">
        <f t="shared" si="369"/>
        <v>773</v>
      </c>
      <c r="C801" s="45">
        <f t="shared" si="370"/>
        <v>22.708033573140032</v>
      </c>
      <c r="D801" s="10">
        <f t="shared" si="371"/>
        <v>1.7919664268601991</v>
      </c>
      <c r="E801" s="40">
        <f t="shared" si="372"/>
        <v>65.416067146279602</v>
      </c>
      <c r="F801" s="40">
        <f t="shared" si="373"/>
        <v>69</v>
      </c>
      <c r="G801" s="3">
        <f t="shared" si="374"/>
        <v>278.33573141488159</v>
      </c>
      <c r="H801" s="3">
        <f t="shared" si="375"/>
        <v>221.47275588995251</v>
      </c>
      <c r="I801">
        <f t="shared" si="360"/>
        <v>2.214727558899525E-4</v>
      </c>
      <c r="J801" s="4">
        <f t="shared" si="376"/>
        <v>4039.5084037044849</v>
      </c>
      <c r="K801" s="40">
        <f t="shared" si="377"/>
        <v>18.239301657995686</v>
      </c>
      <c r="L801" s="40">
        <f t="shared" si="361"/>
        <v>0</v>
      </c>
      <c r="M801" s="10">
        <f t="shared" si="378"/>
        <v>5.5666631041469881</v>
      </c>
      <c r="N801" s="10">
        <f t="shared" si="387"/>
        <v>3.8408799049960156</v>
      </c>
      <c r="O801" s="10">
        <f t="shared" si="388"/>
        <v>0.68820000000000003</v>
      </c>
      <c r="P801" s="10">
        <f t="shared" si="379"/>
        <v>12.51840980834268</v>
      </c>
      <c r="Q801" s="45">
        <f t="shared" si="380"/>
        <v>1.7924253768897567</v>
      </c>
      <c r="R801" s="4">
        <f t="shared" si="381"/>
        <v>105310.06786722716</v>
      </c>
      <c r="S801">
        <f t="shared" si="362"/>
        <v>1.0531006786722716E-4</v>
      </c>
      <c r="T801" s="44">
        <f t="shared" si="363"/>
        <v>1.9710863266147768E-3</v>
      </c>
      <c r="U801" s="45">
        <f t="shared" si="382"/>
        <v>0.18798373664639384</v>
      </c>
      <c r="V801" s="45">
        <f t="shared" si="383"/>
        <v>1.3463544966172192</v>
      </c>
      <c r="W801" s="45">
        <f t="shared" si="384"/>
        <v>1.3616907934373068</v>
      </c>
      <c r="X801" s="45">
        <f t="shared" si="385"/>
        <v>-1.5336296820087636E-2</v>
      </c>
      <c r="Y801" s="45">
        <f t="shared" si="389"/>
        <v>3.3770438492218821E-2</v>
      </c>
      <c r="Z801" s="10">
        <f t="shared" si="386"/>
        <v>17.132906882986468</v>
      </c>
      <c r="AA801">
        <f t="shared" si="364"/>
        <v>5555941.8604892818</v>
      </c>
      <c r="AB801" s="10">
        <f t="shared" si="365"/>
        <v>5.5559418604892814</v>
      </c>
      <c r="AC801" s="10">
        <f t="shared" si="366"/>
        <v>5.4549418604892814</v>
      </c>
      <c r="AD801" s="3">
        <f t="shared" si="367"/>
        <v>791.14457730083859</v>
      </c>
      <c r="AI801" s="100">
        <f t="shared" si="368"/>
        <v>1.3616907934373068</v>
      </c>
    </row>
    <row r="802" spans="2:35">
      <c r="B802" s="39">
        <f t="shared" si="369"/>
        <v>774</v>
      </c>
      <c r="C802" s="45">
        <f t="shared" si="370"/>
        <v>22.737410071940989</v>
      </c>
      <c r="D802" s="10">
        <f t="shared" si="371"/>
        <v>1.7625899280592421</v>
      </c>
      <c r="E802" s="40">
        <f t="shared" si="372"/>
        <v>65.474820143881516</v>
      </c>
      <c r="F802" s="40">
        <f t="shared" si="373"/>
        <v>69</v>
      </c>
      <c r="G802" s="3">
        <f t="shared" si="374"/>
        <v>278.10071942447394</v>
      </c>
      <c r="H802" s="3">
        <f t="shared" si="375"/>
        <v>221.47275588995251</v>
      </c>
      <c r="I802">
        <f t="shared" si="360"/>
        <v>2.214727558899525E-4</v>
      </c>
      <c r="J802" s="4">
        <f t="shared" si="376"/>
        <v>4045.5482977832303</v>
      </c>
      <c r="K802" s="40">
        <f t="shared" si="377"/>
        <v>18.266573157167109</v>
      </c>
      <c r="L802" s="40">
        <f t="shared" si="361"/>
        <v>0</v>
      </c>
      <c r="M802" s="10">
        <f t="shared" si="378"/>
        <v>5.5559418604892814</v>
      </c>
      <c r="N802" s="10">
        <f t="shared" si="387"/>
        <v>3.8408799049960156</v>
      </c>
      <c r="O802" s="10">
        <f t="shared" si="388"/>
        <v>0.68820000000000003</v>
      </c>
      <c r="P802" s="10">
        <f t="shared" si="379"/>
        <v>12.501812236700097</v>
      </c>
      <c r="Q802" s="45">
        <f t="shared" si="380"/>
        <v>1.7947751561253398</v>
      </c>
      <c r="R802" s="4">
        <f t="shared" si="381"/>
        <v>103541.45071966409</v>
      </c>
      <c r="S802">
        <f t="shared" si="362"/>
        <v>1.035414507196641E-4</v>
      </c>
      <c r="T802" s="44">
        <f t="shared" si="363"/>
        <v>1.9728549437623396E-3</v>
      </c>
      <c r="U802" s="45">
        <f t="shared" si="382"/>
        <v>0.1848266666071364</v>
      </c>
      <c r="V802" s="45">
        <f t="shared" si="383"/>
        <v>1.3435602764078414</v>
      </c>
      <c r="W802" s="45">
        <f t="shared" si="384"/>
        <v>1.3590197508749107</v>
      </c>
      <c r="X802" s="45">
        <f t="shared" si="385"/>
        <v>-1.5459474467069301E-2</v>
      </c>
      <c r="Y802" s="45">
        <f t="shared" si="389"/>
        <v>3.3734112140123076E-2</v>
      </c>
      <c r="Z802" s="10">
        <f t="shared" si="386"/>
        <v>17.099134554611666</v>
      </c>
      <c r="AA802">
        <f t="shared" si="364"/>
        <v>5545189.0974563584</v>
      </c>
      <c r="AB802" s="10">
        <f t="shared" si="365"/>
        <v>5.5451890974563582</v>
      </c>
      <c r="AC802" s="10">
        <f t="shared" si="366"/>
        <v>5.4441890974563583</v>
      </c>
      <c r="AD802" s="3">
        <f t="shared" si="367"/>
        <v>789.58507577322098</v>
      </c>
      <c r="AI802" s="100">
        <f t="shared" si="368"/>
        <v>1.3590197508749107</v>
      </c>
    </row>
    <row r="803" spans="2:35">
      <c r="B803" s="39">
        <f t="shared" si="369"/>
        <v>775</v>
      </c>
      <c r="C803" s="45">
        <f t="shared" si="370"/>
        <v>22.766786570741946</v>
      </c>
      <c r="D803" s="10">
        <f t="shared" si="371"/>
        <v>1.733213429258285</v>
      </c>
      <c r="E803" s="40">
        <f t="shared" si="372"/>
        <v>65.53357314148343</v>
      </c>
      <c r="F803" s="40">
        <f t="shared" si="373"/>
        <v>69</v>
      </c>
      <c r="G803" s="3">
        <f t="shared" si="374"/>
        <v>277.86570743406628</v>
      </c>
      <c r="H803" s="3">
        <f t="shared" si="375"/>
        <v>221.47275588995251</v>
      </c>
      <c r="I803">
        <f t="shared" si="360"/>
        <v>2.214727558899525E-4</v>
      </c>
      <c r="J803" s="4">
        <f t="shared" si="376"/>
        <v>4051.5936141169504</v>
      </c>
      <c r="K803" s="40">
        <f t="shared" si="377"/>
        <v>18.293869139056294</v>
      </c>
      <c r="L803" s="40">
        <f t="shared" si="361"/>
        <v>0</v>
      </c>
      <c r="M803" s="10">
        <f t="shared" si="378"/>
        <v>5.5451890974563582</v>
      </c>
      <c r="N803" s="10">
        <f t="shared" si="387"/>
        <v>3.8408799049960156</v>
      </c>
      <c r="O803" s="10">
        <f t="shared" si="388"/>
        <v>0.68820000000000003</v>
      </c>
      <c r="P803" s="10">
        <f t="shared" si="379"/>
        <v>12.485155836357617</v>
      </c>
      <c r="Q803" s="45">
        <f t="shared" si="380"/>
        <v>1.7971280701927326</v>
      </c>
      <c r="R803" s="4">
        <f t="shared" si="381"/>
        <v>101774.16580844529</v>
      </c>
      <c r="S803">
        <f t="shared" si="362"/>
        <v>1.0177416580844529E-4</v>
      </c>
      <c r="T803" s="44">
        <f t="shared" si="363"/>
        <v>1.9746222286735585E-3</v>
      </c>
      <c r="U803" s="45">
        <f t="shared" si="382"/>
        <v>0.18167197467636526</v>
      </c>
      <c r="V803" s="45">
        <f t="shared" si="383"/>
        <v>1.3407595179482155</v>
      </c>
      <c r="W803" s="45">
        <f t="shared" si="384"/>
        <v>1.3563408557167302</v>
      </c>
      <c r="X803" s="45">
        <f t="shared" si="385"/>
        <v>-1.558133776851478E-2</v>
      </c>
      <c r="Y803" s="45">
        <f t="shared" si="389"/>
        <v>3.3697450591298736E-2</v>
      </c>
      <c r="Z803" s="10">
        <f t="shared" si="386"/>
        <v>17.065264485518735</v>
      </c>
      <c r="AA803">
        <f t="shared" si="364"/>
        <v>5534405.2147810748</v>
      </c>
      <c r="AB803" s="10">
        <f t="shared" si="365"/>
        <v>5.5344052147810752</v>
      </c>
      <c r="AC803" s="10">
        <f t="shared" si="366"/>
        <v>5.4334052147810752</v>
      </c>
      <c r="AD803" s="3">
        <f t="shared" si="367"/>
        <v>788.02106088195433</v>
      </c>
      <c r="AI803" s="100">
        <f t="shared" si="368"/>
        <v>1.3563408557167302</v>
      </c>
    </row>
    <row r="804" spans="2:35">
      <c r="B804" s="39">
        <f t="shared" si="369"/>
        <v>776</v>
      </c>
      <c r="C804" s="45">
        <f t="shared" si="370"/>
        <v>22.796163069542903</v>
      </c>
      <c r="D804" s="10">
        <f t="shared" si="371"/>
        <v>1.703836930457328</v>
      </c>
      <c r="E804" s="40">
        <f t="shared" si="372"/>
        <v>65.592326139085344</v>
      </c>
      <c r="F804" s="40">
        <f t="shared" si="373"/>
        <v>69</v>
      </c>
      <c r="G804" s="3">
        <f t="shared" si="374"/>
        <v>277.63069544365862</v>
      </c>
      <c r="H804" s="3">
        <f t="shared" si="375"/>
        <v>221.47275588995251</v>
      </c>
      <c r="I804">
        <f t="shared" si="360"/>
        <v>2.214727558899525E-4</v>
      </c>
      <c r="J804" s="4">
        <f t="shared" si="376"/>
        <v>4057.6443527056445</v>
      </c>
      <c r="K804" s="40">
        <f t="shared" si="377"/>
        <v>18.321189603663239</v>
      </c>
      <c r="L804" s="40">
        <f t="shared" si="361"/>
        <v>0</v>
      </c>
      <c r="M804" s="10">
        <f t="shared" si="378"/>
        <v>5.5344052147810752</v>
      </c>
      <c r="N804" s="10">
        <f t="shared" si="387"/>
        <v>3.8408799049960156</v>
      </c>
      <c r="O804" s="10">
        <f t="shared" si="388"/>
        <v>0.68820000000000003</v>
      </c>
      <c r="P804" s="10">
        <f t="shared" si="379"/>
        <v>12.468441113035265</v>
      </c>
      <c r="Q804" s="45">
        <f t="shared" si="380"/>
        <v>1.7994841384882507</v>
      </c>
      <c r="R804" s="4">
        <f t="shared" si="381"/>
        <v>100008.21695645552</v>
      </c>
      <c r="S804">
        <f t="shared" si="362"/>
        <v>1.0000821695645552E-4</v>
      </c>
      <c r="T804" s="44">
        <f t="shared" si="363"/>
        <v>1.9763881775255484E-3</v>
      </c>
      <c r="U804" s="45">
        <f t="shared" si="382"/>
        <v>0.17851966767812091</v>
      </c>
      <c r="V804" s="45">
        <f t="shared" si="383"/>
        <v>1.3379523014001069</v>
      </c>
      <c r="W804" s="45">
        <f t="shared" si="384"/>
        <v>1.353654207550417</v>
      </c>
      <c r="X804" s="45">
        <f t="shared" si="385"/>
        <v>-1.5701906150310085E-2</v>
      </c>
      <c r="Y804" s="45">
        <f t="shared" si="389"/>
        <v>3.3660455828038789E-2</v>
      </c>
      <c r="Z804" s="10">
        <f t="shared" si="386"/>
        <v>17.031297905344644</v>
      </c>
      <c r="AA804">
        <f t="shared" si="364"/>
        <v>5523590.6039672317</v>
      </c>
      <c r="AB804" s="10">
        <f t="shared" si="365"/>
        <v>5.5235906039672313</v>
      </c>
      <c r="AC804" s="10">
        <f t="shared" si="366"/>
        <v>5.4225906039672314</v>
      </c>
      <c r="AD804" s="3">
        <f t="shared" si="367"/>
        <v>786.45258940786539</v>
      </c>
      <c r="AI804" s="100">
        <f t="shared" si="368"/>
        <v>1.353654207550417</v>
      </c>
    </row>
    <row r="805" spans="2:35">
      <c r="B805" s="39">
        <f t="shared" si="369"/>
        <v>777</v>
      </c>
      <c r="C805" s="45">
        <f t="shared" si="370"/>
        <v>22.82553956834386</v>
      </c>
      <c r="D805" s="10">
        <f t="shared" si="371"/>
        <v>1.6744604316563709</v>
      </c>
      <c r="E805" s="40">
        <f t="shared" si="372"/>
        <v>65.651079136687258</v>
      </c>
      <c r="F805" s="40">
        <f t="shared" si="373"/>
        <v>69</v>
      </c>
      <c r="G805" s="3">
        <f t="shared" si="374"/>
        <v>277.39568345325097</v>
      </c>
      <c r="H805" s="3">
        <f t="shared" si="375"/>
        <v>221.47275588995251</v>
      </c>
      <c r="I805">
        <f t="shared" si="360"/>
        <v>2.214727558899525E-4</v>
      </c>
      <c r="J805" s="4">
        <f t="shared" si="376"/>
        <v>4063.7005135493127</v>
      </c>
      <c r="K805" s="40">
        <f t="shared" si="377"/>
        <v>18.348534550987946</v>
      </c>
      <c r="L805" s="40">
        <f t="shared" si="361"/>
        <v>0</v>
      </c>
      <c r="M805" s="10">
        <f t="shared" si="378"/>
        <v>5.5235906039672313</v>
      </c>
      <c r="N805" s="10">
        <f t="shared" si="387"/>
        <v>3.8408799049960156</v>
      </c>
      <c r="O805" s="10">
        <f t="shared" si="388"/>
        <v>0.68820000000000003</v>
      </c>
      <c r="P805" s="10">
        <f t="shared" si="379"/>
        <v>12.451668560371813</v>
      </c>
      <c r="Q805" s="45">
        <f t="shared" si="380"/>
        <v>1.801843380437113</v>
      </c>
      <c r="R805" s="4">
        <f t="shared" si="381"/>
        <v>98243.607986579809</v>
      </c>
      <c r="S805">
        <f t="shared" si="362"/>
        <v>9.8243607986579811E-5</v>
      </c>
      <c r="T805" s="44">
        <f t="shared" si="363"/>
        <v>1.9781527864954239E-3</v>
      </c>
      <c r="U805" s="45">
        <f t="shared" si="382"/>
        <v>0.17536975243644429</v>
      </c>
      <c r="V805" s="45">
        <f t="shared" si="383"/>
        <v>1.3351387055471959</v>
      </c>
      <c r="W805" s="45">
        <f t="shared" si="384"/>
        <v>1.3509599039134723</v>
      </c>
      <c r="X805" s="45">
        <f t="shared" si="385"/>
        <v>-1.5821198366276379E-2</v>
      </c>
      <c r="Y805" s="45">
        <f t="shared" si="389"/>
        <v>3.3623129793171801E-2</v>
      </c>
      <c r="Z805" s="10">
        <f t="shared" si="386"/>
        <v>16.997236018730337</v>
      </c>
      <c r="AA805">
        <f t="shared" si="364"/>
        <v>5512745.6485601524</v>
      </c>
      <c r="AB805" s="10">
        <f t="shared" si="365"/>
        <v>5.512745648560152</v>
      </c>
      <c r="AC805" s="10">
        <f t="shared" si="366"/>
        <v>5.4117456485601521</v>
      </c>
      <c r="AD805" s="3">
        <f t="shared" si="367"/>
        <v>784.87971697754199</v>
      </c>
      <c r="AI805" s="100">
        <f t="shared" si="368"/>
        <v>1.3509599039134723</v>
      </c>
    </row>
    <row r="806" spans="2:35">
      <c r="B806" s="39">
        <f t="shared" si="369"/>
        <v>778</v>
      </c>
      <c r="C806" s="45">
        <f t="shared" si="370"/>
        <v>22.854916067144817</v>
      </c>
      <c r="D806" s="10">
        <f t="shared" si="371"/>
        <v>1.6450839328554139</v>
      </c>
      <c r="E806" s="40">
        <f t="shared" si="372"/>
        <v>65.709832134289172</v>
      </c>
      <c r="F806" s="40">
        <f t="shared" si="373"/>
        <v>69</v>
      </c>
      <c r="G806" s="3">
        <f t="shared" si="374"/>
        <v>277.16067146284331</v>
      </c>
      <c r="H806" s="3">
        <f t="shared" si="375"/>
        <v>221.47275588995251</v>
      </c>
      <c r="I806">
        <f t="shared" si="360"/>
        <v>2.214727558899525E-4</v>
      </c>
      <c r="J806" s="4">
        <f t="shared" si="376"/>
        <v>4069.7620966479544</v>
      </c>
      <c r="K806" s="40">
        <f t="shared" si="377"/>
        <v>18.375903981030408</v>
      </c>
      <c r="L806" s="40">
        <f t="shared" si="361"/>
        <v>0</v>
      </c>
      <c r="M806" s="10">
        <f t="shared" si="378"/>
        <v>5.512745648560152</v>
      </c>
      <c r="N806" s="10">
        <f t="shared" si="387"/>
        <v>3.8408799049960156</v>
      </c>
      <c r="O806" s="10">
        <f t="shared" si="388"/>
        <v>0.68820000000000003</v>
      </c>
      <c r="P806" s="10">
        <f t="shared" si="379"/>
        <v>12.434838660318784</v>
      </c>
      <c r="Q806" s="45">
        <f t="shared" si="380"/>
        <v>1.8042058154958567</v>
      </c>
      <c r="R806" s="4">
        <f t="shared" si="381"/>
        <v>96480.342721702938</v>
      </c>
      <c r="S806">
        <f t="shared" si="362"/>
        <v>9.6480342721702944E-5</v>
      </c>
      <c r="T806" s="44">
        <f t="shared" si="363"/>
        <v>1.9799160517603009E-3</v>
      </c>
      <c r="U806" s="45">
        <f t="shared" si="382"/>
        <v>0.17222223577537582</v>
      </c>
      <c r="V806" s="45">
        <f t="shared" si="383"/>
        <v>1.3323188078415562</v>
      </c>
      <c r="W806" s="45">
        <f t="shared" si="384"/>
        <v>1.3482580403606579</v>
      </c>
      <c r="X806" s="45">
        <f t="shared" si="385"/>
        <v>-1.5939232519101676E-2</v>
      </c>
      <c r="Y806" s="45">
        <f t="shared" si="389"/>
        <v>3.3585474391459209E-2</v>
      </c>
      <c r="Z806" s="10">
        <f t="shared" si="386"/>
        <v>16.963080006144242</v>
      </c>
      <c r="AA806">
        <f t="shared" si="364"/>
        <v>5501870.7244088799</v>
      </c>
      <c r="AB806" s="10">
        <f t="shared" si="365"/>
        <v>5.5018707244088798</v>
      </c>
      <c r="AC806" s="10">
        <f t="shared" si="366"/>
        <v>5.4008707244088798</v>
      </c>
      <c r="AD806" s="3">
        <f t="shared" si="367"/>
        <v>783.30249810136036</v>
      </c>
      <c r="AI806" s="100">
        <f t="shared" si="368"/>
        <v>1.3482580403606579</v>
      </c>
    </row>
    <row r="807" spans="2:35">
      <c r="B807" s="39">
        <f t="shared" si="369"/>
        <v>779</v>
      </c>
      <c r="C807" s="45">
        <f t="shared" si="370"/>
        <v>22.884292565945774</v>
      </c>
      <c r="D807" s="10">
        <f t="shared" si="371"/>
        <v>1.6157074340544568</v>
      </c>
      <c r="E807" s="40">
        <f t="shared" si="372"/>
        <v>65.768585131891086</v>
      </c>
      <c r="F807" s="40">
        <f t="shared" si="373"/>
        <v>69</v>
      </c>
      <c r="G807" s="3">
        <f t="shared" si="374"/>
        <v>276.92565947243565</v>
      </c>
      <c r="H807" s="3">
        <f t="shared" si="375"/>
        <v>221.47275588995251</v>
      </c>
      <c r="I807">
        <f t="shared" ref="I807:I862" si="390">H807/1000^2</f>
        <v>2.214727558899525E-4</v>
      </c>
      <c r="J807" s="4">
        <f t="shared" si="376"/>
        <v>4075.8291020015695</v>
      </c>
      <c r="K807" s="40">
        <f t="shared" si="377"/>
        <v>18.403297893790629</v>
      </c>
      <c r="L807" s="40">
        <f t="shared" ref="L807:L862" si="391">IF((gstar-K807)&lt;0,0,gstar-K807)</f>
        <v>0</v>
      </c>
      <c r="M807" s="10">
        <f t="shared" si="378"/>
        <v>5.5018707244088798</v>
      </c>
      <c r="N807" s="10">
        <f t="shared" si="387"/>
        <v>3.8408799049960156</v>
      </c>
      <c r="O807" s="10">
        <f t="shared" si="388"/>
        <v>0.68820000000000003</v>
      </c>
      <c r="P807" s="10">
        <f t="shared" si="379"/>
        <v>12.417951883522358</v>
      </c>
      <c r="Q807" s="45">
        <f t="shared" si="380"/>
        <v>1.8065714631547061</v>
      </c>
      <c r="R807" s="4">
        <f t="shared" si="381"/>
        <v>94718.424984709724</v>
      </c>
      <c r="S807">
        <f t="shared" ref="S807:S862" si="392">R807/1000^3</f>
        <v>9.471842498470972E-5</v>
      </c>
      <c r="T807" s="44">
        <f t="shared" ref="T807:T862" si="393">(vc/1000^3-S807)</f>
        <v>1.9816779694972939E-3</v>
      </c>
      <c r="U807" s="45">
        <f t="shared" si="382"/>
        <v>0.1690771245189561</v>
      </c>
      <c r="V807" s="45">
        <f t="shared" si="383"/>
        <v>1.3294926844471218</v>
      </c>
      <c r="W807" s="45">
        <f t="shared" si="384"/>
        <v>1.3455487105293185</v>
      </c>
      <c r="X807" s="45">
        <f t="shared" si="385"/>
        <v>-1.6056026082196695E-2</v>
      </c>
      <c r="Y807" s="45">
        <f t="shared" si="389"/>
        <v>3.3547491490947434E-2</v>
      </c>
      <c r="Z807" s="10">
        <f t="shared" si="386"/>
        <v>16.928831024678374</v>
      </c>
      <c r="AA807">
        <f t="shared" ref="AA807:AA862" si="394">Z807*rat*to+patm*1000000</f>
        <v>5490966.1999196466</v>
      </c>
      <c r="AB807" s="10">
        <f t="shared" ref="AB807:AB862" si="395">AA807/1000000</f>
        <v>5.4909661999196464</v>
      </c>
      <c r="AC807" s="10">
        <f t="shared" ref="AC807:AC862" si="396">AB807-patm</f>
        <v>5.3899661999196464</v>
      </c>
      <c r="AD807" s="3">
        <f t="shared" ref="AD807:AD862" si="397">AC807*1000000/6895</f>
        <v>781.72098621024611</v>
      </c>
      <c r="AI807" s="100">
        <f t="shared" ref="AI807:AI862" si="398">($M807-patm)*1000000*$I807/SQRT(rat*to)*SQRT(k)*(2/(k+1))^((k+1)/2/(k-1))</f>
        <v>1.3455487105293185</v>
      </c>
    </row>
    <row r="808" spans="2:35">
      <c r="B808" s="39">
        <f t="shared" ref="B808:B862" si="399">1+B807</f>
        <v>780</v>
      </c>
      <c r="C808" s="45">
        <f t="shared" ref="C808:C862" si="400">xincp+C807</f>
        <v>22.913669064746731</v>
      </c>
      <c r="D808" s="10">
        <f t="shared" ref="D808:D862" si="401">(F808-E808)/2</f>
        <v>1.5863309352534998</v>
      </c>
      <c r="E808" s="40">
        <f t="shared" ref="E808:E862" si="402">E807+ci*2*xincp</f>
        <v>65.827338129493</v>
      </c>
      <c r="F808" s="40">
        <f t="shared" ref="F808:F862" si="403">F807-osi*2*xincp</f>
        <v>69</v>
      </c>
      <c r="G808" s="3">
        <f t="shared" ref="G808:G862" si="404">G807-ei*n*2*xincp</f>
        <v>276.690647482028</v>
      </c>
      <c r="H808" s="3">
        <f t="shared" ref="H808:H862" si="405">PI()/4*(dto+erate*(two-D808)/two)^2</f>
        <v>221.47275588995251</v>
      </c>
      <c r="I808">
        <f t="shared" si="390"/>
        <v>2.214727558899525E-4</v>
      </c>
      <c r="J808" s="4">
        <f t="shared" ref="J808:J862" si="406">PI()/4*dc^2-PI()/4*(F808^2-E808^2)</f>
        <v>4081.9015296101593</v>
      </c>
      <c r="K808" s="40">
        <f t="shared" ref="K808:K862" si="407">J808/H808</f>
        <v>18.430716289268616</v>
      </c>
      <c r="L808" s="40">
        <f t="shared" si="391"/>
        <v>0</v>
      </c>
      <c r="M808" s="10">
        <f t="shared" ref="M808:M862" si="408">AB807</f>
        <v>5.4909661999196464</v>
      </c>
      <c r="N808" s="10">
        <f t="shared" si="387"/>
        <v>3.8408799049960156</v>
      </c>
      <c r="O808" s="10">
        <f t="shared" si="388"/>
        <v>0.68820000000000003</v>
      </c>
      <c r="P808" s="10">
        <f t="shared" ref="P808:P862" si="409">(1+kv*L808)*N808*M808^O808</f>
        <v>12.401008689692674</v>
      </c>
      <c r="Q808" s="45">
        <f t="shared" ref="Q808:Q862" si="410">xincp/P808+Q807</f>
        <v>1.8089403429398945</v>
      </c>
      <c r="R808" s="4">
        <f t="shared" ref="R808:R862" si="411">PI()/4*(F808^2-E808^2)*G808</f>
        <v>92957.858598484774</v>
      </c>
      <c r="S808">
        <f t="shared" si="392"/>
        <v>9.2957858598484775E-5</v>
      </c>
      <c r="T808" s="44">
        <f t="shared" si="393"/>
        <v>1.9834385358835191E-3</v>
      </c>
      <c r="U808" s="45">
        <f t="shared" ref="U808:U862" si="412">rhopgrain*R808/1000^2</f>
        <v>0.16593442549122522</v>
      </c>
      <c r="V808" s="45">
        <f t="shared" ref="V808:V862" si="413">(U807-U808)/(Q808-Q807)</f>
        <v>1.3266604102837252</v>
      </c>
      <c r="W808" s="45">
        <f t="shared" ref="W808:W862" si="414">IF(V808&lt;AI808,IF(AB807&gt;pbd,AI808,0),AI808)</f>
        <v>1.3428320062025303</v>
      </c>
      <c r="X808" s="45">
        <f t="shared" ref="X808:X862" si="415">V808-W808</f>
        <v>-1.6171595918805126E-2</v>
      </c>
      <c r="Y808" s="45">
        <f t="shared" si="389"/>
        <v>3.3509182924281143E-2</v>
      </c>
      <c r="Z808" s="10">
        <f t="shared" ref="Z808:Z862" si="416">Y808/T808</f>
        <v>16.894490208820379</v>
      </c>
      <c r="AA808">
        <f t="shared" si="394"/>
        <v>5480032.436301684</v>
      </c>
      <c r="AB808" s="10">
        <f t="shared" si="395"/>
        <v>5.4800324363016841</v>
      </c>
      <c r="AC808" s="10">
        <f t="shared" si="396"/>
        <v>5.3790324363016842</v>
      </c>
      <c r="AD808" s="3">
        <f t="shared" si="397"/>
        <v>780.13523369132474</v>
      </c>
      <c r="AI808" s="100">
        <f t="shared" si="398"/>
        <v>1.3428320062025303</v>
      </c>
    </row>
    <row r="809" spans="2:35">
      <c r="B809" s="39">
        <f t="shared" si="399"/>
        <v>781</v>
      </c>
      <c r="C809" s="45">
        <f t="shared" si="400"/>
        <v>22.943045563547688</v>
      </c>
      <c r="D809" s="10">
        <f t="shared" si="401"/>
        <v>1.5569544364525427</v>
      </c>
      <c r="E809" s="40">
        <f t="shared" si="402"/>
        <v>65.886091127094915</v>
      </c>
      <c r="F809" s="40">
        <f t="shared" si="403"/>
        <v>69</v>
      </c>
      <c r="G809" s="3">
        <f t="shared" si="404"/>
        <v>276.45563549162034</v>
      </c>
      <c r="H809" s="3">
        <f t="shared" si="405"/>
        <v>221.47275588995251</v>
      </c>
      <c r="I809">
        <f t="shared" si="390"/>
        <v>2.214727558899525E-4</v>
      </c>
      <c r="J809" s="4">
        <f t="shared" si="406"/>
        <v>4087.9793794737229</v>
      </c>
      <c r="K809" s="40">
        <f t="shared" si="407"/>
        <v>18.458159167464359</v>
      </c>
      <c r="L809" s="40">
        <f t="shared" si="391"/>
        <v>0</v>
      </c>
      <c r="M809" s="10">
        <f t="shared" si="408"/>
        <v>5.4800324363016841</v>
      </c>
      <c r="N809" s="10">
        <f t="shared" si="387"/>
        <v>3.8408799049960156</v>
      </c>
      <c r="O809" s="10">
        <f t="shared" si="388"/>
        <v>0.68820000000000003</v>
      </c>
      <c r="P809" s="10">
        <f t="shared" si="409"/>
        <v>12.38400952796211</v>
      </c>
      <c r="Q809" s="45">
        <f t="shared" si="410"/>
        <v>1.8113124744159426</v>
      </c>
      <c r="R809" s="4">
        <f t="shared" si="411"/>
        <v>91198.647385913049</v>
      </c>
      <c r="S809">
        <f t="shared" si="392"/>
        <v>9.1198647385913056E-5</v>
      </c>
      <c r="T809" s="44">
        <f t="shared" si="393"/>
        <v>1.9851977470960909E-3</v>
      </c>
      <c r="U809" s="45">
        <f t="shared" si="412"/>
        <v>0.16279414551622409</v>
      </c>
      <c r="V809" s="45">
        <f t="shared" si="413"/>
        <v>1.3238220590676355</v>
      </c>
      <c r="W809" s="45">
        <f t="shared" si="414"/>
        <v>1.3401080173703424</v>
      </c>
      <c r="X809" s="45">
        <f t="shared" si="415"/>
        <v>-1.6285958302706849E-2</v>
      </c>
      <c r="Y809" s="45">
        <f t="shared" si="389"/>
        <v>3.3470550489973688E-2</v>
      </c>
      <c r="Z809" s="10">
        <f t="shared" si="416"/>
        <v>16.860058671199766</v>
      </c>
      <c r="AA809">
        <f t="shared" si="394"/>
        <v>5469069.7878048196</v>
      </c>
      <c r="AB809" s="10">
        <f t="shared" si="395"/>
        <v>5.4690697878048198</v>
      </c>
      <c r="AC809" s="10">
        <f t="shared" si="396"/>
        <v>5.3680697878048198</v>
      </c>
      <c r="AD809" s="3">
        <f t="shared" si="397"/>
        <v>778.54529192238135</v>
      </c>
      <c r="AI809" s="100">
        <f t="shared" si="398"/>
        <v>1.3401080173703424</v>
      </c>
    </row>
    <row r="810" spans="2:35">
      <c r="B810" s="39">
        <f t="shared" si="399"/>
        <v>782</v>
      </c>
      <c r="C810" s="45">
        <f t="shared" si="400"/>
        <v>22.972422062348645</v>
      </c>
      <c r="D810" s="10">
        <f t="shared" si="401"/>
        <v>1.5275779376515857</v>
      </c>
      <c r="E810" s="40">
        <f t="shared" si="402"/>
        <v>65.944844124696829</v>
      </c>
      <c r="F810" s="40">
        <f t="shared" si="403"/>
        <v>69</v>
      </c>
      <c r="G810" s="3">
        <f t="shared" si="404"/>
        <v>276.22062350121269</v>
      </c>
      <c r="H810" s="3">
        <f t="shared" si="405"/>
        <v>221.47275588995251</v>
      </c>
      <c r="I810">
        <f t="shared" si="390"/>
        <v>2.214727558899525E-4</v>
      </c>
      <c r="J810" s="4">
        <f t="shared" si="406"/>
        <v>4094.06265159226</v>
      </c>
      <c r="K810" s="40">
        <f t="shared" si="407"/>
        <v>18.48562652837786</v>
      </c>
      <c r="L810" s="40">
        <f t="shared" si="391"/>
        <v>0</v>
      </c>
      <c r="M810" s="10">
        <f t="shared" si="408"/>
        <v>5.4690697878048198</v>
      </c>
      <c r="N810" s="10">
        <f t="shared" si="387"/>
        <v>3.8408799049960156</v>
      </c>
      <c r="O810" s="10">
        <f t="shared" si="388"/>
        <v>0.68820000000000003</v>
      </c>
      <c r="P810" s="10">
        <f t="shared" si="409"/>
        <v>12.366954837231663</v>
      </c>
      <c r="Q810" s="45">
        <f t="shared" si="410"/>
        <v>1.8136878771878939</v>
      </c>
      <c r="R810" s="4">
        <f t="shared" si="411"/>
        <v>89440.795169879406</v>
      </c>
      <c r="S810">
        <f t="shared" si="392"/>
        <v>8.9440795169879402E-5</v>
      </c>
      <c r="T810" s="44">
        <f t="shared" si="393"/>
        <v>1.9869555993121246E-3</v>
      </c>
      <c r="U810" s="45">
        <f t="shared" si="412"/>
        <v>0.15965629141799323</v>
      </c>
      <c r="V810" s="45">
        <f t="shared" si="413"/>
        <v>1.3209777033530852</v>
      </c>
      <c r="W810" s="45">
        <f t="shared" si="414"/>
        <v>1.3373768322889668</v>
      </c>
      <c r="X810" s="45">
        <f t="shared" si="415"/>
        <v>-1.6399128935881579E-2</v>
      </c>
      <c r="Y810" s="45">
        <f t="shared" si="389"/>
        <v>3.3431595953641806E-2</v>
      </c>
      <c r="Z810" s="10">
        <f t="shared" si="416"/>
        <v>16.825537503311942</v>
      </c>
      <c r="AA810">
        <f t="shared" si="394"/>
        <v>5458078.6019499972</v>
      </c>
      <c r="AB810" s="10">
        <f t="shared" si="395"/>
        <v>5.4580786019499969</v>
      </c>
      <c r="AC810" s="10">
        <f t="shared" si="396"/>
        <v>5.357078601949997</v>
      </c>
      <c r="AD810" s="3">
        <f t="shared" si="397"/>
        <v>776.95121130529333</v>
      </c>
      <c r="AI810" s="100">
        <f t="shared" si="398"/>
        <v>1.3373768322889668</v>
      </c>
    </row>
    <row r="811" spans="2:35">
      <c r="B811" s="39">
        <f t="shared" si="399"/>
        <v>783</v>
      </c>
      <c r="C811" s="45">
        <f t="shared" si="400"/>
        <v>23.001798561149602</v>
      </c>
      <c r="D811" s="10">
        <f t="shared" si="401"/>
        <v>1.4982014388506286</v>
      </c>
      <c r="E811" s="40">
        <f t="shared" si="402"/>
        <v>66.003597122298743</v>
      </c>
      <c r="F811" s="40">
        <f t="shared" si="403"/>
        <v>69</v>
      </c>
      <c r="G811" s="3">
        <f t="shared" si="404"/>
        <v>275.98561151080503</v>
      </c>
      <c r="H811" s="3">
        <f t="shared" si="405"/>
        <v>221.47275588995251</v>
      </c>
      <c r="I811">
        <f t="shared" si="390"/>
        <v>2.214727558899525E-4</v>
      </c>
      <c r="J811" s="4">
        <f t="shared" si="406"/>
        <v>4100.1513459657717</v>
      </c>
      <c r="K811" s="40">
        <f t="shared" si="407"/>
        <v>18.513118372009124</v>
      </c>
      <c r="L811" s="40">
        <f t="shared" si="391"/>
        <v>0</v>
      </c>
      <c r="M811" s="10">
        <f t="shared" si="408"/>
        <v>5.4580786019499969</v>
      </c>
      <c r="N811" s="10">
        <f t="shared" si="387"/>
        <v>3.8408799049960156</v>
      </c>
      <c r="O811" s="10">
        <f t="shared" si="388"/>
        <v>0.68820000000000003</v>
      </c>
      <c r="P811" s="10">
        <f t="shared" si="409"/>
        <v>12.349845046507177</v>
      </c>
      <c r="Q811" s="45">
        <f t="shared" si="410"/>
        <v>1.81606657090351</v>
      </c>
      <c r="R811" s="4">
        <f t="shared" si="411"/>
        <v>87684.305773268425</v>
      </c>
      <c r="S811">
        <f t="shared" si="392"/>
        <v>8.7684305773268423E-5</v>
      </c>
      <c r="T811" s="44">
        <f t="shared" si="393"/>
        <v>1.9887120887087354E-3</v>
      </c>
      <c r="U811" s="45">
        <f t="shared" si="412"/>
        <v>0.1565208700205728</v>
      </c>
      <c r="V811" s="45">
        <f t="shared" si="413"/>
        <v>1.3181274145706448</v>
      </c>
      <c r="W811" s="45">
        <f t="shared" si="414"/>
        <v>1.3346385375382142</v>
      </c>
      <c r="X811" s="45">
        <f t="shared" si="415"/>
        <v>-1.6511122967569403E-2</v>
      </c>
      <c r="Y811" s="45">
        <f t="shared" si="389"/>
        <v>3.3392321049201083E-2</v>
      </c>
      <c r="Z811" s="10">
        <f t="shared" si="416"/>
        <v>16.790927776218535</v>
      </c>
      <c r="AA811">
        <f t="shared" si="394"/>
        <v>5447059.2197522558</v>
      </c>
      <c r="AB811" s="10">
        <f t="shared" si="395"/>
        <v>5.4470592197522558</v>
      </c>
      <c r="AC811" s="10">
        <f t="shared" si="396"/>
        <v>5.3460592197522558</v>
      </c>
      <c r="AD811" s="3">
        <f t="shared" si="397"/>
        <v>775.35304129836925</v>
      </c>
      <c r="AI811" s="100">
        <f t="shared" si="398"/>
        <v>1.3346385375382142</v>
      </c>
    </row>
    <row r="812" spans="2:35">
      <c r="B812" s="39">
        <f t="shared" si="399"/>
        <v>784</v>
      </c>
      <c r="C812" s="45">
        <f t="shared" si="400"/>
        <v>23.031175059950559</v>
      </c>
      <c r="D812" s="10">
        <f t="shared" si="401"/>
        <v>1.4688249400496716</v>
      </c>
      <c r="E812" s="40">
        <f t="shared" si="402"/>
        <v>66.062350119900657</v>
      </c>
      <c r="F812" s="40">
        <f t="shared" si="403"/>
        <v>69</v>
      </c>
      <c r="G812" s="3">
        <f t="shared" si="404"/>
        <v>275.75059952039737</v>
      </c>
      <c r="H812" s="3">
        <f t="shared" si="405"/>
        <v>221.47275588995251</v>
      </c>
      <c r="I812">
        <f t="shared" si="390"/>
        <v>2.214727558899525E-4</v>
      </c>
      <c r="J812" s="4">
        <f t="shared" si="406"/>
        <v>4106.2454625942564</v>
      </c>
      <c r="K812" s="40">
        <f t="shared" si="407"/>
        <v>18.540634698358144</v>
      </c>
      <c r="L812" s="40">
        <f t="shared" si="391"/>
        <v>0</v>
      </c>
      <c r="M812" s="10">
        <f t="shared" si="408"/>
        <v>5.4470592197522558</v>
      </c>
      <c r="N812" s="10">
        <f t="shared" si="387"/>
        <v>3.8408799049960156</v>
      </c>
      <c r="O812" s="10">
        <f t="shared" si="388"/>
        <v>0.68820000000000003</v>
      </c>
      <c r="P812" s="10">
        <f t="shared" si="409"/>
        <v>12.332680575224703</v>
      </c>
      <c r="Q812" s="45">
        <f t="shared" si="410"/>
        <v>1.8184485752554245</v>
      </c>
      <c r="R812" s="4">
        <f t="shared" si="411"/>
        <v>85929.183018965283</v>
      </c>
      <c r="S812">
        <f t="shared" si="392"/>
        <v>8.5929183018965282E-5</v>
      </c>
      <c r="T812" s="44">
        <f t="shared" si="393"/>
        <v>1.9904672114630386E-3</v>
      </c>
      <c r="U812" s="45">
        <f t="shared" si="412"/>
        <v>0.153387888148004</v>
      </c>
      <c r="V812" s="45">
        <f t="shared" si="413"/>
        <v>1.3152712630649592</v>
      </c>
      <c r="W812" s="45">
        <f t="shared" si="414"/>
        <v>1.3318932180770409</v>
      </c>
      <c r="X812" s="45">
        <f t="shared" si="415"/>
        <v>-1.6621955012081635E-2</v>
      </c>
      <c r="Y812" s="45">
        <f t="shared" si="389"/>
        <v>3.3352727480024977E-2</v>
      </c>
      <c r="Z812" s="10">
        <f t="shared" si="416"/>
        <v>16.756230541225527</v>
      </c>
      <c r="AA812">
        <f t="shared" si="394"/>
        <v>5436011.975936641</v>
      </c>
      <c r="AB812" s="10">
        <f t="shared" si="395"/>
        <v>5.4360119759366414</v>
      </c>
      <c r="AC812" s="10">
        <f t="shared" si="396"/>
        <v>5.3350119759366414</v>
      </c>
      <c r="AD812" s="3">
        <f t="shared" si="397"/>
        <v>773.7508304476637</v>
      </c>
      <c r="AI812" s="100">
        <f t="shared" si="398"/>
        <v>1.3318932180770409</v>
      </c>
    </row>
    <row r="813" spans="2:35">
      <c r="B813" s="39">
        <f t="shared" si="399"/>
        <v>785</v>
      </c>
      <c r="C813" s="45">
        <f t="shared" si="400"/>
        <v>23.060551558751516</v>
      </c>
      <c r="D813" s="10">
        <f t="shared" si="401"/>
        <v>1.4394484412487145</v>
      </c>
      <c r="E813" s="40">
        <f t="shared" si="402"/>
        <v>66.121103117502571</v>
      </c>
      <c r="F813" s="40">
        <f t="shared" si="403"/>
        <v>69</v>
      </c>
      <c r="G813" s="3">
        <f t="shared" si="404"/>
        <v>275.51558752998972</v>
      </c>
      <c r="H813" s="3">
        <f t="shared" si="405"/>
        <v>221.47275588995251</v>
      </c>
      <c r="I813">
        <f t="shared" si="390"/>
        <v>2.214727558899525E-4</v>
      </c>
      <c r="J813" s="4">
        <f t="shared" si="406"/>
        <v>4112.3450014777154</v>
      </c>
      <c r="K813" s="40">
        <f t="shared" si="407"/>
        <v>18.568175507424925</v>
      </c>
      <c r="L813" s="40">
        <f t="shared" si="391"/>
        <v>0</v>
      </c>
      <c r="M813" s="10">
        <f t="shared" si="408"/>
        <v>5.4360119759366414</v>
      </c>
      <c r="N813" s="10">
        <f t="shared" si="387"/>
        <v>3.8408799049960156</v>
      </c>
      <c r="O813" s="10">
        <f t="shared" si="388"/>
        <v>0.68820000000000003</v>
      </c>
      <c r="P813" s="10">
        <f t="shared" si="409"/>
        <v>12.315461833565612</v>
      </c>
      <c r="Q813" s="45">
        <f t="shared" si="410"/>
        <v>1.8208339099832618</v>
      </c>
      <c r="R813" s="4">
        <f t="shared" si="411"/>
        <v>84175.430729854226</v>
      </c>
      <c r="S813">
        <f t="shared" si="392"/>
        <v>8.4175430729854222E-5</v>
      </c>
      <c r="T813" s="44">
        <f t="shared" si="393"/>
        <v>1.9922209637521495E-3</v>
      </c>
      <c r="U813" s="45">
        <f t="shared" si="412"/>
        <v>0.15025735262432627</v>
      </c>
      <c r="V813" s="45">
        <f t="shared" si="413"/>
        <v>1.3124093181320795</v>
      </c>
      <c r="W813" s="45">
        <f t="shared" si="414"/>
        <v>1.3291409572973441</v>
      </c>
      <c r="X813" s="45">
        <f t="shared" si="415"/>
        <v>-1.6731639165264545E-2</v>
      </c>
      <c r="Y813" s="45">
        <f t="shared" si="389"/>
        <v>3.3312816920070432E-2</v>
      </c>
      <c r="Z813" s="10">
        <f t="shared" si="416"/>
        <v>16.721446830540856</v>
      </c>
      <c r="AA813">
        <f t="shared" si="394"/>
        <v>5424937.1991475727</v>
      </c>
      <c r="AB813" s="10">
        <f t="shared" si="395"/>
        <v>5.424937199147573</v>
      </c>
      <c r="AC813" s="10">
        <f t="shared" si="396"/>
        <v>5.323937199147573</v>
      </c>
      <c r="AD813" s="3">
        <f t="shared" si="397"/>
        <v>772.1446264173419</v>
      </c>
      <c r="AI813" s="100">
        <f t="shared" si="398"/>
        <v>1.3291409572973441</v>
      </c>
    </row>
    <row r="814" spans="2:35">
      <c r="B814" s="39">
        <f t="shared" si="399"/>
        <v>786</v>
      </c>
      <c r="C814" s="45">
        <f t="shared" si="400"/>
        <v>23.089928057552473</v>
      </c>
      <c r="D814" s="10">
        <f t="shared" si="401"/>
        <v>1.4100719424477575</v>
      </c>
      <c r="E814" s="40">
        <f t="shared" si="402"/>
        <v>66.179856115104485</v>
      </c>
      <c r="F814" s="40">
        <f t="shared" si="403"/>
        <v>69</v>
      </c>
      <c r="G814" s="3">
        <f t="shared" si="404"/>
        <v>275.28057553958206</v>
      </c>
      <c r="H814" s="3">
        <f t="shared" si="405"/>
        <v>221.47275588995251</v>
      </c>
      <c r="I814">
        <f t="shared" si="390"/>
        <v>2.214727558899525E-4</v>
      </c>
      <c r="J814" s="4">
        <f t="shared" si="406"/>
        <v>4118.4499626161487</v>
      </c>
      <c r="K814" s="40">
        <f t="shared" si="407"/>
        <v>18.595740799209466</v>
      </c>
      <c r="L814" s="40">
        <f t="shared" si="391"/>
        <v>0</v>
      </c>
      <c r="M814" s="10">
        <f t="shared" si="408"/>
        <v>5.424937199147573</v>
      </c>
      <c r="N814" s="10">
        <f t="shared" si="387"/>
        <v>3.8408799049960156</v>
      </c>
      <c r="O814" s="10">
        <f t="shared" si="388"/>
        <v>0.68820000000000003</v>
      </c>
      <c r="P814" s="10">
        <f t="shared" si="409"/>
        <v>12.298189222762376</v>
      </c>
      <c r="Q814" s="45">
        <f t="shared" si="410"/>
        <v>1.8232225948757161</v>
      </c>
      <c r="R814" s="4">
        <f t="shared" si="411"/>
        <v>82423.052728820607</v>
      </c>
      <c r="S814">
        <f t="shared" si="392"/>
        <v>8.2423052728820611E-5</v>
      </c>
      <c r="T814" s="44">
        <f t="shared" si="393"/>
        <v>1.9939733417531831E-3</v>
      </c>
      <c r="U814" s="45">
        <f t="shared" si="412"/>
        <v>0.14712927027358125</v>
      </c>
      <c r="V814" s="45">
        <f t="shared" si="413"/>
        <v>1.3095416480534319</v>
      </c>
      <c r="W814" s="45">
        <f t="shared" si="414"/>
        <v>1.3263818370761202</v>
      </c>
      <c r="X814" s="45">
        <f t="shared" si="415"/>
        <v>-1.6840189022688357E-2</v>
      </c>
      <c r="Y814" s="45">
        <f t="shared" si="389"/>
        <v>3.3272591014965859E-2</v>
      </c>
      <c r="Z814" s="10">
        <f t="shared" si="416"/>
        <v>16.686577657909524</v>
      </c>
      <c r="AA814">
        <f t="shared" si="394"/>
        <v>5413835.2121510655</v>
      </c>
      <c r="AB814" s="10">
        <f t="shared" si="395"/>
        <v>5.4138352121510653</v>
      </c>
      <c r="AC814" s="10">
        <f t="shared" si="396"/>
        <v>5.3128352121510654</v>
      </c>
      <c r="AD814" s="3">
        <f t="shared" si="397"/>
        <v>770.53447601900882</v>
      </c>
      <c r="AI814" s="100">
        <f t="shared" si="398"/>
        <v>1.3263818370761202</v>
      </c>
    </row>
    <row r="815" spans="2:35">
      <c r="B815" s="39">
        <f t="shared" si="399"/>
        <v>787</v>
      </c>
      <c r="C815" s="45">
        <f t="shared" si="400"/>
        <v>23.119304556353431</v>
      </c>
      <c r="D815" s="10">
        <f t="shared" si="401"/>
        <v>1.3806954436468004</v>
      </c>
      <c r="E815" s="40">
        <f t="shared" si="402"/>
        <v>66.238609112706399</v>
      </c>
      <c r="F815" s="40">
        <f t="shared" si="403"/>
        <v>69</v>
      </c>
      <c r="G815" s="3">
        <f t="shared" si="404"/>
        <v>275.0455635491744</v>
      </c>
      <c r="H815" s="3">
        <f t="shared" si="405"/>
        <v>221.47275588995251</v>
      </c>
      <c r="I815">
        <f t="shared" si="390"/>
        <v>2.214727558899525E-4</v>
      </c>
      <c r="J815" s="4">
        <f t="shared" si="406"/>
        <v>4124.5603460095554</v>
      </c>
      <c r="K815" s="40">
        <f t="shared" si="407"/>
        <v>18.623330573711765</v>
      </c>
      <c r="L815" s="40">
        <f t="shared" si="391"/>
        <v>0</v>
      </c>
      <c r="M815" s="10">
        <f t="shared" si="408"/>
        <v>5.4138352121510653</v>
      </c>
      <c r="N815" s="10">
        <f t="shared" si="387"/>
        <v>3.8408799049960156</v>
      </c>
      <c r="O815" s="10">
        <f t="shared" si="388"/>
        <v>0.68820000000000003</v>
      </c>
      <c r="P815" s="10">
        <f t="shared" si="409"/>
        <v>12.280863135393941</v>
      </c>
      <c r="Q815" s="45">
        <f t="shared" si="410"/>
        <v>1.8256146497725982</v>
      </c>
      <c r="R815" s="4">
        <f t="shared" si="411"/>
        <v>80672.052838748888</v>
      </c>
      <c r="S815">
        <f t="shared" si="392"/>
        <v>8.0672052838748882E-5</v>
      </c>
      <c r="T815" s="44">
        <f t="shared" si="393"/>
        <v>1.9957243416432549E-3</v>
      </c>
      <c r="U815" s="45">
        <f t="shared" si="412"/>
        <v>0.14400364791980871</v>
      </c>
      <c r="V815" s="45">
        <f t="shared" si="413"/>
        <v>1.306668320132031</v>
      </c>
      <c r="W815" s="45">
        <f t="shared" si="414"/>
        <v>1.3236159378258472</v>
      </c>
      <c r="X815" s="45">
        <f t="shared" si="415"/>
        <v>-1.6947617693816142E-2</v>
      </c>
      <c r="Y815" s="45">
        <f t="shared" si="389"/>
        <v>3.3232051383070879E-2</v>
      </c>
      <c r="Z815" s="10">
        <f t="shared" si="416"/>
        <v>16.65162401923104</v>
      </c>
      <c r="AA815">
        <f t="shared" si="394"/>
        <v>5402706.3320313105</v>
      </c>
      <c r="AB815" s="10">
        <f t="shared" si="395"/>
        <v>5.4027063320313102</v>
      </c>
      <c r="AC815" s="10">
        <f t="shared" si="396"/>
        <v>5.3017063320313103</v>
      </c>
      <c r="AD815" s="3">
        <f t="shared" si="397"/>
        <v>768.92042524021906</v>
      </c>
      <c r="AI815" s="100">
        <f t="shared" si="398"/>
        <v>1.3236159378258472</v>
      </c>
    </row>
    <row r="816" spans="2:35">
      <c r="B816" s="39">
        <f t="shared" si="399"/>
        <v>788</v>
      </c>
      <c r="C816" s="45">
        <f t="shared" si="400"/>
        <v>23.148681055154388</v>
      </c>
      <c r="D816" s="10">
        <f t="shared" si="401"/>
        <v>1.3513189448458434</v>
      </c>
      <c r="E816" s="40">
        <f t="shared" si="402"/>
        <v>66.297362110308313</v>
      </c>
      <c r="F816" s="40">
        <f t="shared" si="403"/>
        <v>69</v>
      </c>
      <c r="G816" s="3">
        <f t="shared" si="404"/>
        <v>274.81055155876675</v>
      </c>
      <c r="H816" s="3">
        <f t="shared" si="405"/>
        <v>221.47275588995251</v>
      </c>
      <c r="I816">
        <f t="shared" si="390"/>
        <v>2.214727558899525E-4</v>
      </c>
      <c r="J816" s="4">
        <f t="shared" si="406"/>
        <v>4130.6761516579363</v>
      </c>
      <c r="K816" s="40">
        <f t="shared" si="407"/>
        <v>18.650944830931827</v>
      </c>
      <c r="L816" s="40">
        <f t="shared" si="391"/>
        <v>0</v>
      </c>
      <c r="M816" s="10">
        <f t="shared" si="408"/>
        <v>5.4027063320313102</v>
      </c>
      <c r="N816" s="10">
        <f t="shared" si="387"/>
        <v>3.8408799049960156</v>
      </c>
      <c r="O816" s="10">
        <f t="shared" si="388"/>
        <v>0.68820000000000003</v>
      </c>
      <c r="P816" s="10">
        <f t="shared" si="409"/>
        <v>12.263483955673099</v>
      </c>
      <c r="Q816" s="45">
        <f t="shared" si="410"/>
        <v>1.828010094566846</v>
      </c>
      <c r="R816" s="4">
        <f t="shared" si="411"/>
        <v>78922.434882524016</v>
      </c>
      <c r="S816">
        <f t="shared" si="392"/>
        <v>7.8922434882524022E-5</v>
      </c>
      <c r="T816" s="44">
        <f t="shared" si="393"/>
        <v>1.9974739595994798E-3</v>
      </c>
      <c r="U816" s="45">
        <f t="shared" si="412"/>
        <v>0.14088049238704947</v>
      </c>
      <c r="V816" s="45">
        <f t="shared" si="413"/>
        <v>1.3037894007237802</v>
      </c>
      <c r="W816" s="45">
        <f t="shared" si="414"/>
        <v>1.3208433385434584</v>
      </c>
      <c r="X816" s="45">
        <f t="shared" si="415"/>
        <v>-1.7053937819678122E-2</v>
      </c>
      <c r="Y816" s="45">
        <f t="shared" si="389"/>
        <v>3.3191199616499308E-2</v>
      </c>
      <c r="Z816" s="10">
        <f t="shared" si="416"/>
        <v>16.616586893155088</v>
      </c>
      <c r="AA816">
        <f t="shared" si="394"/>
        <v>5391550.8703803318</v>
      </c>
      <c r="AB816" s="10">
        <f t="shared" si="395"/>
        <v>5.3915508703803319</v>
      </c>
      <c r="AC816" s="10">
        <f t="shared" si="396"/>
        <v>5.2905508703803319</v>
      </c>
      <c r="AD816" s="3">
        <f t="shared" si="397"/>
        <v>767.30251927198435</v>
      </c>
      <c r="AI816" s="100">
        <f t="shared" si="398"/>
        <v>1.3208433385434584</v>
      </c>
    </row>
    <row r="817" spans="2:35">
      <c r="B817" s="39">
        <f t="shared" si="399"/>
        <v>789</v>
      </c>
      <c r="C817" s="45">
        <f t="shared" si="400"/>
        <v>23.178057553955345</v>
      </c>
      <c r="D817" s="10">
        <f t="shared" si="401"/>
        <v>1.3219424460448863</v>
      </c>
      <c r="E817" s="40">
        <f t="shared" si="402"/>
        <v>66.356115107910227</v>
      </c>
      <c r="F817" s="40">
        <f t="shared" si="403"/>
        <v>69</v>
      </c>
      <c r="G817" s="3">
        <f t="shared" si="404"/>
        <v>274.57553956835909</v>
      </c>
      <c r="H817" s="3">
        <f t="shared" si="405"/>
        <v>221.47275588995251</v>
      </c>
      <c r="I817">
        <f t="shared" si="390"/>
        <v>2.214727558899525E-4</v>
      </c>
      <c r="J817" s="4">
        <f t="shared" si="406"/>
        <v>4136.7973795612907</v>
      </c>
      <c r="K817" s="40">
        <f t="shared" si="407"/>
        <v>18.678583570869648</v>
      </c>
      <c r="L817" s="40">
        <f t="shared" si="391"/>
        <v>0</v>
      </c>
      <c r="M817" s="10">
        <f t="shared" si="408"/>
        <v>5.3915508703803319</v>
      </c>
      <c r="N817" s="10">
        <f t="shared" si="387"/>
        <v>3.8408799049960156</v>
      </c>
      <c r="O817" s="10">
        <f t="shared" si="388"/>
        <v>0.68820000000000003</v>
      </c>
      <c r="P817" s="10">
        <f t="shared" si="409"/>
        <v>12.246052059723779</v>
      </c>
      <c r="Q817" s="45">
        <f t="shared" si="410"/>
        <v>1.8304089492065037</v>
      </c>
      <c r="R817" s="4">
        <f t="shared" si="411"/>
        <v>77174.202683030613</v>
      </c>
      <c r="S817">
        <f t="shared" si="392"/>
        <v>7.7174202683030614E-5</v>
      </c>
      <c r="T817" s="44">
        <f t="shared" si="393"/>
        <v>1.9992221917989731E-3</v>
      </c>
      <c r="U817" s="45">
        <f t="shared" si="412"/>
        <v>0.1377598104993438</v>
      </c>
      <c r="V817" s="45">
        <f t="shared" si="413"/>
        <v>1.3009049552711078</v>
      </c>
      <c r="W817" s="45">
        <f t="shared" si="414"/>
        <v>1.3180641168575928</v>
      </c>
      <c r="X817" s="45">
        <f t="shared" si="415"/>
        <v>-1.7159161586485006E-2</v>
      </c>
      <c r="Y817" s="45">
        <f t="shared" si="389"/>
        <v>3.3150037282114936E-2</v>
      </c>
      <c r="Z817" s="10">
        <f t="shared" si="416"/>
        <v>16.581467241660278</v>
      </c>
      <c r="AA817">
        <f t="shared" si="394"/>
        <v>5380369.1334822532</v>
      </c>
      <c r="AB817" s="10">
        <f t="shared" si="395"/>
        <v>5.3803691334822528</v>
      </c>
      <c r="AC817" s="10">
        <f t="shared" si="396"/>
        <v>5.2793691334822528</v>
      </c>
      <c r="AD817" s="3">
        <f t="shared" si="397"/>
        <v>765.68080253549715</v>
      </c>
      <c r="AI817" s="100">
        <f t="shared" si="398"/>
        <v>1.3180641168575928</v>
      </c>
    </row>
    <row r="818" spans="2:35">
      <c r="B818" s="39">
        <f t="shared" si="399"/>
        <v>790</v>
      </c>
      <c r="C818" s="45">
        <f t="shared" si="400"/>
        <v>23.207434052756302</v>
      </c>
      <c r="D818" s="10">
        <f t="shared" si="401"/>
        <v>1.2925659472439293</v>
      </c>
      <c r="E818" s="40">
        <f t="shared" si="402"/>
        <v>66.414868105512141</v>
      </c>
      <c r="F818" s="40">
        <f t="shared" si="403"/>
        <v>69</v>
      </c>
      <c r="G818" s="3">
        <f t="shared" si="404"/>
        <v>274.34052757795143</v>
      </c>
      <c r="H818" s="3">
        <f t="shared" si="405"/>
        <v>221.47275588995251</v>
      </c>
      <c r="I818">
        <f t="shared" si="390"/>
        <v>2.214727558899525E-4</v>
      </c>
      <c r="J818" s="4">
        <f t="shared" si="406"/>
        <v>4142.9240297196193</v>
      </c>
      <c r="K818" s="40">
        <f t="shared" si="407"/>
        <v>18.706246793525228</v>
      </c>
      <c r="L818" s="40">
        <f t="shared" si="391"/>
        <v>0</v>
      </c>
      <c r="M818" s="10">
        <f t="shared" si="408"/>
        <v>5.3803691334822528</v>
      </c>
      <c r="N818" s="10">
        <f t="shared" si="387"/>
        <v>3.8408799049960156</v>
      </c>
      <c r="O818" s="10">
        <f t="shared" si="388"/>
        <v>0.68820000000000003</v>
      </c>
      <c r="P818" s="10">
        <f t="shared" si="409"/>
        <v>12.228567815850669</v>
      </c>
      <c r="Q818" s="45">
        <f t="shared" si="410"/>
        <v>1.8328112336966693</v>
      </c>
      <c r="R818" s="4">
        <f t="shared" si="411"/>
        <v>75427.360063153683</v>
      </c>
      <c r="S818">
        <f t="shared" si="392"/>
        <v>7.5427360063153685E-5</v>
      </c>
      <c r="T818" s="44">
        <f t="shared" si="393"/>
        <v>2.0009690344188502E-3</v>
      </c>
      <c r="U818" s="45">
        <f t="shared" si="412"/>
        <v>0.13464160908073247</v>
      </c>
      <c r="V818" s="45">
        <f t="shared" si="413"/>
        <v>1.2980150483327204</v>
      </c>
      <c r="W818" s="45">
        <f t="shared" si="414"/>
        <v>1.3152783490745037</v>
      </c>
      <c r="X818" s="45">
        <f t="shared" si="415"/>
        <v>-1.7263300741783283E-2</v>
      </c>
      <c r="Y818" s="45">
        <f t="shared" si="389"/>
        <v>3.3108565922493886E-2</v>
      </c>
      <c r="Z818" s="10">
        <f t="shared" si="416"/>
        <v>16.546266010613074</v>
      </c>
      <c r="AA818">
        <f t="shared" si="394"/>
        <v>5369161.422491258</v>
      </c>
      <c r="AB818" s="10">
        <f t="shared" si="395"/>
        <v>5.3691614224912581</v>
      </c>
      <c r="AC818" s="10">
        <f t="shared" si="396"/>
        <v>5.2681614224912581</v>
      </c>
      <c r="AD818" s="3">
        <f t="shared" si="397"/>
        <v>764.05531870794175</v>
      </c>
      <c r="AI818" s="100">
        <f t="shared" si="398"/>
        <v>1.3152783490745037</v>
      </c>
    </row>
    <row r="819" spans="2:35">
      <c r="B819" s="39">
        <f t="shared" si="399"/>
        <v>791</v>
      </c>
      <c r="C819" s="45">
        <f t="shared" si="400"/>
        <v>23.236810551557259</v>
      </c>
      <c r="D819" s="10">
        <f t="shared" si="401"/>
        <v>1.2631894484429722</v>
      </c>
      <c r="E819" s="40">
        <f t="shared" si="402"/>
        <v>66.473621103114056</v>
      </c>
      <c r="F819" s="40">
        <f t="shared" si="403"/>
        <v>69</v>
      </c>
      <c r="G819" s="3">
        <f t="shared" si="404"/>
        <v>274.10551558754378</v>
      </c>
      <c r="H819" s="3">
        <f t="shared" si="405"/>
        <v>221.47275588995251</v>
      </c>
      <c r="I819">
        <f t="shared" si="390"/>
        <v>2.214727558899525E-4</v>
      </c>
      <c r="J819" s="4">
        <f t="shared" si="406"/>
        <v>4149.0561021329222</v>
      </c>
      <c r="K819" s="40">
        <f t="shared" si="407"/>
        <v>18.733934498898567</v>
      </c>
      <c r="L819" s="40">
        <f t="shared" si="391"/>
        <v>0</v>
      </c>
      <c r="M819" s="10">
        <f t="shared" si="408"/>
        <v>5.3691614224912581</v>
      </c>
      <c r="N819" s="10">
        <f t="shared" si="387"/>
        <v>3.8408799049960156</v>
      </c>
      <c r="O819" s="10">
        <f t="shared" si="388"/>
        <v>0.68820000000000003</v>
      </c>
      <c r="P819" s="10">
        <f t="shared" si="409"/>
        <v>12.211031584799674</v>
      </c>
      <c r="Q819" s="45">
        <f t="shared" si="410"/>
        <v>1.8352169681014125</v>
      </c>
      <c r="R819" s="4">
        <f t="shared" si="411"/>
        <v>73681.910845778038</v>
      </c>
      <c r="S819">
        <f t="shared" si="392"/>
        <v>7.3681910845778035E-5</v>
      </c>
      <c r="T819" s="44">
        <f t="shared" si="393"/>
        <v>2.0027144836362257E-3</v>
      </c>
      <c r="U819" s="45">
        <f t="shared" si="412"/>
        <v>0.13152589495525607</v>
      </c>
      <c r="V819" s="45">
        <f t="shared" si="413"/>
        <v>1.295119743614817</v>
      </c>
      <c r="W819" s="45">
        <f t="shared" si="414"/>
        <v>1.3124861102223937</v>
      </c>
      <c r="X819" s="45">
        <f t="shared" si="415"/>
        <v>-1.7366366607576733E-2</v>
      </c>
      <c r="Y819" s="45">
        <f t="shared" si="389"/>
        <v>3.3066787056860655E-2</v>
      </c>
      <c r="Z819" s="10">
        <f t="shared" si="416"/>
        <v>16.510984130310472</v>
      </c>
      <c r="AA819">
        <f t="shared" si="394"/>
        <v>5357928.0336043695</v>
      </c>
      <c r="AB819" s="10">
        <f t="shared" si="395"/>
        <v>5.3579280336043693</v>
      </c>
      <c r="AC819" s="10">
        <f t="shared" si="396"/>
        <v>5.2569280336043693</v>
      </c>
      <c r="AD819" s="3">
        <f t="shared" si="397"/>
        <v>762.42611074755177</v>
      </c>
      <c r="AI819" s="100">
        <f t="shared" si="398"/>
        <v>1.3124861102223937</v>
      </c>
    </row>
    <row r="820" spans="2:35">
      <c r="B820" s="39">
        <f t="shared" si="399"/>
        <v>792</v>
      </c>
      <c r="C820" s="45">
        <f t="shared" si="400"/>
        <v>23.266187050358216</v>
      </c>
      <c r="D820" s="10">
        <f t="shared" si="401"/>
        <v>1.2338129496420152</v>
      </c>
      <c r="E820" s="40">
        <f t="shared" si="402"/>
        <v>66.53237410071597</v>
      </c>
      <c r="F820" s="40">
        <f t="shared" si="403"/>
        <v>69</v>
      </c>
      <c r="G820" s="3">
        <f t="shared" si="404"/>
        <v>273.87050359713612</v>
      </c>
      <c r="H820" s="3">
        <f t="shared" si="405"/>
        <v>221.47275588995251</v>
      </c>
      <c r="I820">
        <f t="shared" si="390"/>
        <v>2.214727558899525E-4</v>
      </c>
      <c r="J820" s="4">
        <f t="shared" si="406"/>
        <v>4155.1935968011994</v>
      </c>
      <c r="K820" s="40">
        <f t="shared" si="407"/>
        <v>18.761646686989671</v>
      </c>
      <c r="L820" s="40">
        <f t="shared" si="391"/>
        <v>0</v>
      </c>
      <c r="M820" s="10">
        <f t="shared" si="408"/>
        <v>5.3579280336043693</v>
      </c>
      <c r="N820" s="10">
        <f t="shared" si="387"/>
        <v>3.8408799049960156</v>
      </c>
      <c r="O820" s="10">
        <f t="shared" si="388"/>
        <v>0.68820000000000003</v>
      </c>
      <c r="P820" s="10">
        <f t="shared" si="409"/>
        <v>12.193443720010995</v>
      </c>
      <c r="Q820" s="45">
        <f t="shared" si="410"/>
        <v>1.8376261725456622</v>
      </c>
      <c r="R820" s="4">
        <f t="shared" si="411"/>
        <v>71937.858853788246</v>
      </c>
      <c r="S820">
        <f t="shared" si="392"/>
        <v>7.1937858853788245E-5</v>
      </c>
      <c r="T820" s="44">
        <f t="shared" si="393"/>
        <v>2.0044585356282156E-3</v>
      </c>
      <c r="U820" s="45">
        <f t="shared" si="412"/>
        <v>0.12841267494695471</v>
      </c>
      <c r="V820" s="45">
        <f t="shared" si="413"/>
        <v>1.2922191040001154</v>
      </c>
      <c r="W820" s="45">
        <f t="shared" si="414"/>
        <v>1.3096874740944604</v>
      </c>
      <c r="X820" s="45">
        <f t="shared" si="415"/>
        <v>-1.7468370094344987E-2</v>
      </c>
      <c r="Y820" s="45">
        <f t="shared" si="389"/>
        <v>3.3024702181995561E-2</v>
      </c>
      <c r="Z820" s="10">
        <f t="shared" si="416"/>
        <v>16.475622516005458</v>
      </c>
      <c r="AA820">
        <f t="shared" si="394"/>
        <v>5346669.2582287528</v>
      </c>
      <c r="AB820" s="10">
        <f t="shared" si="395"/>
        <v>5.3466692582287525</v>
      </c>
      <c r="AC820" s="10">
        <f t="shared" si="396"/>
        <v>5.2456692582287525</v>
      </c>
      <c r="AD820" s="3">
        <f t="shared" si="397"/>
        <v>760.79322091787571</v>
      </c>
      <c r="AI820" s="100">
        <f t="shared" si="398"/>
        <v>1.3096874740944604</v>
      </c>
    </row>
    <row r="821" spans="2:35">
      <c r="B821" s="39">
        <f t="shared" si="399"/>
        <v>793</v>
      </c>
      <c r="C821" s="45">
        <f t="shared" si="400"/>
        <v>23.295563549159173</v>
      </c>
      <c r="D821" s="10">
        <f t="shared" si="401"/>
        <v>1.2044364508410581</v>
      </c>
      <c r="E821" s="40">
        <f t="shared" si="402"/>
        <v>66.591127098317884</v>
      </c>
      <c r="F821" s="40">
        <f t="shared" si="403"/>
        <v>69</v>
      </c>
      <c r="G821" s="3">
        <f t="shared" si="404"/>
        <v>273.63549160672846</v>
      </c>
      <c r="H821" s="3">
        <f t="shared" si="405"/>
        <v>221.47275588995251</v>
      </c>
      <c r="I821">
        <f t="shared" si="390"/>
        <v>2.214727558899525E-4</v>
      </c>
      <c r="J821" s="4">
        <f t="shared" si="406"/>
        <v>4161.3365137244491</v>
      </c>
      <c r="K821" s="40">
        <f t="shared" si="407"/>
        <v>18.789383357798524</v>
      </c>
      <c r="L821" s="40">
        <f t="shared" si="391"/>
        <v>0</v>
      </c>
      <c r="M821" s="10">
        <f t="shared" si="408"/>
        <v>5.3466692582287525</v>
      </c>
      <c r="N821" s="10">
        <f t="shared" si="387"/>
        <v>3.8408799049960156</v>
      </c>
      <c r="O821" s="10">
        <f t="shared" si="388"/>
        <v>0.68820000000000003</v>
      </c>
      <c r="P821" s="10">
        <f t="shared" si="409"/>
        <v>12.175804567864315</v>
      </c>
      <c r="Q821" s="45">
        <f t="shared" si="410"/>
        <v>1.8400388672170673</v>
      </c>
      <c r="R821" s="4">
        <f t="shared" si="411"/>
        <v>70195.207910069541</v>
      </c>
      <c r="S821">
        <f t="shared" si="392"/>
        <v>7.0195207910069547E-5</v>
      </c>
      <c r="T821" s="44">
        <f t="shared" si="393"/>
        <v>2.0062011865719341E-3</v>
      </c>
      <c r="U821" s="45">
        <f t="shared" si="412"/>
        <v>0.12530195587986964</v>
      </c>
      <c r="V821" s="45">
        <f t="shared" si="413"/>
        <v>1.2893131915748781</v>
      </c>
      <c r="W821" s="45">
        <f t="shared" si="414"/>
        <v>1.3068825132905784</v>
      </c>
      <c r="X821" s="45">
        <f t="shared" si="415"/>
        <v>-1.7569321715700248E-2</v>
      </c>
      <c r="Y821" s="45">
        <f t="shared" si="389"/>
        <v>3.2982312773111887E-2</v>
      </c>
      <c r="Z821" s="10">
        <f t="shared" si="416"/>
        <v>16.44018206841454</v>
      </c>
      <c r="AA821">
        <f t="shared" si="394"/>
        <v>5335385.3831433076</v>
      </c>
      <c r="AB821" s="10">
        <f t="shared" si="395"/>
        <v>5.3353853831433078</v>
      </c>
      <c r="AC821" s="10">
        <f t="shared" si="396"/>
        <v>5.2343853831433078</v>
      </c>
      <c r="AD821" s="3">
        <f t="shared" si="397"/>
        <v>759.15669081121212</v>
      </c>
      <c r="AI821" s="100">
        <f t="shared" si="398"/>
        <v>1.3068825132905784</v>
      </c>
    </row>
    <row r="822" spans="2:35">
      <c r="B822" s="39">
        <f t="shared" si="399"/>
        <v>794</v>
      </c>
      <c r="C822" s="45">
        <f t="shared" si="400"/>
        <v>23.32494004796013</v>
      </c>
      <c r="D822" s="10">
        <f t="shared" si="401"/>
        <v>1.1750599520401011</v>
      </c>
      <c r="E822" s="40">
        <f t="shared" si="402"/>
        <v>66.649880095919798</v>
      </c>
      <c r="F822" s="40">
        <f t="shared" si="403"/>
        <v>69</v>
      </c>
      <c r="G822" s="3">
        <f t="shared" si="404"/>
        <v>273.40047961632081</v>
      </c>
      <c r="H822" s="3">
        <f t="shared" si="405"/>
        <v>221.47275588995251</v>
      </c>
      <c r="I822">
        <f t="shared" si="390"/>
        <v>2.214727558899525E-4</v>
      </c>
      <c r="J822" s="4">
        <f t="shared" si="406"/>
        <v>4167.484852902674</v>
      </c>
      <c r="K822" s="40">
        <f t="shared" si="407"/>
        <v>18.817144511325147</v>
      </c>
      <c r="L822" s="40">
        <f t="shared" si="391"/>
        <v>0</v>
      </c>
      <c r="M822" s="10">
        <f t="shared" si="408"/>
        <v>5.3353853831433078</v>
      </c>
      <c r="N822" s="10">
        <f t="shared" si="387"/>
        <v>3.8408799049960156</v>
      </c>
      <c r="O822" s="10">
        <f t="shared" si="388"/>
        <v>0.68820000000000003</v>
      </c>
      <c r="P822" s="10">
        <f t="shared" si="409"/>
        <v>12.158114467915704</v>
      </c>
      <c r="Q822" s="45">
        <f t="shared" si="410"/>
        <v>1.8424550723678315</v>
      </c>
      <c r="R822" s="4">
        <f t="shared" si="411"/>
        <v>68453.961837506125</v>
      </c>
      <c r="S822">
        <f t="shared" si="392"/>
        <v>6.8453961837506129E-5</v>
      </c>
      <c r="T822" s="44">
        <f t="shared" si="393"/>
        <v>2.0079424326444979E-3</v>
      </c>
      <c r="U822" s="45">
        <f t="shared" si="412"/>
        <v>0.1221937445780403</v>
      </c>
      <c r="V822" s="45">
        <f t="shared" si="413"/>
        <v>1.2864020676581884</v>
      </c>
      <c r="W822" s="45">
        <f t="shared" si="414"/>
        <v>1.3040712992575569</v>
      </c>
      <c r="X822" s="45">
        <f t="shared" si="415"/>
        <v>-1.7669231599368507E-2</v>
      </c>
      <c r="Y822" s="45">
        <f t="shared" si="389"/>
        <v>3.2939620284711452E-2</v>
      </c>
      <c r="Z822" s="10">
        <f t="shared" si="416"/>
        <v>16.40466367421169</v>
      </c>
      <c r="AA822">
        <f t="shared" si="394"/>
        <v>5324076.6906559356</v>
      </c>
      <c r="AB822" s="10">
        <f t="shared" si="395"/>
        <v>5.3240766906559358</v>
      </c>
      <c r="AC822" s="10">
        <f t="shared" si="396"/>
        <v>5.2230766906559358</v>
      </c>
      <c r="AD822" s="3">
        <f t="shared" si="397"/>
        <v>757.51656137141924</v>
      </c>
      <c r="AI822" s="100">
        <f t="shared" si="398"/>
        <v>1.3040712992575569</v>
      </c>
    </row>
    <row r="823" spans="2:35">
      <c r="B823" s="39">
        <f t="shared" si="399"/>
        <v>795</v>
      </c>
      <c r="C823" s="45">
        <f t="shared" si="400"/>
        <v>23.354316546761087</v>
      </c>
      <c r="D823" s="10">
        <f t="shared" si="401"/>
        <v>1.145683453239144</v>
      </c>
      <c r="E823" s="40">
        <f t="shared" si="402"/>
        <v>66.708633093521712</v>
      </c>
      <c r="F823" s="40">
        <f t="shared" si="403"/>
        <v>69</v>
      </c>
      <c r="G823" s="3">
        <f t="shared" si="404"/>
        <v>273.16546762591315</v>
      </c>
      <c r="H823" s="3">
        <f t="shared" si="405"/>
        <v>221.47275588995251</v>
      </c>
      <c r="I823">
        <f t="shared" si="390"/>
        <v>2.214727558899525E-4</v>
      </c>
      <c r="J823" s="4">
        <f t="shared" si="406"/>
        <v>4173.6386143358714</v>
      </c>
      <c r="K823" s="40">
        <f t="shared" si="407"/>
        <v>18.844930147569521</v>
      </c>
      <c r="L823" s="40">
        <f t="shared" si="391"/>
        <v>0</v>
      </c>
      <c r="M823" s="10">
        <f t="shared" si="408"/>
        <v>5.3240766906559358</v>
      </c>
      <c r="N823" s="10">
        <f t="shared" si="387"/>
        <v>3.8408799049960156</v>
      </c>
      <c r="O823" s="10">
        <f t="shared" si="388"/>
        <v>0.68820000000000003</v>
      </c>
      <c r="P823" s="10">
        <f t="shared" si="409"/>
        <v>12.140373753128404</v>
      </c>
      <c r="Q823" s="45">
        <f t="shared" si="410"/>
        <v>1.8448748083165198</v>
      </c>
      <c r="R823" s="4">
        <f t="shared" si="411"/>
        <v>66714.124458983366</v>
      </c>
      <c r="S823">
        <f t="shared" si="392"/>
        <v>6.671412445898336E-5</v>
      </c>
      <c r="T823" s="44">
        <f t="shared" si="393"/>
        <v>2.0096822700230205E-3</v>
      </c>
      <c r="U823" s="45">
        <f t="shared" si="412"/>
        <v>0.11908804786550825</v>
      </c>
      <c r="V823" s="45">
        <f t="shared" si="413"/>
        <v>1.2834857928260697</v>
      </c>
      <c r="W823" s="45">
        <f t="shared" si="414"/>
        <v>1.3012539023283196</v>
      </c>
      <c r="X823" s="45">
        <f t="shared" si="415"/>
        <v>-1.776810950224994E-2</v>
      </c>
      <c r="Y823" s="45">
        <f t="shared" si="389"/>
        <v>3.2896626151408627E-2</v>
      </c>
      <c r="Z823" s="10">
        <f t="shared" si="416"/>
        <v>16.369068206504007</v>
      </c>
      <c r="AA823">
        <f t="shared" si="394"/>
        <v>5312743.4587549809</v>
      </c>
      <c r="AB823" s="10">
        <f t="shared" si="395"/>
        <v>5.3127434587549809</v>
      </c>
      <c r="AC823" s="10">
        <f t="shared" si="396"/>
        <v>5.2117434587549809</v>
      </c>
      <c r="AD823" s="3">
        <f t="shared" si="397"/>
        <v>755.87287291587836</v>
      </c>
      <c r="AI823" s="100">
        <f t="shared" si="398"/>
        <v>1.3012539023283196</v>
      </c>
    </row>
    <row r="824" spans="2:35">
      <c r="B824" s="39">
        <f t="shared" si="399"/>
        <v>796</v>
      </c>
      <c r="C824" s="45">
        <f t="shared" si="400"/>
        <v>23.383693045562044</v>
      </c>
      <c r="D824" s="10">
        <f t="shared" si="401"/>
        <v>1.1163069544381869</v>
      </c>
      <c r="E824" s="40">
        <f t="shared" si="402"/>
        <v>66.767386091123626</v>
      </c>
      <c r="F824" s="40">
        <f t="shared" si="403"/>
        <v>69</v>
      </c>
      <c r="G824" s="3">
        <f t="shared" si="404"/>
        <v>272.9304556355055</v>
      </c>
      <c r="H824" s="3">
        <f t="shared" si="405"/>
        <v>221.47275588995251</v>
      </c>
      <c r="I824">
        <f t="shared" si="390"/>
        <v>2.214727558899525E-4</v>
      </c>
      <c r="J824" s="4">
        <f t="shared" si="406"/>
        <v>4179.7977980240439</v>
      </c>
      <c r="K824" s="40">
        <f t="shared" si="407"/>
        <v>18.872740266531661</v>
      </c>
      <c r="L824" s="40">
        <f t="shared" si="391"/>
        <v>0</v>
      </c>
      <c r="M824" s="10">
        <f t="shared" si="408"/>
        <v>5.3127434587549809</v>
      </c>
      <c r="N824" s="10">
        <f t="shared" si="387"/>
        <v>3.8408799049960156</v>
      </c>
      <c r="O824" s="10">
        <f t="shared" si="388"/>
        <v>0.68820000000000003</v>
      </c>
      <c r="P824" s="10">
        <f t="shared" si="409"/>
        <v>12.122582750095127</v>
      </c>
      <c r="Q824" s="45">
        <f t="shared" si="410"/>
        <v>1.8472980954498437</v>
      </c>
      <c r="R824" s="4">
        <f t="shared" si="411"/>
        <v>64975.699597385712</v>
      </c>
      <c r="S824">
        <f t="shared" si="392"/>
        <v>6.4975699597385713E-5</v>
      </c>
      <c r="T824" s="44">
        <f t="shared" si="393"/>
        <v>2.011420694884618E-3</v>
      </c>
      <c r="U824" s="45">
        <f t="shared" si="412"/>
        <v>0.11598487256631336</v>
      </c>
      <c r="V824" s="45">
        <f t="shared" si="413"/>
        <v>1.2805644269395715</v>
      </c>
      <c r="W824" s="45">
        <f t="shared" si="414"/>
        <v>1.2984303917596365</v>
      </c>
      <c r="X824" s="45">
        <f t="shared" si="415"/>
        <v>-1.7865964820064972E-2</v>
      </c>
      <c r="Y824" s="45">
        <f t="shared" si="389"/>
        <v>3.285333178873575E-2</v>
      </c>
      <c r="Z824" s="10">
        <f t="shared" si="416"/>
        <v>16.333396525295434</v>
      </c>
      <c r="AA824">
        <f t="shared" si="394"/>
        <v>5301385.9612568822</v>
      </c>
      <c r="AB824" s="10">
        <f t="shared" si="395"/>
        <v>5.3013859612568819</v>
      </c>
      <c r="AC824" s="10">
        <f t="shared" si="396"/>
        <v>5.2003859612568819</v>
      </c>
      <c r="AD824" s="3">
        <f t="shared" si="397"/>
        <v>754.22566515690824</v>
      </c>
      <c r="AI824" s="100">
        <f t="shared" si="398"/>
        <v>1.2984303917596365</v>
      </c>
    </row>
    <row r="825" spans="2:35">
      <c r="B825" s="39">
        <f t="shared" si="399"/>
        <v>797</v>
      </c>
      <c r="C825" s="45">
        <f t="shared" si="400"/>
        <v>23.413069544363001</v>
      </c>
      <c r="D825" s="10">
        <f t="shared" si="401"/>
        <v>1.0869304556372299</v>
      </c>
      <c r="E825" s="40">
        <f t="shared" si="402"/>
        <v>66.82613908872554</v>
      </c>
      <c r="F825" s="40">
        <f t="shared" si="403"/>
        <v>69</v>
      </c>
      <c r="G825" s="3">
        <f t="shared" si="404"/>
        <v>272.69544364509784</v>
      </c>
      <c r="H825" s="3">
        <f t="shared" si="405"/>
        <v>221.47275588995251</v>
      </c>
      <c r="I825">
        <f t="shared" si="390"/>
        <v>2.214727558899525E-4</v>
      </c>
      <c r="J825" s="4">
        <f t="shared" si="406"/>
        <v>4185.9624039671899</v>
      </c>
      <c r="K825" s="40">
        <f t="shared" si="407"/>
        <v>18.90057486821156</v>
      </c>
      <c r="L825" s="40">
        <f t="shared" si="391"/>
        <v>0</v>
      </c>
      <c r="M825" s="10">
        <f t="shared" si="408"/>
        <v>5.3013859612568819</v>
      </c>
      <c r="N825" s="10">
        <f t="shared" si="387"/>
        <v>3.8408799049960156</v>
      </c>
      <c r="O825" s="10">
        <f t="shared" si="388"/>
        <v>0.68820000000000003</v>
      </c>
      <c r="P825" s="10">
        <f t="shared" si="409"/>
        <v>12.10474177925502</v>
      </c>
      <c r="Q825" s="45">
        <f t="shared" si="410"/>
        <v>1.8497249542244194</v>
      </c>
      <c r="R825" s="4">
        <f t="shared" si="411"/>
        <v>63238.691075598137</v>
      </c>
      <c r="S825">
        <f t="shared" si="392"/>
        <v>6.3238691075598135E-5</v>
      </c>
      <c r="T825" s="44">
        <f t="shared" si="393"/>
        <v>2.0131577034064058E-3</v>
      </c>
      <c r="U825" s="45">
        <f t="shared" si="412"/>
        <v>0.11288422550449645</v>
      </c>
      <c r="V825" s="45">
        <f t="shared" si="413"/>
        <v>1.2776380291675586</v>
      </c>
      <c r="W825" s="45">
        <f t="shared" si="414"/>
        <v>1.2956008357689068</v>
      </c>
      <c r="X825" s="45">
        <f t="shared" si="415"/>
        <v>-1.7962806601348191E-2</v>
      </c>
      <c r="Y825" s="45">
        <f t="shared" si="389"/>
        <v>3.2809738593919259E-2</v>
      </c>
      <c r="Z825" s="10">
        <f t="shared" si="416"/>
        <v>16.297649477933522</v>
      </c>
      <c r="AA825">
        <f t="shared" si="394"/>
        <v>5290004.4679484107</v>
      </c>
      <c r="AB825" s="10">
        <f t="shared" si="395"/>
        <v>5.2900044679484104</v>
      </c>
      <c r="AC825" s="10">
        <f t="shared" si="396"/>
        <v>5.1890044679484104</v>
      </c>
      <c r="AD825" s="3">
        <f t="shared" si="397"/>
        <v>752.57497722239464</v>
      </c>
      <c r="AI825" s="100">
        <f t="shared" si="398"/>
        <v>1.2956008357689068</v>
      </c>
    </row>
    <row r="826" spans="2:35">
      <c r="B826" s="39">
        <f t="shared" si="399"/>
        <v>798</v>
      </c>
      <c r="C826" s="45">
        <f t="shared" si="400"/>
        <v>23.442446043163958</v>
      </c>
      <c r="D826" s="10">
        <f t="shared" si="401"/>
        <v>1.0575539568362728</v>
      </c>
      <c r="E826" s="40">
        <f t="shared" si="402"/>
        <v>66.884892086327454</v>
      </c>
      <c r="F826" s="40">
        <f t="shared" si="403"/>
        <v>69</v>
      </c>
      <c r="G826" s="3">
        <f t="shared" si="404"/>
        <v>272.46043165469018</v>
      </c>
      <c r="H826" s="3">
        <f t="shared" si="405"/>
        <v>221.47275588995251</v>
      </c>
      <c r="I826">
        <f t="shared" si="390"/>
        <v>2.214727558899525E-4</v>
      </c>
      <c r="J826" s="4">
        <f t="shared" si="406"/>
        <v>4192.1324321653092</v>
      </c>
      <c r="K826" s="40">
        <f t="shared" si="407"/>
        <v>18.928433952609215</v>
      </c>
      <c r="L826" s="40">
        <f t="shared" si="391"/>
        <v>0</v>
      </c>
      <c r="M826" s="10">
        <f t="shared" si="408"/>
        <v>5.2900044679484104</v>
      </c>
      <c r="N826" s="10">
        <f t="shared" si="387"/>
        <v>3.8408799049960156</v>
      </c>
      <c r="O826" s="10">
        <f t="shared" si="388"/>
        <v>0.68820000000000003</v>
      </c>
      <c r="P826" s="10">
        <f t="shared" si="409"/>
        <v>12.086851155102762</v>
      </c>
      <c r="Q826" s="45">
        <f t="shared" si="410"/>
        <v>1.8521554051685063</v>
      </c>
      <c r="R826" s="4">
        <f t="shared" si="411"/>
        <v>61503.102716505433</v>
      </c>
      <c r="S826">
        <f t="shared" si="392"/>
        <v>6.1503102716505437E-5</v>
      </c>
      <c r="T826" s="44">
        <f t="shared" si="393"/>
        <v>2.0148932917654983E-3</v>
      </c>
      <c r="U826" s="45">
        <f t="shared" si="412"/>
        <v>0.10978611350409803</v>
      </c>
      <c r="V826" s="45">
        <f t="shared" si="413"/>
        <v>1.2747066580117137</v>
      </c>
      <c r="W826" s="45">
        <f t="shared" si="414"/>
        <v>1.2927653015695975</v>
      </c>
      <c r="X826" s="45">
        <f t="shared" si="415"/>
        <v>-1.805864355788378E-2</v>
      </c>
      <c r="Y826" s="45">
        <f t="shared" si="389"/>
        <v>3.276584794663507E-2</v>
      </c>
      <c r="Z826" s="10">
        <f t="shared" si="416"/>
        <v>16.261827899543423</v>
      </c>
      <c r="AA826">
        <f t="shared" si="394"/>
        <v>5278599.2447248492</v>
      </c>
      <c r="AB826" s="10">
        <f t="shared" si="395"/>
        <v>5.2785992447248491</v>
      </c>
      <c r="AC826" s="10">
        <f t="shared" si="396"/>
        <v>5.1775992447248491</v>
      </c>
      <c r="AD826" s="3">
        <f t="shared" si="397"/>
        <v>750.92084767583015</v>
      </c>
      <c r="AI826" s="100">
        <f t="shared" si="398"/>
        <v>1.2927653015695975</v>
      </c>
    </row>
    <row r="827" spans="2:35">
      <c r="B827" s="39">
        <f t="shared" si="399"/>
        <v>799</v>
      </c>
      <c r="C827" s="45">
        <f t="shared" si="400"/>
        <v>23.471822541964915</v>
      </c>
      <c r="D827" s="10">
        <f t="shared" si="401"/>
        <v>1.0281774580353158</v>
      </c>
      <c r="E827" s="40">
        <f t="shared" si="402"/>
        <v>66.943645083929368</v>
      </c>
      <c r="F827" s="40">
        <f t="shared" si="403"/>
        <v>69</v>
      </c>
      <c r="G827" s="3">
        <f t="shared" si="404"/>
        <v>272.22541966428253</v>
      </c>
      <c r="H827" s="3">
        <f t="shared" si="405"/>
        <v>221.47275588995251</v>
      </c>
      <c r="I827">
        <f t="shared" si="390"/>
        <v>2.214727558899525E-4</v>
      </c>
      <c r="J827" s="4">
        <f t="shared" si="406"/>
        <v>4198.3078826184037</v>
      </c>
      <c r="K827" s="40">
        <f t="shared" si="407"/>
        <v>18.956317519724632</v>
      </c>
      <c r="L827" s="40">
        <f t="shared" si="391"/>
        <v>0</v>
      </c>
      <c r="M827" s="10">
        <f t="shared" si="408"/>
        <v>5.2785992447248491</v>
      </c>
      <c r="N827" s="10">
        <f t="shared" si="387"/>
        <v>3.8408799049960156</v>
      </c>
      <c r="O827" s="10">
        <f t="shared" si="388"/>
        <v>0.68820000000000003</v>
      </c>
      <c r="P827" s="10">
        <f t="shared" si="409"/>
        <v>12.068911186391846</v>
      </c>
      <c r="Q827" s="45">
        <f t="shared" si="410"/>
        <v>1.8545894688837221</v>
      </c>
      <c r="R827" s="4">
        <f t="shared" si="411"/>
        <v>59768.938342992224</v>
      </c>
      <c r="S827">
        <f t="shared" si="392"/>
        <v>5.9768938342992223E-5</v>
      </c>
      <c r="T827" s="44">
        <f t="shared" si="393"/>
        <v>2.0166274561390115E-3</v>
      </c>
      <c r="U827" s="45">
        <f t="shared" si="412"/>
        <v>0.10669054338915826</v>
      </c>
      <c r="V827" s="45">
        <f t="shared" si="413"/>
        <v>1.2717703713295367</v>
      </c>
      <c r="W827" s="45">
        <f t="shared" si="414"/>
        <v>1.289923855405666</v>
      </c>
      <c r="X827" s="45">
        <f t="shared" si="415"/>
        <v>-1.8153484076129267E-2</v>
      </c>
      <c r="Y827" s="45">
        <f t="shared" si="389"/>
        <v>3.2721661209740613E-2</v>
      </c>
      <c r="Z827" s="10">
        <f t="shared" si="416"/>
        <v>16.225932613447974</v>
      </c>
      <c r="AA827">
        <f t="shared" si="394"/>
        <v>5267170.5537237478</v>
      </c>
      <c r="AB827" s="10">
        <f t="shared" si="395"/>
        <v>5.2671705537237479</v>
      </c>
      <c r="AC827" s="10">
        <f t="shared" si="396"/>
        <v>5.1661705537237479</v>
      </c>
      <c r="AD827" s="3">
        <f t="shared" si="397"/>
        <v>749.26331453571402</v>
      </c>
      <c r="AI827" s="100">
        <f t="shared" si="398"/>
        <v>1.289923855405666</v>
      </c>
    </row>
    <row r="828" spans="2:35">
      <c r="B828" s="39">
        <f t="shared" si="399"/>
        <v>800</v>
      </c>
      <c r="C828" s="45">
        <f t="shared" si="400"/>
        <v>23.501199040765872</v>
      </c>
      <c r="D828" s="10">
        <f t="shared" si="401"/>
        <v>0.99880095923435874</v>
      </c>
      <c r="E828" s="40">
        <f t="shared" si="402"/>
        <v>67.002398081531283</v>
      </c>
      <c r="F828" s="40">
        <f t="shared" si="403"/>
        <v>69</v>
      </c>
      <c r="G828" s="3">
        <f t="shared" si="404"/>
        <v>271.99040767387487</v>
      </c>
      <c r="H828" s="3">
        <f t="shared" si="405"/>
        <v>221.47275588995251</v>
      </c>
      <c r="I828">
        <f t="shared" si="390"/>
        <v>2.214727558899525E-4</v>
      </c>
      <c r="J828" s="4">
        <f t="shared" si="406"/>
        <v>4204.4887553264716</v>
      </c>
      <c r="K828" s="40">
        <f t="shared" si="407"/>
        <v>18.984225569557811</v>
      </c>
      <c r="L828" s="40">
        <f t="shared" si="391"/>
        <v>0</v>
      </c>
      <c r="M828" s="10">
        <f t="shared" si="408"/>
        <v>5.2671705537237479</v>
      </c>
      <c r="N828" s="10">
        <f t="shared" si="387"/>
        <v>3.8408799049960156</v>
      </c>
      <c r="O828" s="10">
        <f t="shared" si="388"/>
        <v>0.68820000000000003</v>
      </c>
      <c r="P828" s="10">
        <f t="shared" si="409"/>
        <v>12.050922176331525</v>
      </c>
      <c r="Q828" s="45">
        <f t="shared" si="410"/>
        <v>1.857027166046737</v>
      </c>
      <c r="R828" s="4">
        <f t="shared" si="411"/>
        <v>58036.201777943505</v>
      </c>
      <c r="S828">
        <f t="shared" si="392"/>
        <v>5.8036201777943507E-5</v>
      </c>
      <c r="T828" s="44">
        <f t="shared" si="393"/>
        <v>2.0183601927040605E-3</v>
      </c>
      <c r="U828" s="45">
        <f t="shared" si="412"/>
        <v>0.10359752198371805</v>
      </c>
      <c r="V828" s="45">
        <f t="shared" si="413"/>
        <v>1.2688292263567402</v>
      </c>
      <c r="W828" s="45">
        <f t="shared" si="414"/>
        <v>1.2870765625848859</v>
      </c>
      <c r="X828" s="45">
        <f t="shared" si="415"/>
        <v>-1.8247336228145672E-2</v>
      </c>
      <c r="Y828" s="45">
        <f t="shared" si="389"/>
        <v>3.2677179729984684E-2</v>
      </c>
      <c r="Z828" s="10">
        <f t="shared" si="416"/>
        <v>16.189964431574545</v>
      </c>
      <c r="AA828">
        <f t="shared" si="394"/>
        <v>5255718.6534544537</v>
      </c>
      <c r="AB828" s="10">
        <f t="shared" si="395"/>
        <v>5.255718653454454</v>
      </c>
      <c r="AC828" s="10">
        <f t="shared" si="396"/>
        <v>5.154718653454454</v>
      </c>
      <c r="AD828" s="3">
        <f t="shared" si="397"/>
        <v>747.60241529433699</v>
      </c>
      <c r="AI828" s="100">
        <f t="shared" si="398"/>
        <v>1.2870765625848859</v>
      </c>
    </row>
    <row r="829" spans="2:35">
      <c r="B829" s="39">
        <f t="shared" si="399"/>
        <v>801</v>
      </c>
      <c r="C829" s="45">
        <f t="shared" si="400"/>
        <v>23.530575539566829</v>
      </c>
      <c r="D829" s="10">
        <f t="shared" si="401"/>
        <v>0.96942446043340169</v>
      </c>
      <c r="E829" s="40">
        <f t="shared" si="402"/>
        <v>67.061151079133197</v>
      </c>
      <c r="F829" s="40">
        <f t="shared" si="403"/>
        <v>69</v>
      </c>
      <c r="G829" s="3">
        <f t="shared" si="404"/>
        <v>271.75539568346721</v>
      </c>
      <c r="H829" s="3">
        <f t="shared" si="405"/>
        <v>221.47275588995251</v>
      </c>
      <c r="I829">
        <f t="shared" si="390"/>
        <v>2.214727558899525E-4</v>
      </c>
      <c r="J829" s="4">
        <f t="shared" si="406"/>
        <v>4210.6750502895129</v>
      </c>
      <c r="K829" s="40">
        <f t="shared" si="407"/>
        <v>19.012158102108746</v>
      </c>
      <c r="L829" s="40">
        <f t="shared" si="391"/>
        <v>0</v>
      </c>
      <c r="M829" s="10">
        <f t="shared" si="408"/>
        <v>5.255718653454454</v>
      </c>
      <c r="N829" s="10">
        <f t="shared" si="387"/>
        <v>3.8408799049960156</v>
      </c>
      <c r="O829" s="10">
        <f t="shared" si="388"/>
        <v>0.68820000000000003</v>
      </c>
      <c r="P829" s="10">
        <f t="shared" si="409"/>
        <v>12.032884422777679</v>
      </c>
      <c r="Q829" s="45">
        <f t="shared" si="410"/>
        <v>1.8594685174109493</v>
      </c>
      <c r="R829" s="4">
        <f t="shared" si="411"/>
        <v>56304.896844244075</v>
      </c>
      <c r="S829">
        <f t="shared" si="392"/>
        <v>5.6304896844244074E-5</v>
      </c>
      <c r="T829" s="44">
        <f t="shared" si="393"/>
        <v>2.0200914976377599E-3</v>
      </c>
      <c r="U829" s="45">
        <f t="shared" si="412"/>
        <v>0.10050705611181789</v>
      </c>
      <c r="V829" s="45">
        <f t="shared" si="413"/>
        <v>1.26588327972909</v>
      </c>
      <c r="W829" s="45">
        <f t="shared" si="414"/>
        <v>1.2842234875111167</v>
      </c>
      <c r="X829" s="45">
        <f t="shared" si="415"/>
        <v>-1.8340207782026718E-2</v>
      </c>
      <c r="Y829" s="45">
        <f t="shared" si="389"/>
        <v>3.2632404838696095E-2</v>
      </c>
      <c r="Z829" s="10">
        <f t="shared" si="416"/>
        <v>16.153924154849197</v>
      </c>
      <c r="AA829">
        <f t="shared" si="394"/>
        <v>5244243.7989236126</v>
      </c>
      <c r="AB829" s="10">
        <f t="shared" si="395"/>
        <v>5.2442437989236126</v>
      </c>
      <c r="AC829" s="10">
        <f t="shared" si="396"/>
        <v>5.1432437989236126</v>
      </c>
      <c r="AD829" s="3">
        <f t="shared" si="397"/>
        <v>745.93818693598439</v>
      </c>
      <c r="AI829" s="100">
        <f t="shared" si="398"/>
        <v>1.2842234875111167</v>
      </c>
    </row>
    <row r="830" spans="2:35">
      <c r="B830" s="39">
        <f t="shared" si="399"/>
        <v>802</v>
      </c>
      <c r="C830" s="45">
        <f t="shared" si="400"/>
        <v>23.559952038367786</v>
      </c>
      <c r="D830" s="10">
        <f t="shared" si="401"/>
        <v>0.94004796163244464</v>
      </c>
      <c r="E830" s="40">
        <f t="shared" si="402"/>
        <v>67.119904076735111</v>
      </c>
      <c r="F830" s="40">
        <f t="shared" si="403"/>
        <v>69</v>
      </c>
      <c r="G830" s="3">
        <f t="shared" si="404"/>
        <v>271.52038369305956</v>
      </c>
      <c r="H830" s="3">
        <f t="shared" si="405"/>
        <v>221.47275588995251</v>
      </c>
      <c r="I830">
        <f t="shared" si="390"/>
        <v>2.214727558899525E-4</v>
      </c>
      <c r="J830" s="4">
        <f t="shared" si="406"/>
        <v>4216.8667675075285</v>
      </c>
      <c r="K830" s="40">
        <f t="shared" si="407"/>
        <v>19.040115117377439</v>
      </c>
      <c r="L830" s="40">
        <f t="shared" si="391"/>
        <v>0</v>
      </c>
      <c r="M830" s="10">
        <f t="shared" si="408"/>
        <v>5.2442437989236126</v>
      </c>
      <c r="N830" s="10">
        <f t="shared" si="387"/>
        <v>3.8408799049960156</v>
      </c>
      <c r="O830" s="10">
        <f t="shared" si="388"/>
        <v>0.68820000000000003</v>
      </c>
      <c r="P830" s="10">
        <f t="shared" si="409"/>
        <v>12.014798218417853</v>
      </c>
      <c r="Q830" s="45">
        <f t="shared" si="410"/>
        <v>1.8619135438081404</v>
      </c>
      <c r="R830" s="4">
        <f t="shared" si="411"/>
        <v>54575.027364778543</v>
      </c>
      <c r="S830">
        <f t="shared" si="392"/>
        <v>5.4575027364778546E-5</v>
      </c>
      <c r="T830" s="44">
        <f t="shared" si="393"/>
        <v>2.0218213671172251E-3</v>
      </c>
      <c r="U830" s="45">
        <f t="shared" si="412"/>
        <v>9.7419152597497949E-2</v>
      </c>
      <c r="V830" s="45">
        <f t="shared" si="413"/>
        <v>1.2629325875039019</v>
      </c>
      <c r="W830" s="45">
        <f t="shared" si="414"/>
        <v>1.2813646937155712</v>
      </c>
      <c r="X830" s="45">
        <f t="shared" si="415"/>
        <v>-1.8432106211669241E-2</v>
      </c>
      <c r="Y830" s="45">
        <f t="shared" si="389"/>
        <v>3.2587337852452734E-2</v>
      </c>
      <c r="Z830" s="10">
        <f t="shared" si="416"/>
        <v>16.11781257357902</v>
      </c>
      <c r="AA830">
        <f t="shared" si="394"/>
        <v>5232746.2417568974</v>
      </c>
      <c r="AB830" s="10">
        <f t="shared" si="395"/>
        <v>5.2327462417568977</v>
      </c>
      <c r="AC830" s="10">
        <f t="shared" si="396"/>
        <v>5.1317462417568978</v>
      </c>
      <c r="AD830" s="3">
        <f t="shared" si="397"/>
        <v>744.27066595458996</v>
      </c>
      <c r="AI830" s="100">
        <f t="shared" si="398"/>
        <v>1.2813646937155712</v>
      </c>
    </row>
    <row r="831" spans="2:35">
      <c r="B831" s="39">
        <f t="shared" si="399"/>
        <v>803</v>
      </c>
      <c r="C831" s="45">
        <f t="shared" si="400"/>
        <v>23.589328537168743</v>
      </c>
      <c r="D831" s="10">
        <f t="shared" si="401"/>
        <v>0.91067146283148759</v>
      </c>
      <c r="E831" s="40">
        <f t="shared" si="402"/>
        <v>67.178657074337025</v>
      </c>
      <c r="F831" s="40">
        <f t="shared" si="403"/>
        <v>69</v>
      </c>
      <c r="G831" s="3">
        <f t="shared" si="404"/>
        <v>271.2853717026519</v>
      </c>
      <c r="H831" s="3">
        <f t="shared" si="405"/>
        <v>221.47275588995251</v>
      </c>
      <c r="I831">
        <f t="shared" si="390"/>
        <v>2.214727558899525E-4</v>
      </c>
      <c r="J831" s="4">
        <f t="shared" si="406"/>
        <v>4223.0639069805184</v>
      </c>
      <c r="K831" s="40">
        <f t="shared" si="407"/>
        <v>19.068096615363899</v>
      </c>
      <c r="L831" s="40">
        <f t="shared" si="391"/>
        <v>0</v>
      </c>
      <c r="M831" s="10">
        <f t="shared" si="408"/>
        <v>5.2327462417568977</v>
      </c>
      <c r="N831" s="10">
        <f t="shared" si="387"/>
        <v>3.8408799049960156</v>
      </c>
      <c r="O831" s="10">
        <f t="shared" si="388"/>
        <v>0.68820000000000003</v>
      </c>
      <c r="P831" s="10">
        <f t="shared" si="409"/>
        <v>11.996663850950979</v>
      </c>
      <c r="Q831" s="45">
        <f t="shared" si="410"/>
        <v>1.8643622661501129</v>
      </c>
      <c r="R831" s="4">
        <f t="shared" si="411"/>
        <v>52846.597162431892</v>
      </c>
      <c r="S831">
        <f t="shared" si="392"/>
        <v>5.2846597162431891E-5</v>
      </c>
      <c r="T831" s="44">
        <f t="shared" si="393"/>
        <v>2.0235497973195718E-3</v>
      </c>
      <c r="U831" s="45">
        <f t="shared" si="412"/>
        <v>9.4333818264799044E-2</v>
      </c>
      <c r="V831" s="45">
        <f t="shared" si="413"/>
        <v>1.2599772051794345</v>
      </c>
      <c r="W831" s="45">
        <f t="shared" si="414"/>
        <v>1.2785002438871402</v>
      </c>
      <c r="X831" s="45">
        <f t="shared" si="415"/>
        <v>-1.8523038707705775E-2</v>
      </c>
      <c r="Y831" s="45">
        <f t="shared" si="389"/>
        <v>3.2541980073727952E-2</v>
      </c>
      <c r="Z831" s="10">
        <f t="shared" si="416"/>
        <v>16.081630467821256</v>
      </c>
      <c r="AA831">
        <f t="shared" si="394"/>
        <v>5221226.2303165346</v>
      </c>
      <c r="AB831" s="10">
        <f t="shared" si="395"/>
        <v>5.2212262303165344</v>
      </c>
      <c r="AC831" s="10">
        <f t="shared" si="396"/>
        <v>5.1202262303165345</v>
      </c>
      <c r="AD831" s="3">
        <f t="shared" si="397"/>
        <v>742.59988837078095</v>
      </c>
      <c r="AI831" s="100">
        <f t="shared" si="398"/>
        <v>1.2785002438871402</v>
      </c>
    </row>
    <row r="832" spans="2:35">
      <c r="B832" s="39">
        <f t="shared" si="399"/>
        <v>804</v>
      </c>
      <c r="C832" s="45">
        <f t="shared" si="400"/>
        <v>23.6187050359697</v>
      </c>
      <c r="D832" s="10">
        <f t="shared" si="401"/>
        <v>0.88129496403053054</v>
      </c>
      <c r="E832" s="40">
        <f t="shared" si="402"/>
        <v>67.237410071938939</v>
      </c>
      <c r="F832" s="40">
        <f t="shared" si="403"/>
        <v>69</v>
      </c>
      <c r="G832" s="3">
        <f t="shared" si="404"/>
        <v>271.05035971224424</v>
      </c>
      <c r="H832" s="3">
        <f t="shared" si="405"/>
        <v>221.47275588995251</v>
      </c>
      <c r="I832">
        <f t="shared" si="390"/>
        <v>2.214727558899525E-4</v>
      </c>
      <c r="J832" s="4">
        <f t="shared" si="406"/>
        <v>4229.2664687084816</v>
      </c>
      <c r="K832" s="40">
        <f t="shared" si="407"/>
        <v>19.096102596068114</v>
      </c>
      <c r="L832" s="40">
        <f t="shared" si="391"/>
        <v>0</v>
      </c>
      <c r="M832" s="10">
        <f t="shared" si="408"/>
        <v>5.2212262303165344</v>
      </c>
      <c r="N832" s="10">
        <f t="shared" si="387"/>
        <v>3.8408799049960156</v>
      </c>
      <c r="O832" s="10">
        <f t="shared" si="388"/>
        <v>0.68820000000000003</v>
      </c>
      <c r="P832" s="10">
        <f t="shared" si="409"/>
        <v>11.978481603260906</v>
      </c>
      <c r="Q832" s="45">
        <f t="shared" si="410"/>
        <v>1.8668147054303101</v>
      </c>
      <c r="R832" s="4">
        <f t="shared" si="411"/>
        <v>51119.610060088948</v>
      </c>
      <c r="S832">
        <f t="shared" si="392"/>
        <v>5.1119610060088949E-5</v>
      </c>
      <c r="T832" s="44">
        <f t="shared" si="393"/>
        <v>2.0252767844219149E-3</v>
      </c>
      <c r="U832" s="45">
        <f t="shared" si="412"/>
        <v>9.125105993776178E-2</v>
      </c>
      <c r="V832" s="45">
        <f t="shared" si="413"/>
        <v>1.2570171877157934</v>
      </c>
      <c r="W832" s="45">
        <f t="shared" si="414"/>
        <v>1.2756301999016753</v>
      </c>
      <c r="X832" s="45">
        <f t="shared" si="415"/>
        <v>-1.861301218588185E-2</v>
      </c>
      <c r="Y832" s="45">
        <f t="shared" si="389"/>
        <v>3.2496332791520505E-2</v>
      </c>
      <c r="Z832" s="10">
        <f t="shared" si="416"/>
        <v>16.0453786077423</v>
      </c>
      <c r="AA832">
        <f t="shared" si="394"/>
        <v>5209684.0098156063</v>
      </c>
      <c r="AB832" s="10">
        <f t="shared" si="395"/>
        <v>5.2096840098156063</v>
      </c>
      <c r="AC832" s="10">
        <f t="shared" si="396"/>
        <v>5.1086840098156063</v>
      </c>
      <c r="AD832" s="3">
        <f t="shared" si="397"/>
        <v>740.92588974845637</v>
      </c>
      <c r="AI832" s="100">
        <f t="shared" si="398"/>
        <v>1.2756301999016753</v>
      </c>
    </row>
    <row r="833" spans="2:35">
      <c r="B833" s="39">
        <f t="shared" si="399"/>
        <v>805</v>
      </c>
      <c r="C833" s="45">
        <f t="shared" si="400"/>
        <v>23.648081534770657</v>
      </c>
      <c r="D833" s="10">
        <f t="shared" si="401"/>
        <v>0.85191846522957348</v>
      </c>
      <c r="E833" s="40">
        <f t="shared" si="402"/>
        <v>67.296163069540853</v>
      </c>
      <c r="F833" s="40">
        <f t="shared" si="403"/>
        <v>69</v>
      </c>
      <c r="G833" s="3">
        <f t="shared" si="404"/>
        <v>270.81534772183659</v>
      </c>
      <c r="H833" s="3">
        <f t="shared" si="405"/>
        <v>221.47275588995251</v>
      </c>
      <c r="I833">
        <f t="shared" si="390"/>
        <v>2.214727558899525E-4</v>
      </c>
      <c r="J833" s="4">
        <f t="shared" si="406"/>
        <v>4235.4744526914192</v>
      </c>
      <c r="K833" s="40">
        <f t="shared" si="407"/>
        <v>19.124133059490088</v>
      </c>
      <c r="L833" s="40">
        <f t="shared" si="391"/>
        <v>0</v>
      </c>
      <c r="M833" s="10">
        <f t="shared" si="408"/>
        <v>5.2096840098156063</v>
      </c>
      <c r="N833" s="10">
        <f t="shared" si="387"/>
        <v>3.8408799049960156</v>
      </c>
      <c r="O833" s="10">
        <f t="shared" si="388"/>
        <v>0.68820000000000003</v>
      </c>
      <c r="P833" s="10">
        <f t="shared" si="409"/>
        <v>11.960251753585469</v>
      </c>
      <c r="Q833" s="45">
        <f t="shared" si="410"/>
        <v>1.8692708827254203</v>
      </c>
      <c r="R833" s="4">
        <f t="shared" si="411"/>
        <v>49394.069880634299</v>
      </c>
      <c r="S833">
        <f t="shared" si="392"/>
        <v>4.9394069880634301E-5</v>
      </c>
      <c r="T833" s="44">
        <f t="shared" si="393"/>
        <v>2.0270023246013696E-3</v>
      </c>
      <c r="U833" s="45">
        <f t="shared" si="412"/>
        <v>8.817088444042627E-2</v>
      </c>
      <c r="V833" s="45">
        <f t="shared" si="413"/>
        <v>1.2540525895535408</v>
      </c>
      <c r="W833" s="45">
        <f t="shared" si="414"/>
        <v>1.2727546228504638</v>
      </c>
      <c r="X833" s="45">
        <f t="shared" si="415"/>
        <v>-1.8702033296922993E-2</v>
      </c>
      <c r="Y833" s="45">
        <f t="shared" si="389"/>
        <v>3.2450397281964208E-2</v>
      </c>
      <c r="Z833" s="10">
        <f t="shared" si="416"/>
        <v>16.00905775396479</v>
      </c>
      <c r="AA833">
        <f t="shared" si="394"/>
        <v>5198119.8224285608</v>
      </c>
      <c r="AB833" s="10">
        <f t="shared" si="395"/>
        <v>5.198119822428561</v>
      </c>
      <c r="AC833" s="10">
        <f t="shared" si="396"/>
        <v>5.097119822428561</v>
      </c>
      <c r="AD833" s="3">
        <f t="shared" si="397"/>
        <v>739.2487052108138</v>
      </c>
      <c r="AI833" s="100">
        <f t="shared" si="398"/>
        <v>1.2727546228504638</v>
      </c>
    </row>
    <row r="834" spans="2:35">
      <c r="B834" s="39">
        <f t="shared" si="399"/>
        <v>806</v>
      </c>
      <c r="C834" s="45">
        <f t="shared" si="400"/>
        <v>23.677458033571614</v>
      </c>
      <c r="D834" s="10">
        <f t="shared" si="401"/>
        <v>0.82254196642861643</v>
      </c>
      <c r="E834" s="40">
        <f t="shared" si="402"/>
        <v>67.354916067142767</v>
      </c>
      <c r="F834" s="40">
        <f t="shared" si="403"/>
        <v>69</v>
      </c>
      <c r="G834" s="3">
        <f t="shared" si="404"/>
        <v>270.58033573142893</v>
      </c>
      <c r="H834" s="3">
        <f t="shared" si="405"/>
        <v>221.47275588995251</v>
      </c>
      <c r="I834">
        <f t="shared" si="390"/>
        <v>2.214727558899525E-4</v>
      </c>
      <c r="J834" s="4">
        <f t="shared" si="406"/>
        <v>4241.6878589293301</v>
      </c>
      <c r="K834" s="40">
        <f t="shared" si="407"/>
        <v>19.152188005629824</v>
      </c>
      <c r="L834" s="40">
        <f t="shared" si="391"/>
        <v>0</v>
      </c>
      <c r="M834" s="10">
        <f t="shared" si="408"/>
        <v>5.198119822428561</v>
      </c>
      <c r="N834" s="10">
        <f t="shared" si="387"/>
        <v>3.8408799049960156</v>
      </c>
      <c r="O834" s="10">
        <f t="shared" si="388"/>
        <v>0.68820000000000003</v>
      </c>
      <c r="P834" s="10">
        <f t="shared" si="409"/>
        <v>11.941974575679984</v>
      </c>
      <c r="Q834" s="45">
        <f t="shared" si="410"/>
        <v>1.8717308191969635</v>
      </c>
      <c r="R834" s="4">
        <f t="shared" si="411"/>
        <v>47669.980446952948</v>
      </c>
      <c r="S834">
        <f t="shared" si="392"/>
        <v>4.7669980446952948E-5</v>
      </c>
      <c r="T834" s="44">
        <f t="shared" si="393"/>
        <v>2.0287264140350508E-3</v>
      </c>
      <c r="U834" s="45">
        <f t="shared" si="412"/>
        <v>8.5093298596833372E-2</v>
      </c>
      <c r="V834" s="45">
        <f t="shared" si="413"/>
        <v>1.251083464632011</v>
      </c>
      <c r="W834" s="45">
        <f t="shared" si="414"/>
        <v>1.2698735730677624</v>
      </c>
      <c r="X834" s="45">
        <f t="shared" si="415"/>
        <v>-1.8790108435751351E-2</v>
      </c>
      <c r="Y834" s="45">
        <f t="shared" si="389"/>
        <v>3.2404174808918849E-2</v>
      </c>
      <c r="Z834" s="10">
        <f t="shared" si="416"/>
        <v>15.972668657903615</v>
      </c>
      <c r="AA834">
        <f t="shared" si="394"/>
        <v>5186533.9073981941</v>
      </c>
      <c r="AB834" s="10">
        <f t="shared" si="395"/>
        <v>5.1865339073981938</v>
      </c>
      <c r="AC834" s="10">
        <f t="shared" si="396"/>
        <v>5.0855339073981938</v>
      </c>
      <c r="AD834" s="3">
        <f t="shared" si="397"/>
        <v>737.56836945586576</v>
      </c>
      <c r="AI834" s="100">
        <f t="shared" si="398"/>
        <v>1.2698735730677624</v>
      </c>
    </row>
    <row r="835" spans="2:35">
      <c r="B835" s="39">
        <f t="shared" si="399"/>
        <v>807</v>
      </c>
      <c r="C835" s="45">
        <f t="shared" si="400"/>
        <v>23.706834532372572</v>
      </c>
      <c r="D835" s="10">
        <f t="shared" si="401"/>
        <v>0.79316546762765938</v>
      </c>
      <c r="E835" s="40">
        <f t="shared" si="402"/>
        <v>67.413669064744681</v>
      </c>
      <c r="F835" s="40">
        <f t="shared" si="403"/>
        <v>69</v>
      </c>
      <c r="G835" s="3">
        <f t="shared" si="404"/>
        <v>270.34532374102128</v>
      </c>
      <c r="H835" s="3">
        <f t="shared" si="405"/>
        <v>221.47275588995251</v>
      </c>
      <c r="I835">
        <f t="shared" si="390"/>
        <v>2.214727558899525E-4</v>
      </c>
      <c r="J835" s="4">
        <f t="shared" si="406"/>
        <v>4247.9066874222153</v>
      </c>
      <c r="K835" s="40">
        <f t="shared" si="407"/>
        <v>19.180267434487316</v>
      </c>
      <c r="L835" s="40">
        <f t="shared" si="391"/>
        <v>0</v>
      </c>
      <c r="M835" s="10">
        <f t="shared" si="408"/>
        <v>5.1865339073981938</v>
      </c>
      <c r="N835" s="10">
        <f t="shared" si="387"/>
        <v>3.8408799049960156</v>
      </c>
      <c r="O835" s="10">
        <f t="shared" si="388"/>
        <v>0.68820000000000003</v>
      </c>
      <c r="P835" s="10">
        <f t="shared" si="409"/>
        <v>11.923650338975751</v>
      </c>
      <c r="Q835" s="45">
        <f t="shared" si="410"/>
        <v>1.8741945360928651</v>
      </c>
      <c r="R835" s="4">
        <f t="shared" si="411"/>
        <v>45947.345581929701</v>
      </c>
      <c r="S835">
        <f t="shared" si="392"/>
        <v>4.5947345581929703E-5</v>
      </c>
      <c r="T835" s="44">
        <f t="shared" si="393"/>
        <v>2.0304490489000742E-3</v>
      </c>
      <c r="U835" s="45">
        <f t="shared" si="412"/>
        <v>8.2018309231023614E-2</v>
      </c>
      <c r="V835" s="45">
        <f t="shared" si="413"/>
        <v>1.2481098664075272</v>
      </c>
      <c r="W835" s="45">
        <f t="shared" si="414"/>
        <v>1.2669871101574472</v>
      </c>
      <c r="X835" s="45">
        <f t="shared" si="415"/>
        <v>-1.8877243749920058E-2</v>
      </c>
      <c r="Y835" s="45">
        <f t="shared" si="389"/>
        <v>3.2357666624544118E-2</v>
      </c>
      <c r="Z835" s="10">
        <f t="shared" si="416"/>
        <v>15.936212062091766</v>
      </c>
      <c r="AA835">
        <f t="shared" si="394"/>
        <v>5174926.5011393959</v>
      </c>
      <c r="AB835" s="10">
        <f t="shared" si="395"/>
        <v>5.1749265011393959</v>
      </c>
      <c r="AC835" s="10">
        <f t="shared" si="396"/>
        <v>5.0739265011393959</v>
      </c>
      <c r="AD835" s="3">
        <f t="shared" si="397"/>
        <v>735.88491677148602</v>
      </c>
      <c r="AI835" s="100">
        <f t="shared" si="398"/>
        <v>1.2669871101574472</v>
      </c>
    </row>
    <row r="836" spans="2:35">
      <c r="B836" s="39">
        <f t="shared" si="399"/>
        <v>808</v>
      </c>
      <c r="C836" s="45">
        <f t="shared" si="400"/>
        <v>23.736211031173529</v>
      </c>
      <c r="D836" s="10">
        <f t="shared" si="401"/>
        <v>0.76378896882670233</v>
      </c>
      <c r="E836" s="40">
        <f t="shared" si="402"/>
        <v>67.472422062346595</v>
      </c>
      <c r="F836" s="40">
        <f t="shared" si="403"/>
        <v>69</v>
      </c>
      <c r="G836" s="3">
        <f t="shared" si="404"/>
        <v>270.11031175061362</v>
      </c>
      <c r="H836" s="3">
        <f t="shared" si="405"/>
        <v>221.47275588995251</v>
      </c>
      <c r="I836">
        <f t="shared" si="390"/>
        <v>2.214727558899525E-4</v>
      </c>
      <c r="J836" s="4">
        <f t="shared" si="406"/>
        <v>4254.1309381700739</v>
      </c>
      <c r="K836" s="40">
        <f t="shared" si="407"/>
        <v>19.20837134606257</v>
      </c>
      <c r="L836" s="40">
        <f t="shared" si="391"/>
        <v>0</v>
      </c>
      <c r="M836" s="10">
        <f t="shared" si="408"/>
        <v>5.1749265011393959</v>
      </c>
      <c r="N836" s="10">
        <f t="shared" si="387"/>
        <v>3.8408799049960156</v>
      </c>
      <c r="O836" s="10">
        <f t="shared" si="388"/>
        <v>0.68820000000000003</v>
      </c>
      <c r="P836" s="10">
        <f t="shared" si="409"/>
        <v>11.905279308733862</v>
      </c>
      <c r="Q836" s="45">
        <f t="shared" si="410"/>
        <v>1.8766620547490134</v>
      </c>
      <c r="R836" s="4">
        <f t="shared" si="411"/>
        <v>44226.169108449147</v>
      </c>
      <c r="S836">
        <f t="shared" si="392"/>
        <v>4.4226169108449147E-5</v>
      </c>
      <c r="T836" s="44">
        <f t="shared" si="393"/>
        <v>2.0321702253735547E-3</v>
      </c>
      <c r="U836" s="45">
        <f t="shared" si="412"/>
        <v>7.8945923167037149E-2</v>
      </c>
      <c r="V836" s="45">
        <f t="shared" si="413"/>
        <v>1.2451318478711741</v>
      </c>
      <c r="W836" s="45">
        <f t="shared" si="414"/>
        <v>1.2640952930188645</v>
      </c>
      <c r="X836" s="45">
        <f t="shared" si="415"/>
        <v>-1.8963445147690328E-2</v>
      </c>
      <c r="Y836" s="45">
        <f t="shared" si="389"/>
        <v>3.2310873969857351E-2</v>
      </c>
      <c r="Z836" s="10">
        <f t="shared" si="416"/>
        <v>15.899688700496508</v>
      </c>
      <c r="AA836">
        <f t="shared" si="394"/>
        <v>5163297.8373398157</v>
      </c>
      <c r="AB836" s="10">
        <f t="shared" si="395"/>
        <v>5.1632978373398153</v>
      </c>
      <c r="AC836" s="10">
        <f t="shared" si="396"/>
        <v>5.0622978373398153</v>
      </c>
      <c r="AD836" s="3">
        <f t="shared" si="397"/>
        <v>734.19838105000952</v>
      </c>
      <c r="AI836" s="100">
        <f t="shared" si="398"/>
        <v>1.2640952930188645</v>
      </c>
    </row>
    <row r="837" spans="2:35">
      <c r="B837" s="39">
        <f t="shared" si="399"/>
        <v>809</v>
      </c>
      <c r="C837" s="45">
        <f t="shared" si="400"/>
        <v>23.765587529974486</v>
      </c>
      <c r="D837" s="10">
        <f t="shared" si="401"/>
        <v>0.73441247002574528</v>
      </c>
      <c r="E837" s="40">
        <f t="shared" si="402"/>
        <v>67.531175059948509</v>
      </c>
      <c r="F837" s="40">
        <f t="shared" si="403"/>
        <v>69</v>
      </c>
      <c r="G837" s="3">
        <f t="shared" si="404"/>
        <v>269.87529976020596</v>
      </c>
      <c r="H837" s="3">
        <f t="shared" si="405"/>
        <v>221.47275588995251</v>
      </c>
      <c r="I837">
        <f t="shared" si="390"/>
        <v>2.214727558899525E-4</v>
      </c>
      <c r="J837" s="4">
        <f t="shared" si="406"/>
        <v>4260.3606111729077</v>
      </c>
      <c r="K837" s="40">
        <f t="shared" si="407"/>
        <v>19.236499740355587</v>
      </c>
      <c r="L837" s="40">
        <f t="shared" si="391"/>
        <v>0</v>
      </c>
      <c r="M837" s="10">
        <f t="shared" si="408"/>
        <v>5.1632978373398153</v>
      </c>
      <c r="N837" s="10">
        <f t="shared" si="387"/>
        <v>3.8408799049960156</v>
      </c>
      <c r="O837" s="10">
        <f t="shared" si="388"/>
        <v>0.68820000000000003</v>
      </c>
      <c r="P837" s="10">
        <f t="shared" si="409"/>
        <v>11.886861746194652</v>
      </c>
      <c r="Q837" s="45">
        <f t="shared" si="410"/>
        <v>1.8791333965908046</v>
      </c>
      <c r="R837" s="4">
        <f t="shared" si="411"/>
        <v>42506.454849396308</v>
      </c>
      <c r="S837">
        <f t="shared" si="392"/>
        <v>4.2506454849396309E-5</v>
      </c>
      <c r="T837" s="44">
        <f t="shared" si="393"/>
        <v>2.0338899396326075E-3</v>
      </c>
      <c r="U837" s="45">
        <f t="shared" si="412"/>
        <v>7.5876147228914878E-2</v>
      </c>
      <c r="V837" s="45">
        <f t="shared" si="413"/>
        <v>1.2421494615642985</v>
      </c>
      <c r="W837" s="45">
        <f t="shared" si="414"/>
        <v>1.2611981798719067</v>
      </c>
      <c r="X837" s="45">
        <f t="shared" si="415"/>
        <v>-1.9048718307608237E-2</v>
      </c>
      <c r="Y837" s="45">
        <f t="shared" si="389"/>
        <v>3.2263798075271265E-2</v>
      </c>
      <c r="Z837" s="10">
        <f t="shared" si="416"/>
        <v>15.86309929882403</v>
      </c>
      <c r="AA837">
        <f t="shared" si="394"/>
        <v>5151648.1470568627</v>
      </c>
      <c r="AB837" s="10">
        <f t="shared" si="395"/>
        <v>5.1516481470568625</v>
      </c>
      <c r="AC837" s="10">
        <f t="shared" si="396"/>
        <v>5.0506481470568625</v>
      </c>
      <c r="AD837" s="3">
        <f t="shared" si="397"/>
        <v>732.5087958023006</v>
      </c>
      <c r="AI837" s="100">
        <f t="shared" si="398"/>
        <v>1.2611981798719067</v>
      </c>
    </row>
    <row r="838" spans="2:35">
      <c r="B838" s="39">
        <f t="shared" si="399"/>
        <v>810</v>
      </c>
      <c r="C838" s="45">
        <f t="shared" si="400"/>
        <v>23.794964028775443</v>
      </c>
      <c r="D838" s="10">
        <f t="shared" si="401"/>
        <v>0.70503597122478823</v>
      </c>
      <c r="E838" s="40">
        <f t="shared" si="402"/>
        <v>67.589928057550424</v>
      </c>
      <c r="F838" s="40">
        <f t="shared" si="403"/>
        <v>69</v>
      </c>
      <c r="G838" s="3">
        <f t="shared" si="404"/>
        <v>269.64028776979831</v>
      </c>
      <c r="H838" s="3">
        <f t="shared" si="405"/>
        <v>221.47275588995251</v>
      </c>
      <c r="I838">
        <f t="shared" si="390"/>
        <v>2.214727558899525E-4</v>
      </c>
      <c r="J838" s="4">
        <f t="shared" si="406"/>
        <v>4266.595706430714</v>
      </c>
      <c r="K838" s="40">
        <f t="shared" si="407"/>
        <v>19.264652617366359</v>
      </c>
      <c r="L838" s="40">
        <f t="shared" si="391"/>
        <v>0</v>
      </c>
      <c r="M838" s="10">
        <f t="shared" si="408"/>
        <v>5.1516481470568625</v>
      </c>
      <c r="N838" s="10">
        <f t="shared" si="387"/>
        <v>3.8408799049960156</v>
      </c>
      <c r="O838" s="10">
        <f t="shared" si="388"/>
        <v>0.68820000000000003</v>
      </c>
      <c r="P838" s="10">
        <f t="shared" si="409"/>
        <v>11.868397908721802</v>
      </c>
      <c r="Q838" s="45">
        <f t="shared" si="410"/>
        <v>1.8816085831346741</v>
      </c>
      <c r="R838" s="4">
        <f t="shared" si="411"/>
        <v>40788.206627655971</v>
      </c>
      <c r="S838">
        <f t="shared" si="392"/>
        <v>4.0788206627655968E-5</v>
      </c>
      <c r="T838" s="44">
        <f t="shared" si="393"/>
        <v>2.0356081878543479E-3</v>
      </c>
      <c r="U838" s="45">
        <f t="shared" si="412"/>
        <v>7.2808988240697287E-2</v>
      </c>
      <c r="V838" s="45">
        <f t="shared" si="413"/>
        <v>1.2391627595965722</v>
      </c>
      <c r="W838" s="45">
        <f t="shared" si="414"/>
        <v>1.2582958282811807</v>
      </c>
      <c r="X838" s="45">
        <f t="shared" si="415"/>
        <v>-1.9133068684608512E-2</v>
      </c>
      <c r="Y838" s="45">
        <f t="shared" si="389"/>
        <v>3.2216440161120193E-2</v>
      </c>
      <c r="Z838" s="10">
        <f t="shared" si="416"/>
        <v>15.826444574816845</v>
      </c>
      <c r="AA838">
        <f t="shared" si="394"/>
        <v>5139977.6588123944</v>
      </c>
      <c r="AB838" s="10">
        <f t="shared" si="395"/>
        <v>5.139977658812394</v>
      </c>
      <c r="AC838" s="10">
        <f t="shared" si="396"/>
        <v>5.038977658812394</v>
      </c>
      <c r="AD838" s="3">
        <f t="shared" si="397"/>
        <v>730.81619417148579</v>
      </c>
      <c r="AI838" s="100">
        <f t="shared" si="398"/>
        <v>1.2582958282811807</v>
      </c>
    </row>
    <row r="839" spans="2:35">
      <c r="B839" s="39">
        <f t="shared" si="399"/>
        <v>811</v>
      </c>
      <c r="C839" s="45">
        <f t="shared" si="400"/>
        <v>23.8243405275764</v>
      </c>
      <c r="D839" s="10">
        <f t="shared" si="401"/>
        <v>0.67565947242383118</v>
      </c>
      <c r="E839" s="40">
        <f t="shared" si="402"/>
        <v>67.648681055152338</v>
      </c>
      <c r="F839" s="40">
        <f t="shared" si="403"/>
        <v>69</v>
      </c>
      <c r="G839" s="3">
        <f t="shared" si="404"/>
        <v>269.40527577939065</v>
      </c>
      <c r="H839" s="3">
        <f t="shared" si="405"/>
        <v>221.47275588995251</v>
      </c>
      <c r="I839">
        <f t="shared" si="390"/>
        <v>2.214727558899525E-4</v>
      </c>
      <c r="J839" s="4">
        <f t="shared" si="406"/>
        <v>4272.8362239434955</v>
      </c>
      <c r="K839" s="40">
        <f t="shared" si="407"/>
        <v>19.292829977094893</v>
      </c>
      <c r="L839" s="40">
        <f t="shared" si="391"/>
        <v>0</v>
      </c>
      <c r="M839" s="10">
        <f t="shared" si="408"/>
        <v>5.139977658812394</v>
      </c>
      <c r="N839" s="10">
        <f t="shared" si="387"/>
        <v>3.8408799049960156</v>
      </c>
      <c r="O839" s="10">
        <f t="shared" si="388"/>
        <v>0.68820000000000003</v>
      </c>
      <c r="P839" s="10">
        <f t="shared" si="409"/>
        <v>11.849888049943223</v>
      </c>
      <c r="Q839" s="45">
        <f t="shared" si="410"/>
        <v>1.8840876359896164</v>
      </c>
      <c r="R839" s="4">
        <f t="shared" si="411"/>
        <v>39071.428266112744</v>
      </c>
      <c r="S839">
        <f t="shared" si="392"/>
        <v>3.9071428266112744E-5</v>
      </c>
      <c r="T839" s="44">
        <f t="shared" si="393"/>
        <v>2.0373249662158912E-3</v>
      </c>
      <c r="U839" s="45">
        <f t="shared" si="412"/>
        <v>6.9744453026424555E-2</v>
      </c>
      <c r="V839" s="45">
        <f t="shared" si="413"/>
        <v>1.2361717936602983</v>
      </c>
      <c r="W839" s="45">
        <f t="shared" si="414"/>
        <v>1.2553882951795972</v>
      </c>
      <c r="X839" s="45">
        <f t="shared" si="415"/>
        <v>-1.9216501519298879E-2</v>
      </c>
      <c r="Y839" s="45">
        <f t="shared" si="389"/>
        <v>3.2168801438166771E-2</v>
      </c>
      <c r="Z839" s="10">
        <f t="shared" si="416"/>
        <v>15.789725238540029</v>
      </c>
      <c r="AA839">
        <f t="shared" si="394"/>
        <v>5128286.5986838471</v>
      </c>
      <c r="AB839" s="10">
        <f t="shared" si="395"/>
        <v>5.1282865986838475</v>
      </c>
      <c r="AC839" s="10">
        <f t="shared" si="396"/>
        <v>5.0272865986838475</v>
      </c>
      <c r="AD839" s="3">
        <f t="shared" si="397"/>
        <v>729.12060894617071</v>
      </c>
      <c r="AI839" s="100">
        <f t="shared" si="398"/>
        <v>1.2553882951795972</v>
      </c>
    </row>
    <row r="840" spans="2:35">
      <c r="B840" s="39">
        <f t="shared" si="399"/>
        <v>812</v>
      </c>
      <c r="C840" s="45">
        <f t="shared" si="400"/>
        <v>23.853717026377357</v>
      </c>
      <c r="D840" s="10">
        <f t="shared" si="401"/>
        <v>0.64628297362287412</v>
      </c>
      <c r="E840" s="40">
        <f t="shared" si="402"/>
        <v>67.707434052754252</v>
      </c>
      <c r="F840" s="40">
        <f t="shared" si="403"/>
        <v>69</v>
      </c>
      <c r="G840" s="3">
        <f t="shared" si="404"/>
        <v>269.17026378898299</v>
      </c>
      <c r="H840" s="3">
        <f t="shared" si="405"/>
        <v>221.47275588995251</v>
      </c>
      <c r="I840">
        <f t="shared" si="390"/>
        <v>2.214727558899525E-4</v>
      </c>
      <c r="J840" s="4">
        <f t="shared" si="406"/>
        <v>4279.0821637112494</v>
      </c>
      <c r="K840" s="40">
        <f t="shared" si="407"/>
        <v>19.321031819541183</v>
      </c>
      <c r="L840" s="40">
        <f t="shared" si="391"/>
        <v>0</v>
      </c>
      <c r="M840" s="10">
        <f t="shared" si="408"/>
        <v>5.1282865986838475</v>
      </c>
      <c r="N840" s="10">
        <f t="shared" si="387"/>
        <v>3.8408799049960156</v>
      </c>
      <c r="O840" s="10">
        <f t="shared" si="388"/>
        <v>0.68820000000000003</v>
      </c>
      <c r="P840" s="10">
        <f t="shared" si="409"/>
        <v>11.831332419886763</v>
      </c>
      <c r="Q840" s="45">
        <f t="shared" si="410"/>
        <v>1.8865705768586922</v>
      </c>
      <c r="R840" s="4">
        <f t="shared" si="411"/>
        <v>37356.123587651819</v>
      </c>
      <c r="S840">
        <f t="shared" si="392"/>
        <v>3.7356123587651817E-5</v>
      </c>
      <c r="T840" s="44">
        <f t="shared" si="393"/>
        <v>2.0390402708943519E-3</v>
      </c>
      <c r="U840" s="45">
        <f t="shared" si="412"/>
        <v>6.6682548410137876E-2</v>
      </c>
      <c r="V840" s="45">
        <f t="shared" si="413"/>
        <v>1.2331766150461374</v>
      </c>
      <c r="W840" s="45">
        <f t="shared" si="414"/>
        <v>1.2524756368910748</v>
      </c>
      <c r="X840" s="45">
        <f t="shared" si="415"/>
        <v>-1.929902184493737E-2</v>
      </c>
      <c r="Y840" s="45">
        <f t="shared" si="389"/>
        <v>3.2120883108094786E-2</v>
      </c>
      <c r="Z840" s="10">
        <f t="shared" si="416"/>
        <v>15.75294199265918</v>
      </c>
      <c r="AA840">
        <f t="shared" si="394"/>
        <v>5116575.1903927438</v>
      </c>
      <c r="AB840" s="10">
        <f t="shared" si="395"/>
        <v>5.1165751903927434</v>
      </c>
      <c r="AC840" s="10">
        <f t="shared" si="396"/>
        <v>5.0155751903927435</v>
      </c>
      <c r="AD840" s="3">
        <f t="shared" si="397"/>
        <v>727.42207257327686</v>
      </c>
      <c r="AI840" s="100">
        <f t="shared" si="398"/>
        <v>1.2524756368910748</v>
      </c>
    </row>
    <row r="841" spans="2:35">
      <c r="B841" s="39">
        <f t="shared" si="399"/>
        <v>813</v>
      </c>
      <c r="C841" s="45">
        <f t="shared" si="400"/>
        <v>23.883093525178314</v>
      </c>
      <c r="D841" s="10">
        <f t="shared" si="401"/>
        <v>0.61690647482191707</v>
      </c>
      <c r="E841" s="40">
        <f t="shared" si="402"/>
        <v>67.766187050356166</v>
      </c>
      <c r="F841" s="40">
        <f t="shared" si="403"/>
        <v>69</v>
      </c>
      <c r="G841" s="3">
        <f t="shared" si="404"/>
        <v>268.93525179857534</v>
      </c>
      <c r="H841" s="3">
        <f t="shared" si="405"/>
        <v>221.47275588995251</v>
      </c>
      <c r="I841">
        <f t="shared" si="390"/>
        <v>2.214727558899525E-4</v>
      </c>
      <c r="J841" s="4">
        <f t="shared" si="406"/>
        <v>4285.3335257339786</v>
      </c>
      <c r="K841" s="40">
        <f t="shared" si="407"/>
        <v>19.349258144705239</v>
      </c>
      <c r="L841" s="40">
        <f t="shared" si="391"/>
        <v>0</v>
      </c>
      <c r="M841" s="10">
        <f t="shared" si="408"/>
        <v>5.1165751903927434</v>
      </c>
      <c r="N841" s="10">
        <f t="shared" si="387"/>
        <v>3.8408799049960156</v>
      </c>
      <c r="O841" s="10">
        <f t="shared" si="388"/>
        <v>0.68820000000000003</v>
      </c>
      <c r="P841" s="10">
        <f t="shared" si="409"/>
        <v>11.812731265112161</v>
      </c>
      <c r="Q841" s="45">
        <f t="shared" si="410"/>
        <v>1.8890574275405256</v>
      </c>
      <c r="R841" s="4">
        <f t="shared" si="411"/>
        <v>35642.29641515742</v>
      </c>
      <c r="S841">
        <f t="shared" si="392"/>
        <v>3.5642296415157422E-5</v>
      </c>
      <c r="T841" s="44">
        <f t="shared" si="393"/>
        <v>2.0407540980668464E-3</v>
      </c>
      <c r="U841" s="45">
        <f t="shared" si="412"/>
        <v>6.3623281215876751E-2</v>
      </c>
      <c r="V841" s="45">
        <f t="shared" si="413"/>
        <v>1.2301772746587698</v>
      </c>
      <c r="W841" s="45">
        <f t="shared" si="414"/>
        <v>1.2495579091525904</v>
      </c>
      <c r="X841" s="45">
        <f t="shared" si="415"/>
        <v>-1.9380634493820548E-2</v>
      </c>
      <c r="Y841" s="45">
        <f t="shared" si="389"/>
        <v>3.2072686363989467E-2</v>
      </c>
      <c r="Z841" s="10">
        <f t="shared" si="416"/>
        <v>15.716095532710723</v>
      </c>
      <c r="AA841">
        <f t="shared" si="394"/>
        <v>5104843.6553907488</v>
      </c>
      <c r="AB841" s="10">
        <f t="shared" si="395"/>
        <v>5.1048436553907486</v>
      </c>
      <c r="AC841" s="10">
        <f t="shared" si="396"/>
        <v>5.0038436553907486</v>
      </c>
      <c r="AD841" s="3">
        <f t="shared" si="397"/>
        <v>725.7206171705219</v>
      </c>
      <c r="AI841" s="100">
        <f t="shared" si="398"/>
        <v>1.2495579091525904</v>
      </c>
    </row>
    <row r="842" spans="2:35">
      <c r="B842" s="39">
        <f t="shared" si="399"/>
        <v>814</v>
      </c>
      <c r="C842" s="45">
        <f t="shared" si="400"/>
        <v>23.912470023979271</v>
      </c>
      <c r="D842" s="10">
        <f t="shared" si="401"/>
        <v>0.58752997602096002</v>
      </c>
      <c r="E842" s="40">
        <f t="shared" si="402"/>
        <v>67.82494004795808</v>
      </c>
      <c r="F842" s="40">
        <f t="shared" si="403"/>
        <v>69</v>
      </c>
      <c r="G842" s="3">
        <f t="shared" si="404"/>
        <v>268.70023980816768</v>
      </c>
      <c r="H842" s="3">
        <f t="shared" si="405"/>
        <v>221.47275588995251</v>
      </c>
      <c r="I842">
        <f t="shared" si="390"/>
        <v>2.214727558899525E-4</v>
      </c>
      <c r="J842" s="4">
        <f t="shared" si="406"/>
        <v>4291.5903100116802</v>
      </c>
      <c r="K842" s="40">
        <f t="shared" si="407"/>
        <v>19.377508952587046</v>
      </c>
      <c r="L842" s="40">
        <f t="shared" si="391"/>
        <v>0</v>
      </c>
      <c r="M842" s="10">
        <f t="shared" si="408"/>
        <v>5.1048436553907486</v>
      </c>
      <c r="N842" s="10">
        <f t="shared" si="387"/>
        <v>3.8408799049960156</v>
      </c>
      <c r="O842" s="10">
        <f t="shared" si="388"/>
        <v>0.68820000000000003</v>
      </c>
      <c r="P842" s="10">
        <f t="shared" si="409"/>
        <v>11.794084828839562</v>
      </c>
      <c r="Q842" s="45">
        <f t="shared" si="410"/>
        <v>1.8915482099307901</v>
      </c>
      <c r="R842" s="4">
        <f t="shared" si="411"/>
        <v>33929.950571514921</v>
      </c>
      <c r="S842">
        <f t="shared" si="392"/>
        <v>3.3929950571514921E-5</v>
      </c>
      <c r="T842" s="44">
        <f t="shared" si="393"/>
        <v>2.0424664439104888E-3</v>
      </c>
      <c r="U842" s="45">
        <f t="shared" si="412"/>
        <v>6.0566658267682712E-2</v>
      </c>
      <c r="V842" s="45">
        <f t="shared" si="413"/>
        <v>1.2271738230289579</v>
      </c>
      <c r="W842" s="45">
        <f t="shared" si="414"/>
        <v>1.2466351671356186</v>
      </c>
      <c r="X842" s="45">
        <f t="shared" si="415"/>
        <v>-1.9461344106660672E-2</v>
      </c>
      <c r="Y842" s="45">
        <f t="shared" si="389"/>
        <v>3.2024212390797717E-2</v>
      </c>
      <c r="Z842" s="10">
        <f t="shared" si="416"/>
        <v>15.679186547361059</v>
      </c>
      <c r="AA842">
        <f t="shared" si="394"/>
        <v>5093092.2129421821</v>
      </c>
      <c r="AB842" s="10">
        <f t="shared" si="395"/>
        <v>5.0930922129421825</v>
      </c>
      <c r="AC842" s="10">
        <f t="shared" si="396"/>
        <v>4.9920922129421825</v>
      </c>
      <c r="AD842" s="3">
        <f t="shared" si="397"/>
        <v>724.01627453838751</v>
      </c>
      <c r="AI842" s="100">
        <f t="shared" si="398"/>
        <v>1.2466351671356186</v>
      </c>
    </row>
    <row r="843" spans="2:35">
      <c r="B843" s="39">
        <f t="shared" si="399"/>
        <v>815</v>
      </c>
      <c r="C843" s="45">
        <f t="shared" si="400"/>
        <v>23.941846522780228</v>
      </c>
      <c r="D843" s="10">
        <f t="shared" si="401"/>
        <v>0.55815347722000297</v>
      </c>
      <c r="E843" s="40">
        <f t="shared" si="402"/>
        <v>67.883693045559994</v>
      </c>
      <c r="F843" s="40">
        <f t="shared" si="403"/>
        <v>69</v>
      </c>
      <c r="G843" s="3">
        <f t="shared" si="404"/>
        <v>268.46522781776002</v>
      </c>
      <c r="H843" s="3">
        <f t="shared" si="405"/>
        <v>221.47275588995251</v>
      </c>
      <c r="I843">
        <f t="shared" si="390"/>
        <v>2.214727558899525E-4</v>
      </c>
      <c r="J843" s="4">
        <f t="shared" si="406"/>
        <v>4297.8525165443571</v>
      </c>
      <c r="K843" s="40">
        <f t="shared" si="407"/>
        <v>19.40578424318662</v>
      </c>
      <c r="L843" s="40">
        <f t="shared" si="391"/>
        <v>0</v>
      </c>
      <c r="M843" s="10">
        <f t="shared" si="408"/>
        <v>5.0930922129421825</v>
      </c>
      <c r="N843" s="10">
        <f t="shared" si="387"/>
        <v>3.8408799049960156</v>
      </c>
      <c r="O843" s="10">
        <f t="shared" si="388"/>
        <v>0.68820000000000003</v>
      </c>
      <c r="P843" s="10">
        <f t="shared" si="409"/>
        <v>11.775393351072806</v>
      </c>
      <c r="Q843" s="45">
        <f t="shared" si="410"/>
        <v>1.8940429460236852</v>
      </c>
      <c r="R843" s="4">
        <f t="shared" si="411"/>
        <v>32219.089879608742</v>
      </c>
      <c r="S843">
        <f t="shared" si="392"/>
        <v>3.2219089879608745E-5</v>
      </c>
      <c r="T843" s="44">
        <f t="shared" si="393"/>
        <v>2.0441773046023948E-3</v>
      </c>
      <c r="U843" s="45">
        <f t="shared" si="412"/>
        <v>5.7512686389595585E-2</v>
      </c>
      <c r="V843" s="45">
        <f t="shared" si="413"/>
        <v>1.224166310330272</v>
      </c>
      <c r="W843" s="45">
        <f t="shared" si="414"/>
        <v>1.2437074654666882</v>
      </c>
      <c r="X843" s="45">
        <f t="shared" si="415"/>
        <v>-1.9541155136416188E-2</v>
      </c>
      <c r="Y843" s="45">
        <f t="shared" si="389"/>
        <v>3.197546236578204E-2</v>
      </c>
      <c r="Z843" s="10">
        <f t="shared" si="416"/>
        <v>15.642215718661188</v>
      </c>
      <c r="AA843">
        <f t="shared" si="394"/>
        <v>5081321.0802050875</v>
      </c>
      <c r="AB843" s="10">
        <f t="shared" si="395"/>
        <v>5.0813210802050879</v>
      </c>
      <c r="AC843" s="10">
        <f t="shared" si="396"/>
        <v>4.9803210802050879</v>
      </c>
      <c r="AD843" s="3">
        <f t="shared" si="397"/>
        <v>722.30907617187631</v>
      </c>
      <c r="AI843" s="100">
        <f t="shared" si="398"/>
        <v>1.2437074654666882</v>
      </c>
    </row>
    <row r="844" spans="2:35">
      <c r="B844" s="39">
        <f t="shared" si="399"/>
        <v>816</v>
      </c>
      <c r="C844" s="45">
        <f t="shared" si="400"/>
        <v>23.971223021581185</v>
      </c>
      <c r="D844" s="10">
        <f t="shared" si="401"/>
        <v>0.52877697841904592</v>
      </c>
      <c r="E844" s="40">
        <f t="shared" si="402"/>
        <v>67.942446043161908</v>
      </c>
      <c r="F844" s="40">
        <f t="shared" si="403"/>
        <v>69</v>
      </c>
      <c r="G844" s="3">
        <f t="shared" si="404"/>
        <v>268.23021582735237</v>
      </c>
      <c r="H844" s="3">
        <f t="shared" si="405"/>
        <v>221.47275588995251</v>
      </c>
      <c r="I844">
        <f t="shared" si="390"/>
        <v>2.214727558899525E-4</v>
      </c>
      <c r="J844" s="4">
        <f t="shared" si="406"/>
        <v>4304.1201453320073</v>
      </c>
      <c r="K844" s="40">
        <f t="shared" si="407"/>
        <v>19.434084016503952</v>
      </c>
      <c r="L844" s="40">
        <f t="shared" si="391"/>
        <v>0</v>
      </c>
      <c r="M844" s="10">
        <f t="shared" si="408"/>
        <v>5.0813210802050879</v>
      </c>
      <c r="N844" s="10">
        <f t="shared" si="387"/>
        <v>3.8408799049960156</v>
      </c>
      <c r="O844" s="10">
        <f t="shared" si="388"/>
        <v>0.68820000000000003</v>
      </c>
      <c r="P844" s="10">
        <f t="shared" si="409"/>
        <v>11.7566570687208</v>
      </c>
      <c r="Q844" s="45">
        <f t="shared" si="410"/>
        <v>1.8965416579134038</v>
      </c>
      <c r="R844" s="4">
        <f t="shared" si="411"/>
        <v>30509.718162323876</v>
      </c>
      <c r="S844">
        <f t="shared" si="392"/>
        <v>3.0509718162323876E-5</v>
      </c>
      <c r="T844" s="44">
        <f t="shared" si="393"/>
        <v>2.0458866763196797E-3</v>
      </c>
      <c r="U844" s="45">
        <f t="shared" si="412"/>
        <v>5.4461372405656232E-2</v>
      </c>
      <c r="V844" s="45">
        <f t="shared" si="413"/>
        <v>1.2211547863899441</v>
      </c>
      <c r="W844" s="45">
        <f t="shared" si="414"/>
        <v>1.2407748582475808</v>
      </c>
      <c r="X844" s="45">
        <f t="shared" si="415"/>
        <v>-1.9620071857636701E-2</v>
      </c>
      <c r="Y844" s="45">
        <f t="shared" si="389"/>
        <v>3.1926437458954231E-2</v>
      </c>
      <c r="Z844" s="10">
        <f t="shared" si="416"/>
        <v>15.605183722290183</v>
      </c>
      <c r="AA844">
        <f t="shared" si="394"/>
        <v>5069530.4723087549</v>
      </c>
      <c r="AB844" s="10">
        <f t="shared" si="395"/>
        <v>5.0695304723087551</v>
      </c>
      <c r="AC844" s="10">
        <f t="shared" si="396"/>
        <v>4.9685304723087551</v>
      </c>
      <c r="AD844" s="3">
        <f t="shared" si="397"/>
        <v>720.59905327175557</v>
      </c>
      <c r="AI844" s="100">
        <f t="shared" si="398"/>
        <v>1.2407748582475808</v>
      </c>
    </row>
    <row r="845" spans="2:35">
      <c r="B845" s="39">
        <f t="shared" si="399"/>
        <v>817</v>
      </c>
      <c r="C845" s="45">
        <f t="shared" si="400"/>
        <v>24.000599520382142</v>
      </c>
      <c r="D845" s="10">
        <f t="shared" si="401"/>
        <v>0.49940047961808887</v>
      </c>
      <c r="E845" s="40">
        <f t="shared" si="402"/>
        <v>68.001199040763822</v>
      </c>
      <c r="F845" s="40">
        <f t="shared" si="403"/>
        <v>69</v>
      </c>
      <c r="G845" s="3">
        <f t="shared" si="404"/>
        <v>267.99520383694471</v>
      </c>
      <c r="H845" s="3">
        <f t="shared" si="405"/>
        <v>221.47275588995251</v>
      </c>
      <c r="I845">
        <f t="shared" si="390"/>
        <v>2.214727558899525E-4</v>
      </c>
      <c r="J845" s="4">
        <f t="shared" si="406"/>
        <v>4310.3931963746318</v>
      </c>
      <c r="K845" s="40">
        <f t="shared" si="407"/>
        <v>19.462408272539044</v>
      </c>
      <c r="L845" s="40">
        <f t="shared" si="391"/>
        <v>0</v>
      </c>
      <c r="M845" s="10">
        <f t="shared" si="408"/>
        <v>5.0695304723087551</v>
      </c>
      <c r="N845" s="10">
        <f t="shared" si="387"/>
        <v>3.8408799049960156</v>
      </c>
      <c r="O845" s="10">
        <f t="shared" si="388"/>
        <v>0.68820000000000003</v>
      </c>
      <c r="P845" s="10">
        <f t="shared" si="409"/>
        <v>11.737876215713692</v>
      </c>
      <c r="Q845" s="45">
        <f t="shared" si="410"/>
        <v>1.899044367795591</v>
      </c>
      <c r="R845" s="4">
        <f t="shared" si="411"/>
        <v>28801.839242545127</v>
      </c>
      <c r="S845">
        <f t="shared" si="392"/>
        <v>2.8801839242545129E-5</v>
      </c>
      <c r="T845" s="44">
        <f t="shared" si="393"/>
        <v>2.0475945552394588E-3</v>
      </c>
      <c r="U845" s="45">
        <f t="shared" si="412"/>
        <v>5.1412723139905178E-2</v>
      </c>
      <c r="V845" s="45">
        <f t="shared" si="413"/>
        <v>1.2181393007033907</v>
      </c>
      <c r="W845" s="45">
        <f t="shared" si="414"/>
        <v>1.2378373990746427</v>
      </c>
      <c r="X845" s="45">
        <f t="shared" si="415"/>
        <v>-1.9698098371252026E-2</v>
      </c>
      <c r="Y845" s="45">
        <f t="shared" si="389"/>
        <v>3.1877138833500199E-2</v>
      </c>
      <c r="Z845" s="10">
        <f t="shared" si="416"/>
        <v>15.568091227793035</v>
      </c>
      <c r="AA845">
        <f t="shared" si="394"/>
        <v>5057720.6024294412</v>
      </c>
      <c r="AB845" s="10">
        <f t="shared" si="395"/>
        <v>5.0577206024294412</v>
      </c>
      <c r="AC845" s="10">
        <f t="shared" si="396"/>
        <v>4.9567206024294412</v>
      </c>
      <c r="AD845" s="3">
        <f t="shared" si="397"/>
        <v>718.88623675553902</v>
      </c>
      <c r="AI845" s="100">
        <f t="shared" si="398"/>
        <v>1.2378373990746427</v>
      </c>
    </row>
    <row r="846" spans="2:35">
      <c r="B846" s="39">
        <f t="shared" si="399"/>
        <v>818</v>
      </c>
      <c r="C846" s="45">
        <f t="shared" si="400"/>
        <v>24.029976019183099</v>
      </c>
      <c r="D846" s="10">
        <f t="shared" si="401"/>
        <v>0.47002398081713181</v>
      </c>
      <c r="E846" s="40">
        <f t="shared" si="402"/>
        <v>68.059952038365736</v>
      </c>
      <c r="F846" s="40">
        <f t="shared" si="403"/>
        <v>69</v>
      </c>
      <c r="G846" s="3">
        <f t="shared" si="404"/>
        <v>267.76019184653705</v>
      </c>
      <c r="H846" s="3">
        <f t="shared" si="405"/>
        <v>221.47275588995251</v>
      </c>
      <c r="I846">
        <f t="shared" si="390"/>
        <v>2.214727558899525E-4</v>
      </c>
      <c r="J846" s="4">
        <f t="shared" si="406"/>
        <v>4316.6716696722297</v>
      </c>
      <c r="K846" s="40">
        <f t="shared" si="407"/>
        <v>19.490757011291894</v>
      </c>
      <c r="L846" s="40">
        <f t="shared" si="391"/>
        <v>0</v>
      </c>
      <c r="M846" s="10">
        <f t="shared" si="408"/>
        <v>5.0577206024294412</v>
      </c>
      <c r="N846" s="10">
        <f t="shared" si="387"/>
        <v>3.8408799049960156</v>
      </c>
      <c r="O846" s="10">
        <f t="shared" si="388"/>
        <v>0.68820000000000003</v>
      </c>
      <c r="P846" s="10">
        <f t="shared" si="409"/>
        <v>11.719051023116538</v>
      </c>
      <c r="Q846" s="45">
        <f t="shared" si="410"/>
        <v>1.9015510979687946</v>
      </c>
      <c r="R846" s="4">
        <f t="shared" si="411"/>
        <v>27095.456943157107</v>
      </c>
      <c r="S846">
        <f t="shared" si="392"/>
        <v>2.7095456943157107E-5</v>
      </c>
      <c r="T846" s="44">
        <f t="shared" si="393"/>
        <v>2.0493009375388469E-3</v>
      </c>
      <c r="U846" s="45">
        <f t="shared" si="412"/>
        <v>4.8366745416382598E-2</v>
      </c>
      <c r="V846" s="45">
        <f t="shared" si="413"/>
        <v>1.2151199024464019</v>
      </c>
      <c r="W846" s="45">
        <f t="shared" si="414"/>
        <v>1.2348951410576507</v>
      </c>
      <c r="X846" s="45">
        <f t="shared" si="415"/>
        <v>-1.9775238611248858E-2</v>
      </c>
      <c r="Y846" s="45">
        <f t="shared" si="389"/>
        <v>3.1827567646191081E-2</v>
      </c>
      <c r="Z846" s="10">
        <f t="shared" si="416"/>
        <v>15.530938898810586</v>
      </c>
      <c r="AA846">
        <f t="shared" si="394"/>
        <v>5045891.6818635864</v>
      </c>
      <c r="AB846" s="10">
        <f t="shared" si="395"/>
        <v>5.0458916818635862</v>
      </c>
      <c r="AC846" s="10">
        <f t="shared" si="396"/>
        <v>4.9448916818635862</v>
      </c>
      <c r="AD846" s="3">
        <f t="shared" si="397"/>
        <v>717.1706572681054</v>
      </c>
      <c r="AI846" s="100">
        <f t="shared" si="398"/>
        <v>1.2348951410576507</v>
      </c>
    </row>
    <row r="847" spans="2:35">
      <c r="B847" s="39">
        <f t="shared" si="399"/>
        <v>819</v>
      </c>
      <c r="C847" s="45">
        <f t="shared" si="400"/>
        <v>24.059352517984056</v>
      </c>
      <c r="D847" s="10">
        <f t="shared" si="401"/>
        <v>0.44064748201617476</v>
      </c>
      <c r="E847" s="40">
        <f t="shared" si="402"/>
        <v>68.11870503596765</v>
      </c>
      <c r="F847" s="40">
        <f t="shared" si="403"/>
        <v>69</v>
      </c>
      <c r="G847" s="3">
        <f t="shared" si="404"/>
        <v>267.5251798561294</v>
      </c>
      <c r="H847" s="3">
        <f t="shared" si="405"/>
        <v>221.47275588995251</v>
      </c>
      <c r="I847">
        <f t="shared" si="390"/>
        <v>2.214727558899525E-4</v>
      </c>
      <c r="J847" s="4">
        <f t="shared" si="406"/>
        <v>4322.9555652248018</v>
      </c>
      <c r="K847" s="40">
        <f t="shared" si="407"/>
        <v>19.519130232762503</v>
      </c>
      <c r="L847" s="40">
        <f t="shared" si="391"/>
        <v>0</v>
      </c>
      <c r="M847" s="10">
        <f t="shared" si="408"/>
        <v>5.0458916818635862</v>
      </c>
      <c r="N847" s="10">
        <f t="shared" si="387"/>
        <v>3.8408799049960156</v>
      </c>
      <c r="O847" s="10">
        <f t="shared" si="388"/>
        <v>0.68820000000000003</v>
      </c>
      <c r="P847" s="10">
        <f t="shared" si="409"/>
        <v>11.700181719239346</v>
      </c>
      <c r="Q847" s="45">
        <f t="shared" si="410"/>
        <v>1.9040618708359076</v>
      </c>
      <c r="R847" s="4">
        <f t="shared" si="411"/>
        <v>25390.575087044803</v>
      </c>
      <c r="S847">
        <f t="shared" si="392"/>
        <v>2.5390575087044804E-5</v>
      </c>
      <c r="T847" s="44">
        <f t="shared" si="393"/>
        <v>2.0510058193949588E-3</v>
      </c>
      <c r="U847" s="45">
        <f t="shared" si="412"/>
        <v>4.5323446059129323E-2</v>
      </c>
      <c r="V847" s="45">
        <f t="shared" si="413"/>
        <v>1.2120966404868847</v>
      </c>
      <c r="W847" s="45">
        <f t="shared" si="414"/>
        <v>1.2319481368380523</v>
      </c>
      <c r="X847" s="45">
        <f t="shared" si="415"/>
        <v>-1.9851496351167564E-2</v>
      </c>
      <c r="Y847" s="45">
        <f t="shared" si="389"/>
        <v>3.177772504778098E-2</v>
      </c>
      <c r="Z847" s="10">
        <f t="shared" si="416"/>
        <v>15.493727393301752</v>
      </c>
      <c r="AA847">
        <f t="shared" si="394"/>
        <v>5034043.9200985627</v>
      </c>
      <c r="AB847" s="10">
        <f t="shared" si="395"/>
        <v>5.0340439200985632</v>
      </c>
      <c r="AC847" s="10">
        <f t="shared" si="396"/>
        <v>4.9330439200985632</v>
      </c>
      <c r="AD847" s="3">
        <f t="shared" si="397"/>
        <v>715.45234519195981</v>
      </c>
      <c r="AI847" s="100">
        <f t="shared" si="398"/>
        <v>1.2319481368380523</v>
      </c>
    </row>
    <row r="848" spans="2:35">
      <c r="B848" s="39">
        <f t="shared" si="399"/>
        <v>820</v>
      </c>
      <c r="C848" s="45">
        <f t="shared" si="400"/>
        <v>24.088729016785013</v>
      </c>
      <c r="D848" s="10">
        <f t="shared" si="401"/>
        <v>0.41127098321521771</v>
      </c>
      <c r="E848" s="40">
        <f t="shared" si="402"/>
        <v>68.177458033569565</v>
      </c>
      <c r="F848" s="40">
        <f t="shared" si="403"/>
        <v>69</v>
      </c>
      <c r="G848" s="3">
        <f t="shared" si="404"/>
        <v>267.29016786572174</v>
      </c>
      <c r="H848" s="3">
        <f t="shared" si="405"/>
        <v>221.47275588995251</v>
      </c>
      <c r="I848">
        <f t="shared" si="390"/>
        <v>2.214727558899525E-4</v>
      </c>
      <c r="J848" s="4">
        <f t="shared" si="406"/>
        <v>4329.2448830323483</v>
      </c>
      <c r="K848" s="40">
        <f t="shared" si="407"/>
        <v>19.547527936950875</v>
      </c>
      <c r="L848" s="40">
        <f t="shared" si="391"/>
        <v>0</v>
      </c>
      <c r="M848" s="10">
        <f t="shared" si="408"/>
        <v>5.0340439200985632</v>
      </c>
      <c r="N848" s="10">
        <f t="shared" si="387"/>
        <v>3.8408799049960156</v>
      </c>
      <c r="O848" s="10">
        <f t="shared" si="388"/>
        <v>0.68820000000000003</v>
      </c>
      <c r="P848" s="10">
        <f t="shared" si="409"/>
        <v>11.681268529743573</v>
      </c>
      <c r="Q848" s="45">
        <f t="shared" si="410"/>
        <v>1.9065767089056052</v>
      </c>
      <c r="R848" s="4">
        <f t="shared" si="411"/>
        <v>23687.197497092831</v>
      </c>
      <c r="S848">
        <f t="shared" si="392"/>
        <v>2.3687197497092833E-5</v>
      </c>
      <c r="T848" s="44">
        <f t="shared" si="393"/>
        <v>2.0527091969849108E-3</v>
      </c>
      <c r="U848" s="45">
        <f t="shared" si="412"/>
        <v>4.2282831892185561E-2</v>
      </c>
      <c r="V848" s="45">
        <f t="shared" si="413"/>
        <v>1.2090695633971578</v>
      </c>
      <c r="W848" s="45">
        <f t="shared" si="414"/>
        <v>1.2289964386065915</v>
      </c>
      <c r="X848" s="45">
        <f t="shared" si="415"/>
        <v>-1.9926875209433703E-2</v>
      </c>
      <c r="Y848" s="45">
        <f t="shared" si="389"/>
        <v>3.1727612183394184E-2</v>
      </c>
      <c r="Z848" s="10">
        <f t="shared" si="416"/>
        <v>15.456457363759457</v>
      </c>
      <c r="AA848">
        <f t="shared" si="394"/>
        <v>5022177.5248814253</v>
      </c>
      <c r="AB848" s="10">
        <f t="shared" si="395"/>
        <v>5.0221775248814255</v>
      </c>
      <c r="AC848" s="10">
        <f t="shared" si="396"/>
        <v>4.9211775248814256</v>
      </c>
      <c r="AD848" s="3">
        <f t="shared" si="397"/>
        <v>713.73133065720458</v>
      </c>
      <c r="AI848" s="100">
        <f t="shared" si="398"/>
        <v>1.2289964386065915</v>
      </c>
    </row>
    <row r="849" spans="2:35">
      <c r="B849" s="39">
        <f t="shared" si="399"/>
        <v>821</v>
      </c>
      <c r="C849" s="45">
        <f t="shared" si="400"/>
        <v>24.11810551558597</v>
      </c>
      <c r="D849" s="10">
        <f t="shared" si="401"/>
        <v>0.38189448441426066</v>
      </c>
      <c r="E849" s="40">
        <f t="shared" si="402"/>
        <v>68.236211031171479</v>
      </c>
      <c r="F849" s="40">
        <f t="shared" si="403"/>
        <v>69</v>
      </c>
      <c r="G849" s="3">
        <f t="shared" si="404"/>
        <v>267.05515587531409</v>
      </c>
      <c r="H849" s="3">
        <f t="shared" si="405"/>
        <v>221.47275588995251</v>
      </c>
      <c r="I849">
        <f t="shared" si="390"/>
        <v>2.214727558899525E-4</v>
      </c>
      <c r="J849" s="4">
        <f t="shared" si="406"/>
        <v>4335.5396230948681</v>
      </c>
      <c r="K849" s="40">
        <f t="shared" si="407"/>
        <v>19.575950123857005</v>
      </c>
      <c r="L849" s="40">
        <f t="shared" si="391"/>
        <v>0</v>
      </c>
      <c r="M849" s="10">
        <f t="shared" si="408"/>
        <v>5.0221775248814255</v>
      </c>
      <c r="N849" s="10">
        <f t="shared" si="387"/>
        <v>3.8408799049960156</v>
      </c>
      <c r="O849" s="10">
        <f t="shared" si="388"/>
        <v>0.68820000000000003</v>
      </c>
      <c r="P849" s="10">
        <f t="shared" si="409"/>
        <v>11.662311677745794</v>
      </c>
      <c r="Q849" s="45">
        <f t="shared" si="410"/>
        <v>1.9090956347937731</v>
      </c>
      <c r="R849" s="4">
        <f t="shared" si="411"/>
        <v>21985.327996186181</v>
      </c>
      <c r="S849">
        <f t="shared" si="392"/>
        <v>2.1985327996186181E-5</v>
      </c>
      <c r="T849" s="44">
        <f t="shared" si="393"/>
        <v>2.0544110664858176E-3</v>
      </c>
      <c r="U849" s="45">
        <f t="shared" si="412"/>
        <v>3.9244909739592139E-2</v>
      </c>
      <c r="V849" s="45">
        <f t="shared" si="413"/>
        <v>1.2060387194650517</v>
      </c>
      <c r="W849" s="45">
        <f t="shared" si="414"/>
        <v>1.2260400981204382</v>
      </c>
      <c r="X849" s="45">
        <f t="shared" si="415"/>
        <v>-2.0001378655386537E-2</v>
      </c>
      <c r="Y849" s="45">
        <f t="shared" si="389"/>
        <v>3.1677230192900079E-2</v>
      </c>
      <c r="Z849" s="10">
        <f t="shared" si="416"/>
        <v>15.419129457419498</v>
      </c>
      <c r="AA849">
        <f t="shared" si="394"/>
        <v>5010292.7022854136</v>
      </c>
      <c r="AB849" s="10">
        <f t="shared" si="395"/>
        <v>5.0102927022854136</v>
      </c>
      <c r="AC849" s="10">
        <f t="shared" si="396"/>
        <v>4.9092927022854136</v>
      </c>
      <c r="AD849" s="3">
        <f t="shared" si="397"/>
        <v>712.00764355118395</v>
      </c>
      <c r="AI849" s="100">
        <f t="shared" si="398"/>
        <v>1.2260400981204382</v>
      </c>
    </row>
    <row r="850" spans="2:35">
      <c r="B850" s="39">
        <f t="shared" si="399"/>
        <v>822</v>
      </c>
      <c r="C850" s="45">
        <f t="shared" si="400"/>
        <v>24.147482014386927</v>
      </c>
      <c r="D850" s="10">
        <f t="shared" si="401"/>
        <v>0.35251798561330361</v>
      </c>
      <c r="E850" s="40">
        <f t="shared" si="402"/>
        <v>68.294964028773393</v>
      </c>
      <c r="F850" s="40">
        <f t="shared" si="403"/>
        <v>69</v>
      </c>
      <c r="G850" s="3">
        <f t="shared" si="404"/>
        <v>266.82014388490643</v>
      </c>
      <c r="H850" s="3">
        <f t="shared" si="405"/>
        <v>221.47275588995251</v>
      </c>
      <c r="I850">
        <f t="shared" si="390"/>
        <v>2.214727558899525E-4</v>
      </c>
      <c r="J850" s="4">
        <f t="shared" si="406"/>
        <v>4341.8397854123623</v>
      </c>
      <c r="K850" s="40">
        <f t="shared" si="407"/>
        <v>19.604396793480895</v>
      </c>
      <c r="L850" s="40">
        <f t="shared" si="391"/>
        <v>0</v>
      </c>
      <c r="M850" s="10">
        <f t="shared" si="408"/>
        <v>5.0102927022854136</v>
      </c>
      <c r="N850" s="10">
        <f t="shared" si="387"/>
        <v>3.8408799049960156</v>
      </c>
      <c r="O850" s="10">
        <f t="shared" si="388"/>
        <v>0.68820000000000003</v>
      </c>
      <c r="P850" s="10">
        <f t="shared" si="409"/>
        <v>11.643311383918126</v>
      </c>
      <c r="Q850" s="45">
        <f t="shared" si="410"/>
        <v>1.9116186712249323</v>
      </c>
      <c r="R850" s="4">
        <f t="shared" si="411"/>
        <v>20284.970407209654</v>
      </c>
      <c r="S850">
        <f t="shared" si="392"/>
        <v>2.0284970407209654E-5</v>
      </c>
      <c r="T850" s="44">
        <f t="shared" si="393"/>
        <v>2.0561114240747942E-3</v>
      </c>
      <c r="U850" s="45">
        <f t="shared" si="412"/>
        <v>3.6209686425389589E-2</v>
      </c>
      <c r="V850" s="45">
        <f t="shared" si="413"/>
        <v>1.2030041567049283</v>
      </c>
      <c r="W850" s="45">
        <f t="shared" si="414"/>
        <v>1.2230791667197547</v>
      </c>
      <c r="X850" s="45">
        <f t="shared" si="415"/>
        <v>-2.0075010014826367E-2</v>
      </c>
      <c r="Y850" s="45">
        <f t="shared" si="389"/>
        <v>3.1626580211276782E-2</v>
      </c>
      <c r="Z850" s="10">
        <f t="shared" si="416"/>
        <v>15.381744316462841</v>
      </c>
      <c r="AA850">
        <f t="shared" si="394"/>
        <v>4998389.6567743644</v>
      </c>
      <c r="AB850" s="10">
        <f t="shared" si="395"/>
        <v>4.9983896567743642</v>
      </c>
      <c r="AC850" s="10">
        <f t="shared" si="396"/>
        <v>4.8973896567743642</v>
      </c>
      <c r="AD850" s="3">
        <f t="shared" si="397"/>
        <v>710.28131352782657</v>
      </c>
      <c r="AI850" s="100">
        <f t="shared" si="398"/>
        <v>1.2230791667197547</v>
      </c>
    </row>
    <row r="851" spans="2:35">
      <c r="B851" s="39">
        <f t="shared" si="399"/>
        <v>823</v>
      </c>
      <c r="C851" s="45">
        <f t="shared" si="400"/>
        <v>24.176858513187884</v>
      </c>
      <c r="D851" s="10">
        <f t="shared" si="401"/>
        <v>0.32314148681234656</v>
      </c>
      <c r="E851" s="40">
        <f t="shared" si="402"/>
        <v>68.353717026375307</v>
      </c>
      <c r="F851" s="40">
        <f t="shared" si="403"/>
        <v>69</v>
      </c>
      <c r="G851" s="3">
        <f t="shared" si="404"/>
        <v>266.58513189449877</v>
      </c>
      <c r="H851" s="3">
        <f t="shared" si="405"/>
        <v>221.47275588995251</v>
      </c>
      <c r="I851">
        <f t="shared" si="390"/>
        <v>2.214727558899525E-4</v>
      </c>
      <c r="J851" s="4">
        <f t="shared" si="406"/>
        <v>4348.1453699848298</v>
      </c>
      <c r="K851" s="40">
        <f t="shared" si="407"/>
        <v>19.632867945822543</v>
      </c>
      <c r="L851" s="40">
        <f t="shared" si="391"/>
        <v>0</v>
      </c>
      <c r="M851" s="10">
        <f t="shared" si="408"/>
        <v>4.9983896567743642</v>
      </c>
      <c r="N851" s="10">
        <f t="shared" si="387"/>
        <v>3.8408799049960156</v>
      </c>
      <c r="O851" s="10">
        <f t="shared" si="388"/>
        <v>0.68820000000000003</v>
      </c>
      <c r="P851" s="10">
        <f t="shared" si="409"/>
        <v>11.624267866585658</v>
      </c>
      <c r="Q851" s="45">
        <f t="shared" si="410"/>
        <v>1.9141458410336565</v>
      </c>
      <c r="R851" s="4">
        <f t="shared" si="411"/>
        <v>18586.128553048053</v>
      </c>
      <c r="S851">
        <f t="shared" si="392"/>
        <v>1.8586128553048053E-5</v>
      </c>
      <c r="T851" s="44">
        <f t="shared" si="393"/>
        <v>2.0578102659289557E-3</v>
      </c>
      <c r="U851" s="45">
        <f t="shared" si="412"/>
        <v>3.3177168773618426E-2</v>
      </c>
      <c r="V851" s="45">
        <f t="shared" si="413"/>
        <v>1.199965922868536</v>
      </c>
      <c r="W851" s="45">
        <f t="shared" si="414"/>
        <v>1.220113695343745</v>
      </c>
      <c r="X851" s="45">
        <f t="shared" si="415"/>
        <v>-2.0147772475209047E-2</v>
      </c>
      <c r="Y851" s="45">
        <f t="shared" si="389"/>
        <v>3.1575663368964391E-2</v>
      </c>
      <c r="Z851" s="10">
        <f t="shared" si="416"/>
        <v>15.344302578211803</v>
      </c>
      <c r="AA851">
        <f t="shared" si="394"/>
        <v>4986468.5912651662</v>
      </c>
      <c r="AB851" s="10">
        <f t="shared" si="395"/>
        <v>4.9864685912651661</v>
      </c>
      <c r="AC851" s="10">
        <f t="shared" si="396"/>
        <v>4.8854685912651661</v>
      </c>
      <c r="AD851" s="3">
        <f t="shared" si="397"/>
        <v>708.55237001670287</v>
      </c>
      <c r="AI851" s="100">
        <f t="shared" si="398"/>
        <v>1.220113695343745</v>
      </c>
    </row>
    <row r="852" spans="2:35">
      <c r="B852" s="39">
        <f t="shared" si="399"/>
        <v>824</v>
      </c>
      <c r="C852" s="45">
        <f t="shared" si="400"/>
        <v>24.206235011988841</v>
      </c>
      <c r="D852" s="10">
        <f t="shared" si="401"/>
        <v>0.29376498801138951</v>
      </c>
      <c r="E852" s="40">
        <f t="shared" si="402"/>
        <v>68.412470023977221</v>
      </c>
      <c r="F852" s="40">
        <f t="shared" si="403"/>
        <v>69</v>
      </c>
      <c r="G852" s="3">
        <f t="shared" si="404"/>
        <v>266.35011990409112</v>
      </c>
      <c r="H852" s="3">
        <f t="shared" si="405"/>
        <v>221.47275588995251</v>
      </c>
      <c r="I852">
        <f t="shared" si="390"/>
        <v>2.214727558899525E-4</v>
      </c>
      <c r="J852" s="4">
        <f t="shared" si="406"/>
        <v>4354.4563768122716</v>
      </c>
      <c r="K852" s="40">
        <f t="shared" si="407"/>
        <v>19.661363580881954</v>
      </c>
      <c r="L852" s="40">
        <f t="shared" si="391"/>
        <v>0</v>
      </c>
      <c r="M852" s="10">
        <f t="shared" si="408"/>
        <v>4.9864685912651661</v>
      </c>
      <c r="N852" s="10">
        <f t="shared" si="387"/>
        <v>3.8408799049960156</v>
      </c>
      <c r="O852" s="10">
        <f t="shared" si="388"/>
        <v>0.68820000000000003</v>
      </c>
      <c r="P852" s="10">
        <f t="shared" si="409"/>
        <v>11.605181341821114</v>
      </c>
      <c r="Q852" s="45">
        <f t="shared" si="410"/>
        <v>1.9166771671659846</v>
      </c>
      <c r="R852" s="4">
        <f t="shared" si="411"/>
        <v>16888.806256585987</v>
      </c>
      <c r="S852">
        <f t="shared" si="392"/>
        <v>1.6888806256585988E-5</v>
      </c>
      <c r="T852" s="44">
        <f t="shared" si="393"/>
        <v>2.0595075882254179E-3</v>
      </c>
      <c r="U852" s="45">
        <f t="shared" si="412"/>
        <v>3.0147363608318819E-2</v>
      </c>
      <c r="V852" s="45">
        <f t="shared" si="413"/>
        <v>1.196924065455389</v>
      </c>
      <c r="W852" s="45">
        <f t="shared" si="414"/>
        <v>1.2171437345462119</v>
      </c>
      <c r="X852" s="45">
        <f t="shared" si="415"/>
        <v>-2.0219669090822956E-2</v>
      </c>
      <c r="Y852" s="45">
        <f t="shared" si="389"/>
        <v>3.1524480792207765E-2</v>
      </c>
      <c r="Z852" s="10">
        <f t="shared" si="416"/>
        <v>15.306804875320196</v>
      </c>
      <c r="AA852">
        <f t="shared" si="394"/>
        <v>4974529.7071883064</v>
      </c>
      <c r="AB852" s="10">
        <f t="shared" si="395"/>
        <v>4.9745297071883066</v>
      </c>
      <c r="AC852" s="10">
        <f t="shared" si="396"/>
        <v>4.8735297071883066</v>
      </c>
      <c r="AD852" s="3">
        <f t="shared" si="397"/>
        <v>706.82084223180664</v>
      </c>
      <c r="AI852" s="100">
        <f t="shared" si="398"/>
        <v>1.2171437345462119</v>
      </c>
    </row>
    <row r="853" spans="2:35">
      <c r="B853" s="39">
        <f t="shared" si="399"/>
        <v>825</v>
      </c>
      <c r="C853" s="45">
        <f t="shared" si="400"/>
        <v>24.235611510789798</v>
      </c>
      <c r="D853" s="10">
        <f t="shared" si="401"/>
        <v>0.26438848921043245</v>
      </c>
      <c r="E853" s="40">
        <f t="shared" si="402"/>
        <v>68.471223021579135</v>
      </c>
      <c r="F853" s="40">
        <f t="shared" si="403"/>
        <v>69</v>
      </c>
      <c r="G853" s="3">
        <f t="shared" si="404"/>
        <v>266.11510791368346</v>
      </c>
      <c r="H853" s="3">
        <f t="shared" si="405"/>
        <v>221.47275588995251</v>
      </c>
      <c r="I853">
        <f t="shared" si="390"/>
        <v>2.214727558899525E-4</v>
      </c>
      <c r="J853" s="4">
        <f t="shared" si="406"/>
        <v>4360.7728058946868</v>
      </c>
      <c r="K853" s="40">
        <f t="shared" si="407"/>
        <v>19.68988369865912</v>
      </c>
      <c r="L853" s="40">
        <f t="shared" si="391"/>
        <v>0</v>
      </c>
      <c r="M853" s="10">
        <f t="shared" si="408"/>
        <v>4.9745297071883066</v>
      </c>
      <c r="N853" s="10">
        <f t="shared" si="387"/>
        <v>3.8408799049960156</v>
      </c>
      <c r="O853" s="10">
        <f t="shared" si="388"/>
        <v>0.68820000000000003</v>
      </c>
      <c r="P853" s="10">
        <f t="shared" si="409"/>
        <v>11.586052023536745</v>
      </c>
      <c r="Q853" s="45">
        <f t="shared" si="410"/>
        <v>1.9192126726808296</v>
      </c>
      <c r="R853" s="4">
        <f t="shared" si="411"/>
        <v>15193.007340708455</v>
      </c>
      <c r="S853">
        <f t="shared" si="392"/>
        <v>1.5193007340708455E-5</v>
      </c>
      <c r="T853" s="44">
        <f t="shared" si="393"/>
        <v>2.0612033871412953E-3</v>
      </c>
      <c r="U853" s="45">
        <f t="shared" si="412"/>
        <v>2.7120277753531628E-2</v>
      </c>
      <c r="V853" s="45">
        <f t="shared" si="413"/>
        <v>1.1938786317221575</v>
      </c>
      <c r="W853" s="45">
        <f t="shared" si="414"/>
        <v>1.2141693345106443</v>
      </c>
      <c r="X853" s="45">
        <f t="shared" si="415"/>
        <v>-2.0290702788486881E-2</v>
      </c>
      <c r="Y853" s="45">
        <f t="shared" si="389"/>
        <v>3.1473033603387476E-2</v>
      </c>
      <c r="Z853" s="10">
        <f t="shared" si="416"/>
        <v>15.269251835956741</v>
      </c>
      <c r="AA853">
        <f t="shared" si="394"/>
        <v>4962573.2045462634</v>
      </c>
      <c r="AB853" s="10">
        <f t="shared" si="395"/>
        <v>4.9625732045462634</v>
      </c>
      <c r="AC853" s="10">
        <f t="shared" si="396"/>
        <v>4.8615732045462634</v>
      </c>
      <c r="AD853" s="3">
        <f t="shared" si="397"/>
        <v>705.08675918002371</v>
      </c>
      <c r="AI853" s="100">
        <f t="shared" si="398"/>
        <v>1.2141693345106443</v>
      </c>
    </row>
    <row r="854" spans="2:35">
      <c r="B854" s="39">
        <f t="shared" si="399"/>
        <v>826</v>
      </c>
      <c r="C854" s="45">
        <f t="shared" si="400"/>
        <v>24.264988009590756</v>
      </c>
      <c r="D854" s="10">
        <f t="shared" si="401"/>
        <v>0.2350119904094754</v>
      </c>
      <c r="E854" s="40">
        <f t="shared" si="402"/>
        <v>68.529976019181049</v>
      </c>
      <c r="F854" s="40">
        <f t="shared" si="403"/>
        <v>69</v>
      </c>
      <c r="G854" s="3">
        <f t="shared" si="404"/>
        <v>265.8800959232758</v>
      </c>
      <c r="H854" s="3">
        <f t="shared" si="405"/>
        <v>221.47275588995251</v>
      </c>
      <c r="I854">
        <f t="shared" si="390"/>
        <v>2.214727558899525E-4</v>
      </c>
      <c r="J854" s="4">
        <f t="shared" si="406"/>
        <v>4367.0946572320763</v>
      </c>
      <c r="K854" s="40">
        <f t="shared" si="407"/>
        <v>19.718428299154048</v>
      </c>
      <c r="L854" s="40">
        <f t="shared" si="391"/>
        <v>0</v>
      </c>
      <c r="M854" s="10">
        <f t="shared" si="408"/>
        <v>4.9625732045462634</v>
      </c>
      <c r="N854" s="10">
        <f t="shared" si="387"/>
        <v>3.8408799049960156</v>
      </c>
      <c r="O854" s="10">
        <f t="shared" si="388"/>
        <v>0.68820000000000003</v>
      </c>
      <c r="P854" s="10">
        <f t="shared" si="409"/>
        <v>11.566880123573132</v>
      </c>
      <c r="Q854" s="45">
        <f t="shared" si="410"/>
        <v>1.9217523807513825</v>
      </c>
      <c r="R854" s="4">
        <f t="shared" si="411"/>
        <v>13498.735628300252</v>
      </c>
      <c r="S854">
        <f t="shared" si="392"/>
        <v>1.3498735628300252E-5</v>
      </c>
      <c r="T854" s="44">
        <f t="shared" si="393"/>
        <v>2.0628976588537035E-3</v>
      </c>
      <c r="U854" s="45">
        <f t="shared" si="412"/>
        <v>2.4095918033297366E-2</v>
      </c>
      <c r="V854" s="45">
        <f t="shared" si="413"/>
        <v>1.1908296686933082</v>
      </c>
      <c r="W854" s="45">
        <f t="shared" si="414"/>
        <v>1.2111905450647629</v>
      </c>
      <c r="X854" s="45">
        <f t="shared" si="415"/>
        <v>-2.0360876371454673E-2</v>
      </c>
      <c r="Y854" s="45">
        <f t="shared" si="389"/>
        <v>3.1421322921343364E-2</v>
      </c>
      <c r="Z854" s="10">
        <f t="shared" si="416"/>
        <v>15.231644083983955</v>
      </c>
      <c r="AA854">
        <f t="shared" si="394"/>
        <v>4950599.2819704637</v>
      </c>
      <c r="AB854" s="10">
        <f t="shared" si="395"/>
        <v>4.9505992819704634</v>
      </c>
      <c r="AC854" s="10">
        <f t="shared" si="396"/>
        <v>4.8495992819704634</v>
      </c>
      <c r="AD854" s="3">
        <f t="shared" si="397"/>
        <v>703.35014966939286</v>
      </c>
      <c r="AI854" s="100">
        <f t="shared" si="398"/>
        <v>1.2111905450647629</v>
      </c>
    </row>
    <row r="855" spans="2:35">
      <c r="B855" s="39">
        <f t="shared" si="399"/>
        <v>827</v>
      </c>
      <c r="C855" s="45">
        <f t="shared" si="400"/>
        <v>24.294364508391713</v>
      </c>
      <c r="D855" s="10">
        <f t="shared" si="401"/>
        <v>0.20563549160851835</v>
      </c>
      <c r="E855" s="40">
        <f t="shared" si="402"/>
        <v>68.588729016782963</v>
      </c>
      <c r="F855" s="40">
        <f t="shared" si="403"/>
        <v>69</v>
      </c>
      <c r="G855" s="3">
        <f t="shared" si="404"/>
        <v>265.64508393286815</v>
      </c>
      <c r="H855" s="3">
        <f t="shared" si="405"/>
        <v>221.47275588995251</v>
      </c>
      <c r="I855">
        <f t="shared" si="390"/>
        <v>2.214727558899525E-4</v>
      </c>
      <c r="J855" s="4">
        <f t="shared" si="406"/>
        <v>4373.4219308244401</v>
      </c>
      <c r="K855" s="40">
        <f t="shared" si="407"/>
        <v>19.74699738236674</v>
      </c>
      <c r="L855" s="40">
        <f t="shared" si="391"/>
        <v>0</v>
      </c>
      <c r="M855" s="10">
        <f t="shared" si="408"/>
        <v>4.9505992819704634</v>
      </c>
      <c r="N855" s="10">
        <f t="shared" si="387"/>
        <v>3.8408799049960156</v>
      </c>
      <c r="O855" s="10">
        <f t="shared" si="388"/>
        <v>0.68820000000000003</v>
      </c>
      <c r="P855" s="10">
        <f t="shared" si="409"/>
        <v>11.547665851785995</v>
      </c>
      <c r="Q855" s="45">
        <f t="shared" si="410"/>
        <v>1.9242963146665135</v>
      </c>
      <c r="R855" s="4">
        <f t="shared" si="411"/>
        <v>11805.994942245992</v>
      </c>
      <c r="S855">
        <f t="shared" si="392"/>
        <v>1.1805994942245992E-5</v>
      </c>
      <c r="T855" s="44">
        <f t="shared" si="393"/>
        <v>2.0645903995397579E-3</v>
      </c>
      <c r="U855" s="45">
        <f t="shared" si="412"/>
        <v>2.107429127165621E-2</v>
      </c>
      <c r="V855" s="45">
        <f t="shared" si="413"/>
        <v>1.1877772231695702</v>
      </c>
      <c r="W855" s="45">
        <f t="shared" si="414"/>
        <v>1.2082074156947094</v>
      </c>
      <c r="X855" s="45">
        <f t="shared" si="415"/>
        <v>-2.0430192525139113E-2</v>
      </c>
      <c r="Y855" s="45">
        <f t="shared" si="389"/>
        <v>3.1369349861686005E-2</v>
      </c>
      <c r="Z855" s="10">
        <f t="shared" si="416"/>
        <v>15.193982239130298</v>
      </c>
      <c r="AA855">
        <f t="shared" si="394"/>
        <v>4938608.1367760962</v>
      </c>
      <c r="AB855" s="10">
        <f t="shared" si="395"/>
        <v>4.9386081367760966</v>
      </c>
      <c r="AC855" s="10">
        <f t="shared" si="396"/>
        <v>4.8376081367760966</v>
      </c>
      <c r="AD855" s="3">
        <f t="shared" si="397"/>
        <v>701.61104231705531</v>
      </c>
      <c r="AI855" s="100">
        <f t="shared" si="398"/>
        <v>1.2082074156947094</v>
      </c>
    </row>
    <row r="856" spans="2:35">
      <c r="B856" s="39">
        <f t="shared" si="399"/>
        <v>828</v>
      </c>
      <c r="C856" s="45">
        <f t="shared" si="400"/>
        <v>24.32374100719267</v>
      </c>
      <c r="D856" s="10">
        <f t="shared" si="401"/>
        <v>0.1762589928075613</v>
      </c>
      <c r="E856" s="40">
        <f t="shared" si="402"/>
        <v>68.647482014384877</v>
      </c>
      <c r="F856" s="40">
        <f t="shared" si="403"/>
        <v>69</v>
      </c>
      <c r="G856" s="3">
        <f t="shared" si="404"/>
        <v>265.41007194246049</v>
      </c>
      <c r="H856" s="3">
        <f t="shared" si="405"/>
        <v>221.47275588995251</v>
      </c>
      <c r="I856">
        <f t="shared" si="390"/>
        <v>2.214727558899525E-4</v>
      </c>
      <c r="J856" s="4">
        <f t="shared" si="406"/>
        <v>4379.7546266717773</v>
      </c>
      <c r="K856" s="40">
        <f t="shared" si="407"/>
        <v>19.775590948297186</v>
      </c>
      <c r="L856" s="40">
        <f t="shared" si="391"/>
        <v>0</v>
      </c>
      <c r="M856" s="10">
        <f t="shared" si="408"/>
        <v>4.9386081367760966</v>
      </c>
      <c r="N856" s="10">
        <f t="shared" si="387"/>
        <v>3.8408799049960156</v>
      </c>
      <c r="O856" s="10">
        <f t="shared" si="388"/>
        <v>0.68820000000000003</v>
      </c>
      <c r="P856" s="10">
        <f t="shared" si="409"/>
        <v>11.528409416129872</v>
      </c>
      <c r="Q856" s="45">
        <f t="shared" si="410"/>
        <v>1.9268444978321682</v>
      </c>
      <c r="R856" s="4">
        <f t="shared" si="411"/>
        <v>10114.789105430667</v>
      </c>
      <c r="S856">
        <f t="shared" si="392"/>
        <v>1.0114789105430667E-5</v>
      </c>
      <c r="T856" s="44">
        <f t="shared" si="393"/>
        <v>2.0662816053765732E-3</v>
      </c>
      <c r="U856" s="45">
        <f t="shared" si="412"/>
        <v>1.8055404292649013E-2</v>
      </c>
      <c r="V856" s="45">
        <f t="shared" si="413"/>
        <v>1.1847213417374698</v>
      </c>
      <c r="W856" s="45">
        <f t="shared" si="414"/>
        <v>1.205219995558706</v>
      </c>
      <c r="X856" s="45">
        <f t="shared" si="415"/>
        <v>-2.0498653821236168E-2</v>
      </c>
      <c r="Y856" s="45">
        <f t="shared" si="389"/>
        <v>3.1317115537100149E-2</v>
      </c>
      <c r="Z856" s="10">
        <f t="shared" si="416"/>
        <v>15.15626691715755</v>
      </c>
      <c r="AA856">
        <f t="shared" si="394"/>
        <v>4926599.9650153974</v>
      </c>
      <c r="AB856" s="10">
        <f t="shared" si="395"/>
        <v>4.9265999650153978</v>
      </c>
      <c r="AC856" s="10">
        <f t="shared" si="396"/>
        <v>4.8255999650153978</v>
      </c>
      <c r="AD856" s="3">
        <f t="shared" si="397"/>
        <v>699.86946555698296</v>
      </c>
      <c r="AI856" s="100">
        <f t="shared" si="398"/>
        <v>1.205219995558706</v>
      </c>
    </row>
    <row r="857" spans="2:35">
      <c r="B857" s="39">
        <f t="shared" si="399"/>
        <v>829</v>
      </c>
      <c r="C857" s="45">
        <f t="shared" si="400"/>
        <v>24.353117505993627</v>
      </c>
      <c r="D857" s="10">
        <f t="shared" si="401"/>
        <v>0.14688249400660425</v>
      </c>
      <c r="E857" s="40">
        <f t="shared" si="402"/>
        <v>68.706235011986792</v>
      </c>
      <c r="F857" s="40">
        <f t="shared" si="403"/>
        <v>69</v>
      </c>
      <c r="G857" s="3">
        <f t="shared" si="404"/>
        <v>265.17505995205283</v>
      </c>
      <c r="H857" s="3">
        <f t="shared" si="405"/>
        <v>221.47275588995251</v>
      </c>
      <c r="I857">
        <f t="shared" si="390"/>
        <v>2.214727558899525E-4</v>
      </c>
      <c r="J857" s="4">
        <f t="shared" si="406"/>
        <v>4386.0927447740878</v>
      </c>
      <c r="K857" s="40">
        <f t="shared" si="407"/>
        <v>19.804208996945391</v>
      </c>
      <c r="L857" s="40">
        <f t="shared" si="391"/>
        <v>0</v>
      </c>
      <c r="M857" s="10">
        <f t="shared" si="408"/>
        <v>4.9265999650153978</v>
      </c>
      <c r="N857" s="10">
        <f t="shared" si="387"/>
        <v>3.8408799049960156</v>
      </c>
      <c r="O857" s="10">
        <f t="shared" si="388"/>
        <v>0.68820000000000003</v>
      </c>
      <c r="P857" s="10">
        <f t="shared" si="409"/>
        <v>11.509111022739642</v>
      </c>
      <c r="Q857" s="45">
        <f t="shared" si="410"/>
        <v>1.9293969537727631</v>
      </c>
      <c r="R857" s="4">
        <f t="shared" si="411"/>
        <v>8425.1219407390781</v>
      </c>
      <c r="S857">
        <f t="shared" si="392"/>
        <v>8.4251219407390782E-6</v>
      </c>
      <c r="T857" s="44">
        <f t="shared" si="393"/>
        <v>2.0679712725412648E-3</v>
      </c>
      <c r="U857" s="45">
        <f t="shared" si="412"/>
        <v>1.5039263920316291E-2</v>
      </c>
      <c r="V857" s="45">
        <f t="shared" si="413"/>
        <v>1.1816620707778795</v>
      </c>
      <c r="W857" s="45">
        <f t="shared" si="414"/>
        <v>1.2022283335003268</v>
      </c>
      <c r="X857" s="45">
        <f t="shared" si="415"/>
        <v>-2.0566262722447215E-2</v>
      </c>
      <c r="Y857" s="45">
        <f t="shared" si="389"/>
        <v>3.12646210576384E-2</v>
      </c>
      <c r="Z857" s="10">
        <f t="shared" si="416"/>
        <v>15.118498730022633</v>
      </c>
      <c r="AA857">
        <f t="shared" si="394"/>
        <v>4914574.9615291739</v>
      </c>
      <c r="AB857" s="10">
        <f t="shared" si="395"/>
        <v>4.9145749615291736</v>
      </c>
      <c r="AC857" s="10">
        <f t="shared" si="396"/>
        <v>4.8135749615291736</v>
      </c>
      <c r="AD857" s="3">
        <f t="shared" si="397"/>
        <v>698.12544764745087</v>
      </c>
      <c r="AI857" s="100">
        <f t="shared" si="398"/>
        <v>1.2022283335003268</v>
      </c>
    </row>
    <row r="858" spans="2:35">
      <c r="B858" s="39">
        <f t="shared" si="399"/>
        <v>830</v>
      </c>
      <c r="C858" s="45">
        <f t="shared" si="400"/>
        <v>24.382494004794584</v>
      </c>
      <c r="D858" s="10">
        <f t="shared" si="401"/>
        <v>0.1175059952056472</v>
      </c>
      <c r="E858" s="40">
        <f t="shared" si="402"/>
        <v>68.764988009588706</v>
      </c>
      <c r="F858" s="40">
        <f t="shared" si="403"/>
        <v>69</v>
      </c>
      <c r="G858" s="3">
        <f t="shared" si="404"/>
        <v>264.94004796164518</v>
      </c>
      <c r="H858" s="3">
        <f t="shared" si="405"/>
        <v>221.47275588995251</v>
      </c>
      <c r="I858">
        <f t="shared" si="390"/>
        <v>2.214727558899525E-4</v>
      </c>
      <c r="J858" s="4">
        <f t="shared" si="406"/>
        <v>4392.4362851313726</v>
      </c>
      <c r="K858" s="40">
        <f t="shared" si="407"/>
        <v>19.832851528311355</v>
      </c>
      <c r="L858" s="40">
        <f t="shared" si="391"/>
        <v>0</v>
      </c>
      <c r="M858" s="10">
        <f t="shared" si="408"/>
        <v>4.9145749615291736</v>
      </c>
      <c r="N858" s="10">
        <f t="shared" si="387"/>
        <v>3.8408799049960156</v>
      </c>
      <c r="O858" s="10">
        <f t="shared" si="388"/>
        <v>0.68820000000000003</v>
      </c>
      <c r="P858" s="10">
        <f t="shared" si="409"/>
        <v>11.489770876009517</v>
      </c>
      <c r="Q858" s="45">
        <f t="shared" si="410"/>
        <v>1.9319537061325769</v>
      </c>
      <c r="R858" s="4">
        <f t="shared" si="411"/>
        <v>6736.9972710560251</v>
      </c>
      <c r="S858">
        <f t="shared" si="392"/>
        <v>6.7369972710560253E-6</v>
      </c>
      <c r="T858" s="44">
        <f t="shared" si="393"/>
        <v>2.0696593972109479E-3</v>
      </c>
      <c r="U858" s="45">
        <f t="shared" si="412"/>
        <v>1.2025876978698558E-2</v>
      </c>
      <c r="V858" s="45">
        <f t="shared" si="413"/>
        <v>1.1785994564750126</v>
      </c>
      <c r="W858" s="45">
        <f t="shared" si="414"/>
        <v>1.1992324780613377</v>
      </c>
      <c r="X858" s="45">
        <f t="shared" si="415"/>
        <v>-2.0633021586325073E-2</v>
      </c>
      <c r="Y858" s="45">
        <f t="shared" si="389"/>
        <v>3.1211867531007475E-2</v>
      </c>
      <c r="Z858" s="10">
        <f t="shared" si="416"/>
        <v>15.080678286035022</v>
      </c>
      <c r="AA858">
        <f t="shared" si="394"/>
        <v>4902533.319996926</v>
      </c>
      <c r="AB858" s="10">
        <f t="shared" si="395"/>
        <v>4.9025333199969259</v>
      </c>
      <c r="AC858" s="10">
        <f t="shared" si="396"/>
        <v>4.8015333199969259</v>
      </c>
      <c r="AD858" s="3">
        <f t="shared" si="397"/>
        <v>696.37901667830693</v>
      </c>
      <c r="AI858" s="100">
        <f t="shared" si="398"/>
        <v>1.1992324780613377</v>
      </c>
    </row>
    <row r="859" spans="2:35">
      <c r="B859" s="39">
        <f t="shared" si="399"/>
        <v>831</v>
      </c>
      <c r="C859" s="45">
        <f t="shared" si="400"/>
        <v>24.411870503595541</v>
      </c>
      <c r="D859" s="10">
        <f t="shared" si="401"/>
        <v>8.8129496404690144E-2</v>
      </c>
      <c r="E859" s="40">
        <f t="shared" si="402"/>
        <v>68.82374100719062</v>
      </c>
      <c r="F859" s="40">
        <f t="shared" si="403"/>
        <v>69</v>
      </c>
      <c r="G859" s="3">
        <f t="shared" si="404"/>
        <v>264.70503597123752</v>
      </c>
      <c r="H859" s="3">
        <f t="shared" si="405"/>
        <v>221.47275588995251</v>
      </c>
      <c r="I859">
        <f t="shared" si="390"/>
        <v>2.214727558899525E-4</v>
      </c>
      <c r="J859" s="4">
        <f t="shared" si="406"/>
        <v>4398.7852477436318</v>
      </c>
      <c r="K859" s="40">
        <f t="shared" si="407"/>
        <v>19.861518542395086</v>
      </c>
      <c r="L859" s="40">
        <f t="shared" si="391"/>
        <v>0</v>
      </c>
      <c r="M859" s="10">
        <f t="shared" si="408"/>
        <v>4.9025333199969259</v>
      </c>
      <c r="N859" s="10">
        <f t="shared" si="387"/>
        <v>3.8408799049960156</v>
      </c>
      <c r="O859" s="10">
        <f t="shared" si="388"/>
        <v>0.68820000000000003</v>
      </c>
      <c r="P859" s="10">
        <f t="shared" si="409"/>
        <v>11.470389178670075</v>
      </c>
      <c r="Q859" s="45">
        <f t="shared" si="410"/>
        <v>1.9345147786771411</v>
      </c>
      <c r="R859" s="4">
        <f t="shared" si="411"/>
        <v>5050.4189192661242</v>
      </c>
      <c r="S859">
        <f t="shared" si="392"/>
        <v>5.0504189192661239E-6</v>
      </c>
      <c r="T859" s="44">
        <f t="shared" si="393"/>
        <v>2.0713459755627378E-3</v>
      </c>
      <c r="U859" s="45">
        <f t="shared" si="412"/>
        <v>9.0152502918359953E-3</v>
      </c>
      <c r="V859" s="45">
        <f t="shared" si="413"/>
        <v>1.1755335448238526</v>
      </c>
      <c r="W859" s="45">
        <f t="shared" si="414"/>
        <v>1.1962324774941799</v>
      </c>
      <c r="X859" s="45">
        <f t="shared" si="415"/>
        <v>-2.0698932670327297E-2</v>
      </c>
      <c r="Y859" s="45">
        <f t="shared" si="389"/>
        <v>3.1158856062843718E-2</v>
      </c>
      <c r="Z859" s="10">
        <f t="shared" si="416"/>
        <v>15.042806190008196</v>
      </c>
      <c r="AA859">
        <f t="shared" si="394"/>
        <v>4890475.2329850635</v>
      </c>
      <c r="AB859" s="10">
        <f t="shared" si="395"/>
        <v>4.8904752329850636</v>
      </c>
      <c r="AC859" s="10">
        <f t="shared" si="396"/>
        <v>4.7894752329850636</v>
      </c>
      <c r="AD859" s="3">
        <f t="shared" si="397"/>
        <v>694.63020057796427</v>
      </c>
      <c r="AI859" s="100">
        <f t="shared" si="398"/>
        <v>1.1962324774941799</v>
      </c>
    </row>
    <row r="860" spans="2:35">
      <c r="B860" s="39">
        <f t="shared" si="399"/>
        <v>832</v>
      </c>
      <c r="C860" s="45">
        <f t="shared" si="400"/>
        <v>24.441247002396498</v>
      </c>
      <c r="D860" s="10">
        <f t="shared" si="401"/>
        <v>5.8752997603733093E-2</v>
      </c>
      <c r="E860" s="40">
        <f t="shared" si="402"/>
        <v>68.882494004792534</v>
      </c>
      <c r="F860" s="40">
        <f t="shared" si="403"/>
        <v>69</v>
      </c>
      <c r="G860" s="3">
        <f t="shared" si="404"/>
        <v>264.47002398082986</v>
      </c>
      <c r="H860" s="3">
        <f t="shared" si="405"/>
        <v>221.47275588995251</v>
      </c>
      <c r="I860">
        <f t="shared" si="390"/>
        <v>2.214727558899525E-4</v>
      </c>
      <c r="J860" s="4">
        <f t="shared" si="406"/>
        <v>4405.1396326108652</v>
      </c>
      <c r="K860" s="40">
        <f t="shared" si="407"/>
        <v>19.890210039196571</v>
      </c>
      <c r="L860" s="40">
        <f t="shared" si="391"/>
        <v>0</v>
      </c>
      <c r="M860" s="10">
        <f t="shared" si="408"/>
        <v>4.8904752329850636</v>
      </c>
      <c r="N860" s="10">
        <f t="shared" si="387"/>
        <v>3.8408799049960156</v>
      </c>
      <c r="O860" s="10">
        <f t="shared" si="388"/>
        <v>0.68820000000000003</v>
      </c>
      <c r="P860" s="10">
        <f t="shared" si="409"/>
        <v>11.450966131862501</v>
      </c>
      <c r="Q860" s="45">
        <f t="shared" si="410"/>
        <v>1.9370801952946277</v>
      </c>
      <c r="R860" s="4">
        <f t="shared" si="411"/>
        <v>3365.3907082541746</v>
      </c>
      <c r="S860">
        <f t="shared" si="392"/>
        <v>3.3653907082541744E-6</v>
      </c>
      <c r="T860" s="44">
        <f t="shared" si="393"/>
        <v>2.0730310037737495E-3</v>
      </c>
      <c r="U860" s="45">
        <f t="shared" si="412"/>
        <v>6.0073906837691147E-3</v>
      </c>
      <c r="V860" s="45">
        <f t="shared" si="413"/>
        <v>1.172464381638598</v>
      </c>
      <c r="W860" s="45">
        <f t="shared" si="414"/>
        <v>1.1932283797739853</v>
      </c>
      <c r="X860" s="45">
        <f t="shared" si="415"/>
        <v>-2.0763998135387318E-2</v>
      </c>
      <c r="Y860" s="45">
        <f t="shared" si="389"/>
        <v>3.1105587756981735E-2</v>
      </c>
      <c r="Z860" s="10">
        <f t="shared" si="416"/>
        <v>15.004883043407004</v>
      </c>
      <c r="AA860">
        <f t="shared" si="394"/>
        <v>4878400.8919938244</v>
      </c>
      <c r="AB860" s="10">
        <f t="shared" si="395"/>
        <v>4.8784008919938247</v>
      </c>
      <c r="AC860" s="10">
        <f t="shared" si="396"/>
        <v>4.7774008919938247</v>
      </c>
      <c r="AD860" s="3">
        <f t="shared" si="397"/>
        <v>692.87902712020662</v>
      </c>
      <c r="AI860" s="100">
        <f t="shared" si="398"/>
        <v>1.1932283797739853</v>
      </c>
    </row>
    <row r="861" spans="2:35">
      <c r="B861" s="39">
        <f t="shared" si="399"/>
        <v>833</v>
      </c>
      <c r="C861" s="45">
        <f t="shared" si="400"/>
        <v>24.470623501197455</v>
      </c>
      <c r="D861" s="10">
        <f t="shared" si="401"/>
        <v>2.9376498802776041E-2</v>
      </c>
      <c r="E861" s="40">
        <f t="shared" si="402"/>
        <v>68.941247002394448</v>
      </c>
      <c r="F861" s="40">
        <f t="shared" si="403"/>
        <v>69</v>
      </c>
      <c r="G861" s="3">
        <f t="shared" si="404"/>
        <v>264.23501199042221</v>
      </c>
      <c r="H861" s="3">
        <f t="shared" si="405"/>
        <v>221.47275588995251</v>
      </c>
      <c r="I861">
        <f t="shared" si="390"/>
        <v>2.214727558899525E-4</v>
      </c>
      <c r="J861" s="4">
        <f t="shared" si="406"/>
        <v>4411.499439733072</v>
      </c>
      <c r="K861" s="40">
        <f t="shared" si="407"/>
        <v>19.918926018715819</v>
      </c>
      <c r="L861" s="40">
        <f t="shared" si="391"/>
        <v>0</v>
      </c>
      <c r="M861" s="10">
        <f t="shared" si="408"/>
        <v>4.8784008919938247</v>
      </c>
      <c r="N861" s="10">
        <f t="shared" si="387"/>
        <v>3.8408799049960156</v>
      </c>
      <c r="O861" s="10">
        <f t="shared" si="388"/>
        <v>0.68820000000000003</v>
      </c>
      <c r="P861" s="10">
        <f t="shared" si="409"/>
        <v>11.431501935211017</v>
      </c>
      <c r="Q861" s="45">
        <f t="shared" si="410"/>
        <v>1.9396499799972373</v>
      </c>
      <c r="R861" s="4">
        <f t="shared" si="411"/>
        <v>1681.9164609053576</v>
      </c>
      <c r="S861">
        <f t="shared" si="392"/>
        <v>1.6819164609053575E-6</v>
      </c>
      <c r="T861" s="44">
        <f t="shared" si="393"/>
        <v>2.0747144780210985E-3</v>
      </c>
      <c r="U861" s="45">
        <f t="shared" si="412"/>
        <v>3.0023049785391086E-3</v>
      </c>
      <c r="V861" s="45">
        <f t="shared" si="413"/>
        <v>1.1693920125597914</v>
      </c>
      <c r="W861" s="45">
        <f t="shared" si="414"/>
        <v>1.1902202326102647</v>
      </c>
      <c r="X861" s="45">
        <f t="shared" si="415"/>
        <v>-2.0828220050473245E-2</v>
      </c>
      <c r="Y861" s="45">
        <f t="shared" si="389"/>
        <v>3.1052063715713441E-2</v>
      </c>
      <c r="Z861" s="10">
        <f t="shared" si="416"/>
        <v>14.966909444489673</v>
      </c>
      <c r="AA861">
        <f t="shared" si="394"/>
        <v>4866310.4875024948</v>
      </c>
      <c r="AB861" s="10">
        <f t="shared" si="395"/>
        <v>4.8663104875024947</v>
      </c>
      <c r="AC861" s="10">
        <f t="shared" si="396"/>
        <v>4.7653104875024948</v>
      </c>
      <c r="AD861" s="3">
        <f t="shared" si="397"/>
        <v>691.12552393074611</v>
      </c>
      <c r="AI861" s="100">
        <f t="shared" si="398"/>
        <v>1.1902202326102647</v>
      </c>
    </row>
    <row r="862" spans="2:35">
      <c r="B862" s="39">
        <f t="shared" si="399"/>
        <v>834</v>
      </c>
      <c r="C862" s="45">
        <f t="shared" si="400"/>
        <v>24.499999999998412</v>
      </c>
      <c r="D862" s="10">
        <f t="shared" si="401"/>
        <v>1.8189894035458565E-12</v>
      </c>
      <c r="E862" s="40">
        <f t="shared" si="402"/>
        <v>68.999999999996362</v>
      </c>
      <c r="F862" s="40">
        <f t="shared" si="403"/>
        <v>69</v>
      </c>
      <c r="G862" s="3">
        <f t="shared" si="404"/>
        <v>264.00000000001455</v>
      </c>
      <c r="H862" s="3">
        <f t="shared" si="405"/>
        <v>221.47275588995251</v>
      </c>
      <c r="I862">
        <f t="shared" si="390"/>
        <v>2.214727558899525E-4</v>
      </c>
      <c r="J862" s="4">
        <f t="shared" si="406"/>
        <v>4417.8646691102522</v>
      </c>
      <c r="K862" s="40">
        <f t="shared" si="407"/>
        <v>19.947666480952822</v>
      </c>
      <c r="L862" s="40">
        <f t="shared" si="391"/>
        <v>0</v>
      </c>
      <c r="M862" s="10">
        <f t="shared" si="408"/>
        <v>4.8663104875024947</v>
      </c>
      <c r="N862" s="10">
        <f t="shared" si="387"/>
        <v>3.8408799049960156</v>
      </c>
      <c r="O862" s="10">
        <f t="shared" si="388"/>
        <v>0.68820000000000003</v>
      </c>
      <c r="P862" s="10">
        <f t="shared" si="409"/>
        <v>11.411996786892853</v>
      </c>
      <c r="Q862" s="45">
        <f t="shared" si="410"/>
        <v>1.9422241569225847</v>
      </c>
      <c r="R862" s="4">
        <f t="shared" si="411"/>
        <v>1.0409576457785956E-7</v>
      </c>
      <c r="S862">
        <f t="shared" si="392"/>
        <v>1.0409576457785955E-16</v>
      </c>
      <c r="T862" s="44">
        <f t="shared" si="393"/>
        <v>2.0763963944818997E-3</v>
      </c>
      <c r="U862" s="45">
        <f t="shared" si="412"/>
        <v>1.8581614455970822E-13</v>
      </c>
      <c r="V862" s="45">
        <f t="shared" si="413"/>
        <v>1.1663164830631005</v>
      </c>
      <c r="W862" s="45">
        <f t="shared" si="414"/>
        <v>1.1872080834581726</v>
      </c>
      <c r="X862" s="45">
        <f t="shared" si="415"/>
        <v>-2.0891600395072096E-2</v>
      </c>
      <c r="Y862" s="45">
        <f>IF((X862*(Q862-Q861)+Y861)&lt;0,0,X862*(Q862-Q861)+Y861)</f>
        <v>3.0998285040042869E-2</v>
      </c>
      <c r="Z862" s="10">
        <f t="shared" si="416"/>
        <v>14.92888598844708</v>
      </c>
      <c r="AA862">
        <f t="shared" si="394"/>
        <v>4854204.209013748</v>
      </c>
      <c r="AB862" s="10">
        <f t="shared" si="395"/>
        <v>4.8542042090137478</v>
      </c>
      <c r="AC862" s="10">
        <f t="shared" si="396"/>
        <v>4.7532042090137478</v>
      </c>
      <c r="AD862" s="3">
        <f t="shared" si="397"/>
        <v>689.36971849365455</v>
      </c>
      <c r="AI862" s="100">
        <f t="shared" si="398"/>
        <v>1.1872080834581726</v>
      </c>
    </row>
    <row r="863" spans="2:35">
      <c r="H863" s="3"/>
      <c r="J863" s="4"/>
      <c r="K863" s="40"/>
      <c r="L863" s="40"/>
      <c r="N863" s="10"/>
      <c r="P863" s="124">
        <f>AVERAGE(P28:P862)</f>
        <v>12.719866867964157</v>
      </c>
      <c r="Q863" s="45">
        <f>Q862+tbinc</f>
        <v>1.9439906938054712</v>
      </c>
      <c r="R863" s="4"/>
      <c r="T863" s="44"/>
      <c r="U863" s="45"/>
      <c r="W863" s="44"/>
      <c r="AB863" s="10">
        <f>pbout*EXP(-rat*to*astarf*(Q863-tbout)/vc*1000000000/cstar)</f>
        <v>4.5374273635873763</v>
      </c>
      <c r="AC863" s="10">
        <f t="shared" ref="AC863:AC909" si="417">AB863-patm</f>
        <v>4.4364273635873763</v>
      </c>
      <c r="AD863" s="3">
        <f t="shared" ref="AD863:AD909" si="418">AC863*1000000/6895</f>
        <v>643.42673873638535</v>
      </c>
      <c r="AI863" s="100">
        <f t="shared" ref="AI863:AI909" si="419">($M863-patm)*1000000*$I863/SQRT(rat*to)*SQRT(k)*(2/(k+1))^((k+1)/2/(k-1))</f>
        <v>0</v>
      </c>
    </row>
    <row r="864" spans="2:35">
      <c r="B864" s="20"/>
      <c r="C864" s="59" t="s">
        <v>147</v>
      </c>
      <c r="D864" s="20">
        <f>two-twebout</f>
        <v>24.499999999998181</v>
      </c>
      <c r="H864" s="3"/>
      <c r="J864" s="4"/>
      <c r="K864" s="40"/>
      <c r="L864" s="40"/>
      <c r="N864" s="10"/>
      <c r="P864" s="10"/>
      <c r="Q864" s="45">
        <f>Q863+tbinc</f>
        <v>1.9457572306883577</v>
      </c>
      <c r="R864" s="4"/>
      <c r="T864" s="44"/>
      <c r="U864" s="45"/>
      <c r="W864" s="44"/>
      <c r="AB864" s="10">
        <f t="shared" ref="AB864:AB909" si="420">pbout*EXP(-rat*to*astarf*(Q864-tbout)/vc*1000000000/cstar)</f>
        <v>4.2413228190114616</v>
      </c>
      <c r="AC864" s="10">
        <f t="shared" si="417"/>
        <v>4.1403228190114616</v>
      </c>
      <c r="AD864" s="3">
        <f t="shared" si="418"/>
        <v>600.48191718802923</v>
      </c>
      <c r="AI864" s="100">
        <f t="shared" si="419"/>
        <v>0</v>
      </c>
    </row>
    <row r="865" spans="4:35">
      <c r="D865">
        <f>two</f>
        <v>24.5</v>
      </c>
      <c r="Q865" s="45">
        <f t="shared" ref="Q865:Q910" si="421">Q864+tbinc</f>
        <v>1.9475237675712442</v>
      </c>
      <c r="AB865" s="10">
        <f t="shared" si="420"/>
        <v>3.9645415372214421</v>
      </c>
      <c r="AC865" s="10">
        <f t="shared" si="417"/>
        <v>3.8635415372214421</v>
      </c>
      <c r="AD865" s="3">
        <f t="shared" si="418"/>
        <v>560.33959930695312</v>
      </c>
      <c r="AI865" s="100">
        <f t="shared" si="419"/>
        <v>0</v>
      </c>
    </row>
    <row r="866" spans="4:35">
      <c r="Q866" s="45">
        <f t="shared" si="421"/>
        <v>1.9492903044541308</v>
      </c>
      <c r="AB866" s="10">
        <f t="shared" si="420"/>
        <v>3.7058225160086966</v>
      </c>
      <c r="AC866" s="10">
        <f t="shared" si="417"/>
        <v>3.6048225160086966</v>
      </c>
      <c r="AD866" s="3">
        <f t="shared" si="418"/>
        <v>522.81689862345127</v>
      </c>
      <c r="AI866" s="100">
        <f t="shared" si="419"/>
        <v>0</v>
      </c>
    </row>
    <row r="867" spans="4:35">
      <c r="Q867" s="45">
        <f t="shared" si="421"/>
        <v>1.9510568413370173</v>
      </c>
      <c r="AB867" s="10">
        <f t="shared" si="420"/>
        <v>3.4639870439551297</v>
      </c>
      <c r="AC867" s="10">
        <f t="shared" si="417"/>
        <v>3.3629870439551297</v>
      </c>
      <c r="AD867" s="3">
        <f t="shared" si="418"/>
        <v>487.74286351778528</v>
      </c>
      <c r="AI867" s="100">
        <f t="shared" si="419"/>
        <v>0</v>
      </c>
    </row>
    <row r="868" spans="4:35">
      <c r="Q868" s="45">
        <f t="shared" si="421"/>
        <v>1.9528233782199038</v>
      </c>
      <c r="AB868" s="10">
        <f t="shared" si="420"/>
        <v>3.2379333302806335</v>
      </c>
      <c r="AC868" s="10">
        <f t="shared" si="417"/>
        <v>3.1369333302806335</v>
      </c>
      <c r="AD868" s="3">
        <f t="shared" si="418"/>
        <v>454.95769837282575</v>
      </c>
      <c r="AI868" s="100">
        <f t="shared" si="419"/>
        <v>0</v>
      </c>
    </row>
    <row r="869" spans="4:35">
      <c r="Q869" s="45">
        <f t="shared" si="421"/>
        <v>1.9545899151027903</v>
      </c>
      <c r="AB869" s="10">
        <f t="shared" si="420"/>
        <v>3.0266314851372873</v>
      </c>
      <c r="AC869" s="10">
        <f t="shared" si="417"/>
        <v>2.9256314851372873</v>
      </c>
      <c r="AD869" s="3">
        <f t="shared" si="418"/>
        <v>424.31203555290608</v>
      </c>
      <c r="AI869" s="100">
        <f t="shared" si="419"/>
        <v>0</v>
      </c>
    </row>
    <row r="870" spans="4:35">
      <c r="Q870" s="45">
        <f t="shared" si="421"/>
        <v>1.9563564519856769</v>
      </c>
      <c r="AB870" s="10">
        <f t="shared" si="420"/>
        <v>2.8291188274807362</v>
      </c>
      <c r="AC870" s="10">
        <f t="shared" si="417"/>
        <v>2.7281188274807362</v>
      </c>
      <c r="AD870" s="3">
        <f t="shared" si="418"/>
        <v>395.66625489205745</v>
      </c>
      <c r="AI870" s="100">
        <f t="shared" si="419"/>
        <v>0</v>
      </c>
    </row>
    <row r="871" spans="4:35">
      <c r="Q871" s="45">
        <f t="shared" si="421"/>
        <v>1.9581229888685634</v>
      </c>
      <c r="AB871" s="10">
        <f t="shared" si="420"/>
        <v>2.6444954991416534</v>
      </c>
      <c r="AC871" s="10">
        <f t="shared" si="417"/>
        <v>2.5434954991416534</v>
      </c>
      <c r="AD871" s="3">
        <f t="shared" si="418"/>
        <v>368.88984759124781</v>
      </c>
      <c r="AI871" s="100">
        <f t="shared" si="419"/>
        <v>0</v>
      </c>
    </row>
    <row r="872" spans="4:35">
      <c r="Q872" s="45">
        <f t="shared" si="421"/>
        <v>1.9598895257514499</v>
      </c>
      <c r="AB872" s="10">
        <f t="shared" si="420"/>
        <v>2.4719203651151984</v>
      </c>
      <c r="AC872" s="10">
        <f t="shared" si="417"/>
        <v>2.3709203651151984</v>
      </c>
      <c r="AD872" s="3">
        <f t="shared" si="418"/>
        <v>343.86082162656976</v>
      </c>
      <c r="AI872" s="100">
        <f t="shared" si="419"/>
        <v>0</v>
      </c>
    </row>
    <row r="873" spans="4:35">
      <c r="Q873" s="45">
        <f t="shared" si="421"/>
        <v>1.9616560626343365</v>
      </c>
      <c r="AB873" s="10">
        <f t="shared" si="420"/>
        <v>2.3106071813903855</v>
      </c>
      <c r="AC873" s="10">
        <f t="shared" si="417"/>
        <v>2.2096071813903855</v>
      </c>
      <c r="AD873" s="3">
        <f t="shared" si="418"/>
        <v>320.46514595944677</v>
      </c>
      <c r="AI873" s="100">
        <f t="shared" si="419"/>
        <v>0</v>
      </c>
    </row>
    <row r="874" spans="4:35">
      <c r="Q874" s="45">
        <f t="shared" si="421"/>
        <v>1.963422599517223</v>
      </c>
      <c r="AB874" s="10">
        <f t="shared" si="420"/>
        <v>2.1598210128601827</v>
      </c>
      <c r="AC874" s="10">
        <f t="shared" si="417"/>
        <v>2.0588210128601827</v>
      </c>
      <c r="AD874" s="3">
        <f t="shared" si="418"/>
        <v>298.59623101670525</v>
      </c>
      <c r="AI874" s="100">
        <f t="shared" si="419"/>
        <v>0</v>
      </c>
    </row>
    <row r="875" spans="4:35">
      <c r="Q875" s="45">
        <f t="shared" si="421"/>
        <v>1.9651891364001095</v>
      </c>
      <c r="AB875" s="10">
        <f t="shared" si="420"/>
        <v>2.018874884992512</v>
      </c>
      <c r="AC875" s="10">
        <f t="shared" si="417"/>
        <v>1.917874884992512</v>
      </c>
      <c r="AD875" s="3">
        <f t="shared" si="418"/>
        <v>278.15444307360582</v>
      </c>
      <c r="AI875" s="100">
        <f t="shared" si="419"/>
        <v>0</v>
      </c>
    </row>
    <row r="876" spans="4:35">
      <c r="Q876" s="45">
        <f t="shared" si="421"/>
        <v>1.966955673282996</v>
      </c>
      <c r="AB876" s="10">
        <f t="shared" si="420"/>
        <v>1.8871266540073157</v>
      </c>
      <c r="AC876" s="10">
        <f t="shared" si="417"/>
        <v>1.7861266540073157</v>
      </c>
      <c r="AD876" s="3">
        <f t="shared" si="418"/>
        <v>259.04665032738444</v>
      </c>
      <c r="AI876" s="100">
        <f t="shared" si="419"/>
        <v>0</v>
      </c>
    </row>
    <row r="877" spans="4:35">
      <c r="Q877" s="45">
        <f t="shared" si="421"/>
        <v>1.9687222101658826</v>
      </c>
      <c r="AB877" s="10">
        <f t="shared" si="420"/>
        <v>1.76397608130038</v>
      </c>
      <c r="AC877" s="10">
        <f t="shared" si="417"/>
        <v>1.66297608130038</v>
      </c>
      <c r="AD877" s="3">
        <f t="shared" si="418"/>
        <v>241.18579859323856</v>
      </c>
      <c r="AI877" s="100">
        <f t="shared" si="419"/>
        <v>0</v>
      </c>
    </row>
    <row r="878" spans="4:35">
      <c r="Q878" s="45">
        <f t="shared" si="421"/>
        <v>1.9704887470487691</v>
      </c>
      <c r="AB878" s="10">
        <f t="shared" si="420"/>
        <v>1.6488620987851208</v>
      </c>
      <c r="AC878" s="10">
        <f t="shared" si="417"/>
        <v>1.5478620987851208</v>
      </c>
      <c r="AD878" s="3">
        <f t="shared" si="418"/>
        <v>224.49051468964768</v>
      </c>
      <c r="AI878" s="100">
        <f t="shared" si="419"/>
        <v>0</v>
      </c>
    </row>
    <row r="879" spans="4:35">
      <c r="Q879" s="45">
        <f t="shared" si="421"/>
        <v>1.9722552839316556</v>
      </c>
      <c r="AB879" s="10">
        <f t="shared" si="420"/>
        <v>1.5412602526933639</v>
      </c>
      <c r="AC879" s="10">
        <f t="shared" si="417"/>
        <v>1.4402602526933639</v>
      </c>
      <c r="AD879" s="3">
        <f t="shared" si="418"/>
        <v>208.88473570607164</v>
      </c>
      <c r="AI879" s="100">
        <f t="shared" si="419"/>
        <v>0</v>
      </c>
    </row>
    <row r="880" spans="4:35">
      <c r="Q880" s="45">
        <f t="shared" si="421"/>
        <v>1.9740218208145421</v>
      </c>
      <c r="AB880" s="10">
        <f t="shared" si="420"/>
        <v>1.4406803141892</v>
      </c>
      <c r="AC880" s="10">
        <f t="shared" si="417"/>
        <v>1.3396803141892</v>
      </c>
      <c r="AD880" s="3">
        <f t="shared" si="418"/>
        <v>194.29736246398841</v>
      </c>
      <c r="AI880" s="100">
        <f t="shared" si="419"/>
        <v>0</v>
      </c>
    </row>
    <row r="881" spans="17:35">
      <c r="Q881" s="45">
        <f t="shared" si="421"/>
        <v>1.9757883576974287</v>
      </c>
      <c r="AB881" s="10">
        <f t="shared" si="420"/>
        <v>1.3466640459099855</v>
      </c>
      <c r="AC881" s="10">
        <f t="shared" si="417"/>
        <v>1.2456640459099855</v>
      </c>
      <c r="AD881" s="3">
        <f t="shared" si="418"/>
        <v>180.66193559245619</v>
      </c>
      <c r="AI881" s="100">
        <f t="shared" si="419"/>
        <v>0</v>
      </c>
    </row>
    <row r="882" spans="17:35">
      <c r="Q882" s="45">
        <f t="shared" si="421"/>
        <v>1.9775548945803152</v>
      </c>
      <c r="AB882" s="10">
        <f t="shared" si="420"/>
        <v>1.2587831142589561</v>
      </c>
      <c r="AC882" s="10">
        <f t="shared" si="417"/>
        <v>1.1577831142589561</v>
      </c>
      <c r="AD882" s="3">
        <f t="shared" si="418"/>
        <v>167.91633274241568</v>
      </c>
      <c r="AI882" s="100">
        <f t="shared" si="419"/>
        <v>0</v>
      </c>
    </row>
    <row r="883" spans="17:35">
      <c r="Q883" s="45">
        <f t="shared" si="421"/>
        <v>1.9793214314632017</v>
      </c>
      <c r="AB883" s="10">
        <f t="shared" si="420"/>
        <v>1.176637137937957</v>
      </c>
      <c r="AC883" s="10">
        <f t="shared" si="417"/>
        <v>1.075637137937957</v>
      </c>
      <c r="AD883" s="3">
        <f t="shared" si="418"/>
        <v>156.00248556025483</v>
      </c>
      <c r="AI883" s="100">
        <f t="shared" si="419"/>
        <v>0</v>
      </c>
    </row>
    <row r="884" spans="17:35">
      <c r="Q884" s="45">
        <f t="shared" si="421"/>
        <v>1.9810879683460882</v>
      </c>
      <c r="AB884" s="10">
        <f t="shared" si="420"/>
        <v>1.0998518638295096</v>
      </c>
      <c r="AC884" s="10">
        <f t="shared" si="417"/>
        <v>0.99885186382950963</v>
      </c>
      <c r="AD884" s="3">
        <f t="shared" si="418"/>
        <v>144.86611513118342</v>
      </c>
      <c r="AI884" s="100">
        <f t="shared" si="419"/>
        <v>0</v>
      </c>
    </row>
    <row r="885" spans="17:35">
      <c r="Q885" s="45">
        <f t="shared" si="421"/>
        <v>1.9828545052289748</v>
      </c>
      <c r="AB885" s="10">
        <f t="shared" si="420"/>
        <v>1.0280774619176023</v>
      </c>
      <c r="AC885" s="10">
        <f t="shared" si="417"/>
        <v>0.92707746191760232</v>
      </c>
      <c r="AD885" s="3">
        <f t="shared" si="418"/>
        <v>134.45648468710695</v>
      </c>
      <c r="AI885" s="100">
        <f t="shared" si="419"/>
        <v>0</v>
      </c>
    </row>
    <row r="886" spans="17:35">
      <c r="Q886" s="45">
        <f t="shared" si="421"/>
        <v>1.9846210421118613</v>
      </c>
      <c r="AB886" s="10">
        <f t="shared" si="420"/>
        <v>0.96098693147896252</v>
      </c>
      <c r="AC886" s="10">
        <f t="shared" si="417"/>
        <v>0.85998693147896255</v>
      </c>
      <c r="AD886" s="3">
        <f t="shared" si="418"/>
        <v>124.72616845235135</v>
      </c>
      <c r="AI886" s="100">
        <f t="shared" si="419"/>
        <v>0</v>
      </c>
    </row>
    <row r="887" spans="17:35">
      <c r="Q887" s="45">
        <f t="shared" si="421"/>
        <v>1.9863875789947478</v>
      </c>
      <c r="AB887" s="10">
        <f t="shared" si="420"/>
        <v>0.8982746112834914</v>
      </c>
      <c r="AC887" s="10">
        <f t="shared" si="417"/>
        <v>0.79727461128349142</v>
      </c>
      <c r="AD887" s="3">
        <f t="shared" si="418"/>
        <v>115.63083557411042</v>
      </c>
      <c r="AI887" s="100">
        <f t="shared" si="419"/>
        <v>0</v>
      </c>
    </row>
    <row r="888" spans="17:35">
      <c r="Q888" s="45">
        <f t="shared" si="421"/>
        <v>1.9881541158776344</v>
      </c>
      <c r="AB888" s="10">
        <f t="shared" si="420"/>
        <v>0.8396547870163954</v>
      </c>
      <c r="AC888" s="10">
        <f t="shared" si="417"/>
        <v>0.73865478701639542</v>
      </c>
      <c r="AD888" s="3">
        <f t="shared" si="418"/>
        <v>107.1290481532118</v>
      </c>
      <c r="AI888" s="100">
        <f t="shared" si="419"/>
        <v>0</v>
      </c>
    </row>
    <row r="889" spans="17:35">
      <c r="Q889" s="45">
        <f t="shared" si="421"/>
        <v>1.9899206527605209</v>
      </c>
      <c r="AB889" s="10">
        <f t="shared" si="420"/>
        <v>0.78486038957751081</v>
      </c>
      <c r="AC889" s="10">
        <f t="shared" si="417"/>
        <v>0.68386038957751083</v>
      </c>
      <c r="AD889" s="3">
        <f t="shared" si="418"/>
        <v>99.182072455041464</v>
      </c>
      <c r="AI889" s="100">
        <f t="shared" si="419"/>
        <v>0</v>
      </c>
    </row>
    <row r="890" spans="17:35">
      <c r="Q890" s="45">
        <f t="shared" si="421"/>
        <v>1.9916871896434074</v>
      </c>
      <c r="AB890" s="10">
        <f t="shared" si="420"/>
        <v>0.73364177832732813</v>
      </c>
      <c r="AC890" s="10">
        <f t="shared" si="417"/>
        <v>0.63264177832732815</v>
      </c>
      <c r="AD890" s="3">
        <f t="shared" si="418"/>
        <v>91.753702440511702</v>
      </c>
      <c r="AI890" s="100">
        <f t="shared" si="419"/>
        <v>0</v>
      </c>
    </row>
    <row r="891" spans="17:35">
      <c r="Q891" s="45">
        <f t="shared" si="421"/>
        <v>1.9934537265262939</v>
      </c>
      <c r="AB891" s="10">
        <f t="shared" si="420"/>
        <v>0.68576560373624262</v>
      </c>
      <c r="AC891" s="10">
        <f t="shared" si="417"/>
        <v>0.58476560373624265</v>
      </c>
      <c r="AD891" s="3">
        <f t="shared" si="418"/>
        <v>84.810094813088128</v>
      </c>
      <c r="AI891" s="100">
        <f t="shared" si="419"/>
        <v>0</v>
      </c>
    </row>
    <row r="892" spans="17:35">
      <c r="Q892" s="45">
        <f t="shared" si="421"/>
        <v>1.9952202634091805</v>
      </c>
      <c r="AB892" s="10">
        <f t="shared" si="420"/>
        <v>0.64101374425532165</v>
      </c>
      <c r="AC892" s="10">
        <f t="shared" si="417"/>
        <v>0.54001374425532167</v>
      </c>
      <c r="AD892" s="3">
        <f t="shared" si="418"/>
        <v>78.319614830358475</v>
      </c>
      <c r="AI892" s="100">
        <f t="shared" si="419"/>
        <v>0</v>
      </c>
    </row>
    <row r="893" spans="17:35">
      <c r="Q893" s="45">
        <f t="shared" si="421"/>
        <v>1.996986800292067</v>
      </c>
      <c r="AB893" s="10">
        <f t="shared" si="420"/>
        <v>0.59918231256501719</v>
      </c>
      <c r="AC893" s="10">
        <f t="shared" si="417"/>
        <v>0.49818231256501722</v>
      </c>
      <c r="AD893" s="3">
        <f t="shared" si="418"/>
        <v>72.25269217766747</v>
      </c>
      <c r="AI893" s="100">
        <f t="shared" si="419"/>
        <v>0</v>
      </c>
    </row>
    <row r="894" spans="17:35">
      <c r="Q894" s="45">
        <f t="shared" si="421"/>
        <v>1.9987533371749535</v>
      </c>
      <c r="AB894" s="10">
        <f t="shared" si="420"/>
        <v>0.56008072667434283</v>
      </c>
      <c r="AC894" s="10">
        <f t="shared" si="417"/>
        <v>0.45908072667434285</v>
      </c>
      <c r="AD894" s="3">
        <f t="shared" si="418"/>
        <v>66.581686247185331</v>
      </c>
      <c r="AI894" s="100">
        <f t="shared" si="419"/>
        <v>0</v>
      </c>
    </row>
    <row r="895" spans="17:35">
      <c r="Q895" s="45">
        <f t="shared" si="421"/>
        <v>2.00051987405784</v>
      </c>
      <c r="AB895" s="10">
        <f t="shared" si="420"/>
        <v>0.52353084163848951</v>
      </c>
      <c r="AC895" s="10">
        <f t="shared" si="417"/>
        <v>0.42253084163848953</v>
      </c>
      <c r="AD895" s="3">
        <f t="shared" si="418"/>
        <v>61.280760208627918</v>
      </c>
      <c r="AI895" s="100">
        <f t="shared" si="419"/>
        <v>0</v>
      </c>
    </row>
    <row r="896" spans="17:35">
      <c r="Q896" s="45">
        <f t="shared" si="421"/>
        <v>2.0022864109407266</v>
      </c>
      <c r="AB896" s="10">
        <f t="shared" si="420"/>
        <v>0.48936613793902384</v>
      </c>
      <c r="AC896" s="10">
        <f t="shared" si="417"/>
        <v>0.38836613793902386</v>
      </c>
      <c r="AD896" s="3">
        <f t="shared" si="418"/>
        <v>56.325763297900487</v>
      </c>
      <c r="AI896" s="100">
        <f t="shared" si="419"/>
        <v>0</v>
      </c>
    </row>
    <row r="897" spans="15:35">
      <c r="Q897" s="45">
        <f t="shared" si="421"/>
        <v>2.0040529478236131</v>
      </c>
      <c r="AB897" s="10">
        <f t="shared" si="420"/>
        <v>0.45743096282897061</v>
      </c>
      <c r="AC897" s="10">
        <f t="shared" si="417"/>
        <v>0.35643096282897058</v>
      </c>
      <c r="AD897" s="3">
        <f t="shared" si="418"/>
        <v>51.694120787377891</v>
      </c>
      <c r="AI897" s="100">
        <f t="shared" si="419"/>
        <v>0</v>
      </c>
    </row>
    <row r="898" spans="15:35">
      <c r="Q898" s="45">
        <f t="shared" si="421"/>
        <v>2.0058194847064996</v>
      </c>
      <c r="AB898" s="10">
        <f t="shared" si="420"/>
        <v>0.42757982118638421</v>
      </c>
      <c r="AC898" s="10">
        <f t="shared" si="417"/>
        <v>0.32657982118638418</v>
      </c>
      <c r="AD898" s="3">
        <f t="shared" si="418"/>
        <v>47.364731136531425</v>
      </c>
      <c r="AI898" s="100">
        <f t="shared" si="419"/>
        <v>0</v>
      </c>
    </row>
    <row r="899" spans="15:35">
      <c r="Q899" s="45">
        <f t="shared" si="421"/>
        <v>2.0075860215893861</v>
      </c>
      <c r="AB899" s="10">
        <f t="shared" si="420"/>
        <v>0.39967671264556853</v>
      </c>
      <c r="AC899" s="10">
        <f t="shared" si="417"/>
        <v>0.2986767126455685</v>
      </c>
      <c r="AD899" s="3">
        <f t="shared" si="418"/>
        <v>43.317869854324655</v>
      </c>
      <c r="AI899" s="100">
        <f t="shared" si="419"/>
        <v>0</v>
      </c>
    </row>
    <row r="900" spans="15:35">
      <c r="Q900" s="45">
        <f t="shared" si="421"/>
        <v>2.0093525584722727</v>
      </c>
      <c r="AB900" s="10">
        <f t="shared" si="420"/>
        <v>0.37359451198595334</v>
      </c>
      <c r="AC900" s="10">
        <f t="shared" si="417"/>
        <v>0.2725945119859533</v>
      </c>
      <c r="AD900" s="3">
        <f t="shared" si="418"/>
        <v>39.535099635381194</v>
      </c>
      <c r="AI900" s="100">
        <f t="shared" si="419"/>
        <v>0</v>
      </c>
    </row>
    <row r="901" spans="15:35">
      <c r="Q901" s="45">
        <f t="shared" si="421"/>
        <v>2.0111190953551592</v>
      </c>
      <c r="AB901" s="10">
        <f t="shared" si="420"/>
        <v>0.34921438995570198</v>
      </c>
      <c r="AC901" s="10">
        <f t="shared" si="417"/>
        <v>0.24821438995570197</v>
      </c>
      <c r="AD901" s="3">
        <f t="shared" si="418"/>
        <v>35.999186360507899</v>
      </c>
      <c r="AI901" s="100">
        <f t="shared" si="419"/>
        <v>0</v>
      </c>
    </row>
    <row r="902" spans="15:35">
      <c r="Q902" s="45">
        <f t="shared" si="421"/>
        <v>2.0128856322380457</v>
      </c>
      <c r="AB902" s="10">
        <f t="shared" si="420"/>
        <v>0.32642527189135567</v>
      </c>
      <c r="AC902" s="10">
        <f t="shared" si="417"/>
        <v>0.22542527189135567</v>
      </c>
      <c r="AD902" s="3">
        <f t="shared" si="418"/>
        <v>32.694020578876817</v>
      </c>
      <c r="AI902" s="100">
        <f t="shared" si="419"/>
        <v>0</v>
      </c>
    </row>
    <row r="903" spans="15:35">
      <c r="Q903" s="45">
        <f t="shared" si="421"/>
        <v>2.0146521691209323</v>
      </c>
      <c r="AB903" s="10">
        <f t="shared" si="420"/>
        <v>0.30512333166700756</v>
      </c>
      <c r="AC903" s="10">
        <f t="shared" si="417"/>
        <v>0.20412333166700755</v>
      </c>
      <c r="AD903" s="3">
        <f t="shared" si="418"/>
        <v>29.604544114141778</v>
      </c>
      <c r="AI903" s="100">
        <f t="shared" si="419"/>
        <v>0</v>
      </c>
    </row>
    <row r="904" spans="15:35">
      <c r="Q904" s="45">
        <f t="shared" si="421"/>
        <v>2.0164187060038188</v>
      </c>
      <c r="AB904" s="10">
        <f t="shared" si="420"/>
        <v>0.28521151866746813</v>
      </c>
      <c r="AC904" s="10">
        <f t="shared" si="417"/>
        <v>0.18421151866746813</v>
      </c>
      <c r="AD904" s="3">
        <f t="shared" si="418"/>
        <v>26.716681460111403</v>
      </c>
      <c r="AI904" s="100">
        <f t="shared" si="419"/>
        <v>0</v>
      </c>
    </row>
    <row r="905" spans="15:35">
      <c r="Q905" s="45">
        <f t="shared" si="421"/>
        <v>2.0181852428867053</v>
      </c>
      <c r="AB905" s="10">
        <f t="shared" si="420"/>
        <v>0.26659911563032834</v>
      </c>
      <c r="AC905" s="10">
        <f t="shared" si="417"/>
        <v>0.16559911563032834</v>
      </c>
      <c r="AD905" s="3">
        <f t="shared" si="418"/>
        <v>24.017275653419627</v>
      </c>
      <c r="AI905" s="100">
        <f t="shared" si="419"/>
        <v>0</v>
      </c>
    </row>
    <row r="906" spans="15:35">
      <c r="Q906" s="45">
        <f t="shared" si="421"/>
        <v>2.0199517797695918</v>
      </c>
      <c r="AB906" s="10">
        <f t="shared" si="420"/>
        <v>0.24920132534247497</v>
      </c>
      <c r="AC906" s="10">
        <f t="shared" si="417"/>
        <v>0.14820132534247496</v>
      </c>
      <c r="AD906" s="3">
        <f t="shared" si="418"/>
        <v>21.494028331033352</v>
      </c>
      <c r="AI906" s="100">
        <f t="shared" si="419"/>
        <v>0</v>
      </c>
    </row>
    <row r="907" spans="15:35">
      <c r="Q907" s="45">
        <f t="shared" si="421"/>
        <v>2.0217183166524784</v>
      </c>
      <c r="Z907" s="2" t="s">
        <v>151</v>
      </c>
      <c r="AA907">
        <v>0.02</v>
      </c>
      <c r="AB907" s="10">
        <f t="shared" si="420"/>
        <v>0.23293888430806722</v>
      </c>
      <c r="AC907" s="10">
        <f t="shared" si="417"/>
        <v>0.13193888430806722</v>
      </c>
      <c r="AD907" s="3">
        <f t="shared" si="418"/>
        <v>19.135443699502133</v>
      </c>
      <c r="AI907" s="100">
        <f t="shared" si="419"/>
        <v>0</v>
      </c>
    </row>
    <row r="908" spans="15:35">
      <c r="Q908" s="45">
        <f t="shared" si="421"/>
        <v>2.0234848535353649</v>
      </c>
      <c r="Z908" s="2" t="s">
        <v>152</v>
      </c>
      <c r="AA908">
        <f>pmaxperc/100*pmax+patm</f>
        <v>0.10226074538134737</v>
      </c>
      <c r="AB908" s="10">
        <f t="shared" si="420"/>
        <v>0.21773770162786027</v>
      </c>
      <c r="AC908" s="10">
        <f t="shared" si="417"/>
        <v>0.11673770162786026</v>
      </c>
      <c r="AD908" s="3">
        <f t="shared" si="418"/>
        <v>16.93077616067589</v>
      </c>
      <c r="AI908" s="100">
        <f t="shared" si="419"/>
        <v>0</v>
      </c>
    </row>
    <row r="909" spans="15:35">
      <c r="O909" t="s">
        <v>155</v>
      </c>
      <c r="P909">
        <f>tbinc</f>
        <v>1.7665368828865783E-3</v>
      </c>
      <c r="Q909" s="45">
        <f t="shared" si="421"/>
        <v>2.0252513904182514</v>
      </c>
      <c r="Z909" s="7" t="s">
        <v>154</v>
      </c>
      <c r="AA909" s="10">
        <f>AA908-pfinal+0.101</f>
        <v>-2.6777606328438897E-4</v>
      </c>
      <c r="AB909" s="10">
        <f t="shared" si="420"/>
        <v>0.20352852144463177</v>
      </c>
      <c r="AC909" s="10">
        <f t="shared" si="417"/>
        <v>0.10252852144463176</v>
      </c>
      <c r="AD909" s="3">
        <f t="shared" si="418"/>
        <v>14.869981355276542</v>
      </c>
      <c r="AI909" s="100">
        <f t="shared" si="419"/>
        <v>0</v>
      </c>
    </row>
    <row r="910" spans="15:35">
      <c r="Q910" s="45">
        <f t="shared" si="421"/>
        <v>2.0270179273011379</v>
      </c>
      <c r="AC910" s="60">
        <v>0</v>
      </c>
      <c r="AD910" s="60">
        <v>0</v>
      </c>
    </row>
  </sheetData>
  <sheetProtection password="C7BC" sheet="1"/>
  <customSheetViews>
    <customSheetView guid="{136183A0-5E83-4B15-A2A6-F3C23DCC406A}" showGridLines="0" printArea="1">
      <selection activeCell="G53" sqref="G53"/>
      <pageMargins left="0.57999999999999996" right="0.36" top="1" bottom="1" header="0.5" footer="0.5"/>
      <pageSetup orientation="landscape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pageMargins left="0.57999999999999996" right="0.36" top="1" bottom="1" header="0.5" footer="0.5"/>
  <pageSetup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Button 1">
              <controlPr defaultSize="0" print="0" autoFill="0" autoPict="0" macro="[0]!Macro2">
                <anchor moveWithCells="1" sizeWithCells="1">
                  <from>
                    <xdr:col>4</xdr:col>
                    <xdr:colOff>205740</xdr:colOff>
                    <xdr:row>21</xdr:row>
                    <xdr:rowOff>22860</xdr:rowOff>
                  </from>
                  <to>
                    <xdr:col>5</xdr:col>
                    <xdr:colOff>594360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6" name="Button 2">
              <controlPr defaultSize="0" print="0" autoFill="0" autoPict="0" macro="[0]!Macro3">
                <anchor moveWithCells="1" sizeWithCells="1">
                  <from>
                    <xdr:col>7</xdr:col>
                    <xdr:colOff>304800</xdr:colOff>
                    <xdr:row>21</xdr:row>
                    <xdr:rowOff>38100</xdr:rowOff>
                  </from>
                  <to>
                    <xdr:col>8</xdr:col>
                    <xdr:colOff>617220</xdr:colOff>
                    <xdr:row>23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BBE0-D589-4C13-A622-3FC31E50C0E5}">
  <sheetPr codeName="Sheet7">
    <tabColor rgb="FFFFFF00"/>
    <pageSetUpPr autoPageBreaks="0"/>
  </sheetPr>
  <dimension ref="B1:Q911"/>
  <sheetViews>
    <sheetView showGridLines="0" workbookViewId="0">
      <selection activeCell="T15" sqref="T15"/>
    </sheetView>
  </sheetViews>
  <sheetFormatPr defaultRowHeight="13.2"/>
  <cols>
    <col min="1" max="1" width="4.77734375" customWidth="1"/>
    <col min="3" max="3" width="10.21875" bestFit="1" customWidth="1"/>
    <col min="4" max="5" width="9.77734375" customWidth="1"/>
    <col min="6" max="6" width="11.44140625" bestFit="1" customWidth="1"/>
  </cols>
  <sheetData>
    <row r="1" spans="2:5">
      <c r="B1" s="82" t="s">
        <v>183</v>
      </c>
    </row>
    <row r="3" spans="2:5">
      <c r="B3" s="2" t="s">
        <v>110</v>
      </c>
      <c r="C3">
        <f>k</f>
        <v>1.1308</v>
      </c>
      <c r="D3" s="58"/>
      <c r="E3" t="s">
        <v>314</v>
      </c>
    </row>
    <row r="4" spans="2:5">
      <c r="B4" s="7" t="s">
        <v>177</v>
      </c>
      <c r="C4" s="91">
        <v>0.85</v>
      </c>
      <c r="D4" s="1" t="str">
        <f>IF(etanoz&gt;1,"Invalid","")</f>
        <v/>
      </c>
      <c r="E4" t="s">
        <v>178</v>
      </c>
    </row>
    <row r="5" spans="2:5">
      <c r="B5" s="2" t="s">
        <v>55</v>
      </c>
      <c r="C5" s="91">
        <v>8</v>
      </c>
      <c r="D5" s="58"/>
      <c r="E5" t="s">
        <v>283</v>
      </c>
    </row>
    <row r="6" spans="2:5">
      <c r="B6" s="2" t="s">
        <v>126</v>
      </c>
      <c r="C6" s="8">
        <f>patm</f>
        <v>0.10100000000000001</v>
      </c>
      <c r="D6" s="58" t="s">
        <v>127</v>
      </c>
      <c r="E6" t="s">
        <v>128</v>
      </c>
    </row>
    <row r="7" spans="2:5" ht="15.6">
      <c r="B7" s="2" t="s">
        <v>287</v>
      </c>
      <c r="C7" s="3">
        <f>at</f>
        <v>221.47275588995251</v>
      </c>
      <c r="D7" s="58" t="s">
        <v>15</v>
      </c>
      <c r="E7" t="s">
        <v>37</v>
      </c>
    </row>
    <row r="8" spans="2:5" ht="15.6">
      <c r="B8" s="2" t="s">
        <v>165</v>
      </c>
      <c r="C8" s="3">
        <f>exprat*at</f>
        <v>1771.7820471196201</v>
      </c>
      <c r="D8" s="58" t="s">
        <v>15</v>
      </c>
      <c r="E8" t="s">
        <v>166</v>
      </c>
    </row>
    <row r="9" spans="2:5">
      <c r="B9" s="2" t="s">
        <v>286</v>
      </c>
      <c r="C9" s="89">
        <v>2.9545467240956045</v>
      </c>
      <c r="D9" s="336">
        <f>exprat-1/me*((1+(k-1)/2*me^2)/(1+(k-1)/2))^((k+1)/2/(k-1))</f>
        <v>-5.0599681955532105E-6</v>
      </c>
      <c r="E9" t="s">
        <v>284</v>
      </c>
    </row>
    <row r="10" spans="2:5">
      <c r="B10" s="2" t="s">
        <v>288</v>
      </c>
      <c r="C10" s="89">
        <v>2.954546724095604</v>
      </c>
      <c r="D10" s="336">
        <f>expratfinal-1/mef*((1+(k-1)/2*mef^2)/(1+(k-1)/2))^((k+1)/2/(k-1))</f>
        <v>-5.0599681848950695E-6</v>
      </c>
      <c r="E10" t="s">
        <v>285</v>
      </c>
    </row>
    <row r="11" spans="2:5">
      <c r="B11" s="2" t="s">
        <v>203</v>
      </c>
      <c r="C11" s="40">
        <f>SQRT(4*aexit/PI())</f>
        <v>47.496346881044651</v>
      </c>
      <c r="D11" s="58" t="s">
        <v>36</v>
      </c>
      <c r="E11" t="s">
        <v>204</v>
      </c>
    </row>
    <row r="12" spans="2:5">
      <c r="B12" s="2" t="s">
        <v>167</v>
      </c>
      <c r="C12" s="10">
        <f>MAX(H28:H909)</f>
        <v>9.7012504248697127</v>
      </c>
      <c r="D12" s="58"/>
      <c r="E12" t="s">
        <v>170</v>
      </c>
    </row>
    <row r="13" spans="2:5">
      <c r="B13" s="2" t="s">
        <v>167</v>
      </c>
      <c r="C13" s="10">
        <f>AVERAGE(H28:H909)</f>
        <v>8.7850536696603676</v>
      </c>
      <c r="D13" s="58"/>
      <c r="E13" t="s">
        <v>188</v>
      </c>
    </row>
    <row r="14" spans="2:5">
      <c r="B14" s="2" t="s">
        <v>291</v>
      </c>
      <c r="C14" s="10">
        <f>2*ravg*tbout/do</f>
        <v>0.71608210735649858</v>
      </c>
      <c r="E14" t="s">
        <v>290</v>
      </c>
    </row>
    <row r="15" spans="2:5">
      <c r="B15" s="2" t="s">
        <v>171</v>
      </c>
      <c r="C15" s="10">
        <f>MAX(I28:I910)</f>
        <v>1.3874894092551016</v>
      </c>
      <c r="D15" s="58"/>
      <c r="E15" t="s">
        <v>172</v>
      </c>
    </row>
    <row r="16" spans="2:5">
      <c r="B16" s="77" t="s">
        <v>194</v>
      </c>
      <c r="C16" s="68">
        <f>MAX(J28:J910)</f>
        <v>1968.1155970954869</v>
      </c>
      <c r="D16" s="78" t="s">
        <v>168</v>
      </c>
      <c r="E16" t="s">
        <v>175</v>
      </c>
    </row>
    <row r="17" spans="2:17">
      <c r="B17" s="79" t="s">
        <v>195</v>
      </c>
      <c r="C17" s="68">
        <f>itsum</f>
        <v>3501.5342970019656</v>
      </c>
      <c r="D17" s="80" t="s">
        <v>174</v>
      </c>
      <c r="E17" t="s">
        <v>176</v>
      </c>
    </row>
    <row r="18" spans="2:17">
      <c r="B18" s="79" t="s">
        <v>196</v>
      </c>
      <c r="C18" s="69">
        <f>itsum/9.806/mgrain</f>
        <v>126.96450111789696</v>
      </c>
      <c r="D18" s="80" t="s">
        <v>169</v>
      </c>
      <c r="E18" t="s">
        <v>180</v>
      </c>
      <c r="H18" s="39"/>
    </row>
    <row r="19" spans="2:17">
      <c r="B19" s="77" t="s">
        <v>181</v>
      </c>
      <c r="C19" s="97" t="str">
        <f>VLOOKUP(itsum,motorclass,2)</f>
        <v>L</v>
      </c>
      <c r="D19" s="80"/>
      <c r="E19" t="s">
        <v>182</v>
      </c>
      <c r="H19" s="39"/>
    </row>
    <row r="20" spans="2:17">
      <c r="H20" s="39"/>
    </row>
    <row r="21" spans="2:17">
      <c r="J21" s="142" t="s">
        <v>185</v>
      </c>
      <c r="K21" s="143">
        <f>fmax</f>
        <v>1968.1155970954869</v>
      </c>
      <c r="L21" s="144" t="s">
        <v>168</v>
      </c>
      <c r="O21" s="142" t="s">
        <v>185</v>
      </c>
      <c r="P21" s="143">
        <f>fmax/4.4482</f>
        <v>442.45213729047413</v>
      </c>
      <c r="Q21" s="144" t="s">
        <v>187</v>
      </c>
    </row>
    <row r="22" spans="2:17">
      <c r="G22" s="119">
        <f>D9</f>
        <v>-5.0599681955532105E-6</v>
      </c>
      <c r="J22" s="145" t="s">
        <v>186</v>
      </c>
      <c r="K22" s="146">
        <f>itot/tthr</f>
        <v>1728.9381029773467</v>
      </c>
      <c r="L22" s="147" t="s">
        <v>168</v>
      </c>
      <c r="O22" s="145" t="s">
        <v>186</v>
      </c>
      <c r="P22" s="146">
        <f>itot/tthr/4.4482</f>
        <v>388.68263634219386</v>
      </c>
      <c r="Q22" s="147" t="s">
        <v>187</v>
      </c>
    </row>
    <row r="23" spans="2:17">
      <c r="J23" s="148" t="s">
        <v>158</v>
      </c>
      <c r="K23" s="149">
        <f>tthr</f>
        <v>2.0252513904182514</v>
      </c>
      <c r="L23" s="150" t="s">
        <v>169</v>
      </c>
      <c r="O23" s="148" t="s">
        <v>158</v>
      </c>
      <c r="P23" s="149">
        <f>tthr</f>
        <v>2.0252513904182514</v>
      </c>
      <c r="Q23" s="150" t="s">
        <v>169</v>
      </c>
    </row>
    <row r="25" spans="2:17">
      <c r="C25" s="13" t="str">
        <f>Pressure!AB25</f>
        <v>Po</v>
      </c>
      <c r="D25" s="13" t="s">
        <v>96</v>
      </c>
      <c r="E25" s="13" t="s">
        <v>98</v>
      </c>
      <c r="F25" s="13" t="s">
        <v>282</v>
      </c>
      <c r="G25" s="13" t="s">
        <v>163</v>
      </c>
      <c r="H25" s="13" t="s">
        <v>167</v>
      </c>
      <c r="I25" s="13" t="s">
        <v>179</v>
      </c>
      <c r="J25" s="13" t="s">
        <v>68</v>
      </c>
      <c r="K25" s="13" t="s">
        <v>68</v>
      </c>
      <c r="L25" s="13" t="s">
        <v>90</v>
      </c>
      <c r="M25" s="72" t="s">
        <v>173</v>
      </c>
      <c r="N25" s="13" t="s">
        <v>289</v>
      </c>
    </row>
    <row r="26" spans="2:17" ht="16.2" thickBot="1">
      <c r="C26" s="15" t="s">
        <v>164</v>
      </c>
      <c r="D26" s="15" t="s">
        <v>97</v>
      </c>
      <c r="E26" s="15" t="s">
        <v>15</v>
      </c>
      <c r="F26" s="15"/>
      <c r="G26" s="15" t="s">
        <v>164</v>
      </c>
      <c r="H26" s="15"/>
      <c r="I26" s="15"/>
      <c r="J26" s="15" t="s">
        <v>168</v>
      </c>
      <c r="K26" s="15" t="s">
        <v>184</v>
      </c>
      <c r="L26" s="15" t="s">
        <v>169</v>
      </c>
      <c r="M26" s="15" t="s">
        <v>174</v>
      </c>
      <c r="N26" s="15"/>
    </row>
    <row r="27" spans="2:17">
      <c r="C27" s="43"/>
      <c r="D27" s="43"/>
      <c r="G27" s="43"/>
      <c r="H27" s="43"/>
      <c r="I27" s="43"/>
      <c r="J27" s="41"/>
      <c r="K27" s="43"/>
      <c r="L27" s="43"/>
      <c r="M27" s="43"/>
    </row>
    <row r="28" spans="2:17">
      <c r="C28" s="4">
        <f>Pressure!AB28*1000000</f>
        <v>101000</v>
      </c>
      <c r="D28" s="84">
        <f>Pressure!I28</f>
        <v>2.214727558899525E-4</v>
      </c>
      <c r="E28" s="40">
        <f>Pressure!H28</f>
        <v>221.47275588995251</v>
      </c>
      <c r="F28" s="10">
        <f>aexit/E28</f>
        <v>8</v>
      </c>
      <c r="G28" s="4">
        <f t="shared" ref="G28:G91" si="0">IF(C28/(1+(k-1)/2*N28^2)^(k/(k-1))&lt;patm*1000000,patm*1000000,C28/(1+(k-1)/2*N28^2)^(k/(k-1)))</f>
        <v>101000</v>
      </c>
      <c r="H28" s="45">
        <v>1</v>
      </c>
      <c r="I28" s="10">
        <f>etanoz</f>
        <v>0.85</v>
      </c>
      <c r="J28" s="4">
        <v>0</v>
      </c>
      <c r="K28">
        <f>J28/4.4482</f>
        <v>0</v>
      </c>
      <c r="L28" s="45">
        <f>Pressure!Q28</f>
        <v>0</v>
      </c>
      <c r="M28" s="10">
        <v>0</v>
      </c>
      <c r="N28" s="10">
        <f>me</f>
        <v>2.9545467240956045</v>
      </c>
    </row>
    <row r="29" spans="2:17">
      <c r="C29" s="4">
        <f>Pressure!AB29*1000000</f>
        <v>1972660.6557700227</v>
      </c>
      <c r="D29" s="84">
        <f>Pressure!I29</f>
        <v>2.214727558899525E-4</v>
      </c>
      <c r="E29" s="40">
        <f>Pressure!H29</f>
        <v>221.47275588995251</v>
      </c>
      <c r="F29" s="10">
        <f t="shared" ref="F29:F92" si="1">aexit/E29</f>
        <v>8</v>
      </c>
      <c r="G29" s="4">
        <f t="shared" si="0"/>
        <v>101000</v>
      </c>
      <c r="H29" s="45">
        <f t="shared" ref="H29:H92" si="2">1/(((k+1)/2)^(1/(k-1))*(patm*1000000/C29)^(1/k)*SQRT((k+1)/(k-1)*(1-(patm*1000000/C29)^((k-1)/k))))</f>
        <v>3.9196066407241315</v>
      </c>
      <c r="I29" s="10">
        <f t="shared" ref="I29:I92" si="3">etanoz*SQRT(2*k^2/(k-1)*(2/(k+1))^((k+1)/(k-1))*(1-(G29/C29)^((k-1)/k)))+(G29-patm*1000000)/C29*(aexit/E29)</f>
        <v>1.2100349521792757</v>
      </c>
      <c r="J29" s="4">
        <f t="shared" ref="J29:J92" si="4">I29*D29*C29</f>
        <v>528.65288643986298</v>
      </c>
      <c r="K29" s="4">
        <f t="shared" ref="K29:K92" si="5">J29/4.4482</f>
        <v>118.84647417828852</v>
      </c>
      <c r="L29" s="45">
        <f>Pressure!Q29</f>
        <v>1.3690952744175942E-2</v>
      </c>
      <c r="M29" s="10">
        <f t="shared" ref="M29:M39" si="6">(J29+J28)/2*(L29-L28)</f>
        <v>3.6188808431601873</v>
      </c>
      <c r="N29" s="10">
        <f>N28-1/834*(me-mef)</f>
        <v>2.9545467240956045</v>
      </c>
    </row>
    <row r="30" spans="2:17">
      <c r="C30" s="4">
        <f>Pressure!AB30*1000000</f>
        <v>2681671.5848095263</v>
      </c>
      <c r="D30" s="84">
        <f>Pressure!I30</f>
        <v>2.214727558899525E-4</v>
      </c>
      <c r="E30" s="40">
        <f>Pressure!H30</f>
        <v>221.47275588995251</v>
      </c>
      <c r="F30" s="10">
        <f t="shared" si="1"/>
        <v>8</v>
      </c>
      <c r="G30" s="4">
        <f t="shared" si="0"/>
        <v>101000</v>
      </c>
      <c r="H30" s="45">
        <f t="shared" si="2"/>
        <v>4.9367952635721206</v>
      </c>
      <c r="I30" s="10">
        <f t="shared" si="3"/>
        <v>1.2604437881513741</v>
      </c>
      <c r="J30" s="4">
        <f t="shared" si="4"/>
        <v>748.59924072682952</v>
      </c>
      <c r="K30" s="4">
        <f t="shared" si="5"/>
        <v>168.29262189803282</v>
      </c>
      <c r="L30" s="45">
        <f>Pressure!Q30</f>
        <v>1.7603502742996727E-2</v>
      </c>
      <c r="M30" s="10">
        <f t="shared" si="6"/>
        <v>2.4986564043199433</v>
      </c>
      <c r="N30" s="10">
        <f t="shared" ref="N30:N93" si="7">N29-1/834*(me-mef)</f>
        <v>2.9545467240956045</v>
      </c>
    </row>
    <row r="31" spans="2:17">
      <c r="C31" s="4">
        <f>Pressure!AB31*1000000</f>
        <v>2966319.0736147068</v>
      </c>
      <c r="D31" s="84">
        <f>Pressure!I31</f>
        <v>2.214727558899525E-4</v>
      </c>
      <c r="E31" s="40">
        <f>Pressure!H31</f>
        <v>221.47275588995251</v>
      </c>
      <c r="F31" s="10">
        <f t="shared" si="1"/>
        <v>8</v>
      </c>
      <c r="G31" s="4">
        <f t="shared" si="0"/>
        <v>101000</v>
      </c>
      <c r="H31" s="45">
        <f t="shared" si="2"/>
        <v>5.3308388547491532</v>
      </c>
      <c r="I31" s="10">
        <f t="shared" si="3"/>
        <v>1.2761964692909802</v>
      </c>
      <c r="J31" s="4">
        <f t="shared" si="4"/>
        <v>838.40857770656044</v>
      </c>
      <c r="K31" s="4">
        <f t="shared" si="5"/>
        <v>188.48266213447246</v>
      </c>
      <c r="L31" s="45">
        <f>Pressure!Q31</f>
        <v>2.1482688517604476E-2</v>
      </c>
      <c r="M31" s="10">
        <f t="shared" si="6"/>
        <v>3.0781490767290425</v>
      </c>
      <c r="N31" s="10">
        <f t="shared" si="7"/>
        <v>2.9545467240956045</v>
      </c>
    </row>
    <row r="32" spans="2:17">
      <c r="C32" s="4">
        <f>Pressure!AB32*1000000</f>
        <v>3194838.1563154799</v>
      </c>
      <c r="D32" s="84">
        <f>Pressure!I32</f>
        <v>2.214727558899525E-4</v>
      </c>
      <c r="E32" s="40">
        <f>Pressure!H32</f>
        <v>221.47275588995251</v>
      </c>
      <c r="F32" s="10">
        <f t="shared" si="1"/>
        <v>8</v>
      </c>
      <c r="G32" s="4">
        <f t="shared" si="0"/>
        <v>101000</v>
      </c>
      <c r="H32" s="45">
        <f t="shared" si="2"/>
        <v>5.642256393397699</v>
      </c>
      <c r="I32" s="10">
        <f t="shared" si="3"/>
        <v>1.2875470386042396</v>
      </c>
      <c r="J32" s="4">
        <f t="shared" si="4"/>
        <v>911.02915738017248</v>
      </c>
      <c r="K32" s="4">
        <f t="shared" si="5"/>
        <v>204.80849723037915</v>
      </c>
      <c r="L32" s="45">
        <f>Pressure!Q32</f>
        <v>2.5101691753813781E-2</v>
      </c>
      <c r="M32" s="10">
        <f t="shared" si="6"/>
        <v>3.1656104124127817</v>
      </c>
      <c r="N32" s="10">
        <f t="shared" si="7"/>
        <v>2.9545467240956045</v>
      </c>
    </row>
    <row r="33" spans="3:14">
      <c r="C33" s="4">
        <f>Pressure!AB33*1000000</f>
        <v>3381666.4587024399</v>
      </c>
      <c r="D33" s="84">
        <f>Pressure!I33</f>
        <v>2.214727558899525E-4</v>
      </c>
      <c r="E33" s="40">
        <f>Pressure!H33</f>
        <v>221.47275588995251</v>
      </c>
      <c r="F33" s="10">
        <f t="shared" si="1"/>
        <v>8</v>
      </c>
      <c r="G33" s="4">
        <f t="shared" si="0"/>
        <v>101000</v>
      </c>
      <c r="H33" s="45">
        <f t="shared" si="2"/>
        <v>5.8938898605028296</v>
      </c>
      <c r="I33" s="10">
        <f t="shared" si="3"/>
        <v>1.2961069782819445</v>
      </c>
      <c r="J33" s="4">
        <f t="shared" si="4"/>
        <v>970.71542024411099</v>
      </c>
      <c r="K33" s="4">
        <f t="shared" si="5"/>
        <v>218.22656810487635</v>
      </c>
      <c r="L33" s="45">
        <f>Pressure!Q33</f>
        <v>2.8540497141026907E-2</v>
      </c>
      <c r="M33" s="10">
        <f t="shared" si="6"/>
        <v>3.2354766954467369</v>
      </c>
      <c r="N33" s="10">
        <f t="shared" si="7"/>
        <v>2.9545467240956045</v>
      </c>
    </row>
    <row r="34" spans="3:14">
      <c r="C34" s="4">
        <f>Pressure!AB34*1000000</f>
        <v>3536486.3431356205</v>
      </c>
      <c r="D34" s="84">
        <f>Pressure!I34</f>
        <v>2.214727558899525E-4</v>
      </c>
      <c r="E34" s="40">
        <f>Pressure!H34</f>
        <v>221.47275588995251</v>
      </c>
      <c r="F34" s="10">
        <f t="shared" si="1"/>
        <v>8</v>
      </c>
      <c r="G34" s="4">
        <f t="shared" si="0"/>
        <v>101000</v>
      </c>
      <c r="H34" s="45">
        <f t="shared" si="2"/>
        <v>6.1005269783548242</v>
      </c>
      <c r="I34" s="10">
        <f t="shared" si="3"/>
        <v>1.3027706219167796</v>
      </c>
      <c r="J34" s="4">
        <f t="shared" si="4"/>
        <v>1020.3760386562076</v>
      </c>
      <c r="K34" s="4">
        <f t="shared" si="5"/>
        <v>229.39077349404425</v>
      </c>
      <c r="L34" s="45">
        <f>Pressure!Q34</f>
        <v>3.1847400549835231E-2</v>
      </c>
      <c r="M34" s="10">
        <f t="shared" si="6"/>
        <v>3.2921735663433012</v>
      </c>
      <c r="N34" s="10">
        <f t="shared" si="7"/>
        <v>2.9545467240956045</v>
      </c>
    </row>
    <row r="35" spans="3:14">
      <c r="C35" s="4">
        <f>Pressure!AB35*1000000</f>
        <v>3666170.6667514695</v>
      </c>
      <c r="D35" s="84">
        <f>Pressure!I35</f>
        <v>2.214727558899525E-4</v>
      </c>
      <c r="E35" s="40">
        <f>Pressure!H35</f>
        <v>221.47275588995251</v>
      </c>
      <c r="F35" s="10">
        <f t="shared" si="1"/>
        <v>8</v>
      </c>
      <c r="G35" s="4">
        <f t="shared" si="0"/>
        <v>101000</v>
      </c>
      <c r="H35" s="45">
        <f t="shared" si="2"/>
        <v>6.2723722031824831</v>
      </c>
      <c r="I35" s="10">
        <f t="shared" si="3"/>
        <v>1.3080821398158384</v>
      </c>
      <c r="J35" s="4">
        <f t="shared" si="4"/>
        <v>1062.1063468278553</v>
      </c>
      <c r="K35" s="4">
        <f t="shared" si="5"/>
        <v>238.7721655563723</v>
      </c>
      <c r="L35" s="45">
        <f>Pressure!Q35</f>
        <v>3.505398044593093E-2</v>
      </c>
      <c r="M35" s="10">
        <f t="shared" si="6"/>
        <v>3.3388230756333046</v>
      </c>
      <c r="N35" s="10">
        <f t="shared" si="7"/>
        <v>2.9545467240956045</v>
      </c>
    </row>
    <row r="36" spans="3:14">
      <c r="C36" s="4">
        <f>Pressure!AB36*1000000</f>
        <v>3775791.8231503493</v>
      </c>
      <c r="D36" s="84">
        <f>Pressure!I36</f>
        <v>2.214727558899525E-4</v>
      </c>
      <c r="E36" s="40">
        <f>Pressure!H36</f>
        <v>221.47275588995251</v>
      </c>
      <c r="F36" s="10">
        <f t="shared" si="1"/>
        <v>8</v>
      </c>
      <c r="G36" s="4">
        <f t="shared" si="0"/>
        <v>101000</v>
      </c>
      <c r="H36" s="45">
        <f t="shared" si="2"/>
        <v>6.4167861549501088</v>
      </c>
      <c r="I36" s="10">
        <f t="shared" si="3"/>
        <v>1.3123950713811996</v>
      </c>
      <c r="J36" s="4">
        <f t="shared" si="4"/>
        <v>1097.4707197353423</v>
      </c>
      <c r="K36" s="4">
        <f t="shared" si="5"/>
        <v>246.72243148584647</v>
      </c>
      <c r="L36" s="45">
        <f>Pressure!Q36</f>
        <v>3.8182062527316811E-2</v>
      </c>
      <c r="M36" s="10">
        <f t="shared" si="6"/>
        <v>3.3776671626441117</v>
      </c>
      <c r="N36" s="10">
        <f t="shared" si="7"/>
        <v>2.9545467240956045</v>
      </c>
    </row>
    <row r="37" spans="3:14">
      <c r="C37" s="4">
        <f>Pressure!AB37*1000000</f>
        <v>3869200.404636357</v>
      </c>
      <c r="D37" s="84">
        <f>Pressure!I37</f>
        <v>2.214727558899525E-4</v>
      </c>
      <c r="E37" s="40">
        <f>Pressure!H37</f>
        <v>221.47275588995251</v>
      </c>
      <c r="F37" s="10">
        <f t="shared" si="1"/>
        <v>8</v>
      </c>
      <c r="G37" s="4">
        <f t="shared" si="0"/>
        <v>101000</v>
      </c>
      <c r="H37" s="45">
        <f t="shared" si="2"/>
        <v>6.5392525228410001</v>
      </c>
      <c r="I37" s="10">
        <f t="shared" si="3"/>
        <v>1.315950644287404</v>
      </c>
      <c r="J37" s="4">
        <f t="shared" si="4"/>
        <v>1127.6676853247416</v>
      </c>
      <c r="K37" s="4">
        <f t="shared" si="5"/>
        <v>253.51101239259512</v>
      </c>
      <c r="L37" s="45">
        <f>Pressure!Q37</f>
        <v>4.1247358195279173E-2</v>
      </c>
      <c r="M37" s="10">
        <f t="shared" si="6"/>
        <v>3.4103535568236767</v>
      </c>
      <c r="N37" s="10">
        <f t="shared" si="7"/>
        <v>2.9545467240956045</v>
      </c>
    </row>
    <row r="38" spans="3:14">
      <c r="C38" s="4">
        <f>Pressure!AB38*1000000</f>
        <v>3949382.0483653257</v>
      </c>
      <c r="D38" s="84">
        <f>Pressure!I38</f>
        <v>2.214727558899525E-4</v>
      </c>
      <c r="E38" s="40">
        <f>Pressure!H38</f>
        <v>221.47275588995251</v>
      </c>
      <c r="F38" s="10">
        <f t="shared" si="1"/>
        <v>8</v>
      </c>
      <c r="G38" s="4">
        <f t="shared" si="0"/>
        <v>101000</v>
      </c>
      <c r="H38" s="45">
        <f t="shared" si="2"/>
        <v>6.6439577018344229</v>
      </c>
      <c r="I38" s="10">
        <f t="shared" si="3"/>
        <v>1.3189198109733906</v>
      </c>
      <c r="J38" s="4">
        <f t="shared" si="4"/>
        <v>1153.633474427869</v>
      </c>
      <c r="K38" s="4">
        <f t="shared" si="5"/>
        <v>259.34838236317364</v>
      </c>
      <c r="L38" s="45">
        <f>Pressure!Q38</f>
        <v>4.4261532609196852E-2</v>
      </c>
      <c r="M38" s="10">
        <f t="shared" si="6"/>
        <v>3.4381197930835237</v>
      </c>
      <c r="N38" s="10">
        <f t="shared" si="7"/>
        <v>2.9545467240956045</v>
      </c>
    </row>
    <row r="39" spans="3:14">
      <c r="C39" s="4">
        <f>Pressure!AB39*1000000</f>
        <v>4018689.928355956</v>
      </c>
      <c r="D39" s="84">
        <f>Pressure!I39</f>
        <v>2.214727558899525E-4</v>
      </c>
      <c r="E39" s="40">
        <f>Pressure!H39</f>
        <v>221.47275588995251</v>
      </c>
      <c r="F39" s="10">
        <f t="shared" si="1"/>
        <v>8</v>
      </c>
      <c r="G39" s="4">
        <f t="shared" si="0"/>
        <v>101000</v>
      </c>
      <c r="H39" s="45">
        <f t="shared" si="2"/>
        <v>6.7341588881822165</v>
      </c>
      <c r="I39" s="10">
        <f t="shared" si="3"/>
        <v>1.3214274139561879</v>
      </c>
      <c r="J39" s="4">
        <f t="shared" si="4"/>
        <v>1176.1104819397187</v>
      </c>
      <c r="K39" s="4">
        <f t="shared" si="5"/>
        <v>264.40143922029557</v>
      </c>
      <c r="L39" s="45">
        <f>Pressure!Q39</f>
        <v>4.7233458299545526E-2</v>
      </c>
      <c r="M39" s="10">
        <f t="shared" si="6"/>
        <v>3.4619129579316978</v>
      </c>
      <c r="N39" s="10">
        <f t="shared" si="7"/>
        <v>2.9545467240956045</v>
      </c>
    </row>
    <row r="40" spans="3:14">
      <c r="C40" s="4">
        <f>Pressure!AB40*1000000</f>
        <v>4079002.8825195418</v>
      </c>
      <c r="D40" s="84">
        <f>Pressure!I40</f>
        <v>2.214727558899525E-4</v>
      </c>
      <c r="E40" s="40">
        <f>Pressure!H40</f>
        <v>221.47275588995251</v>
      </c>
      <c r="F40" s="10">
        <f t="shared" si="1"/>
        <v>8</v>
      </c>
      <c r="G40" s="4">
        <f t="shared" si="0"/>
        <v>101000</v>
      </c>
      <c r="H40" s="45">
        <f t="shared" si="2"/>
        <v>6.8124287085984312</v>
      </c>
      <c r="I40" s="10">
        <f t="shared" si="3"/>
        <v>1.3235668580909934</v>
      </c>
      <c r="J40" s="4">
        <f t="shared" si="4"/>
        <v>1195.6944296021697</v>
      </c>
      <c r="K40" s="4">
        <f t="shared" si="5"/>
        <v>268.80410718991271</v>
      </c>
      <c r="L40" s="45">
        <f>Pressure!Q40</f>
        <v>5.0170014749963202E-2</v>
      </c>
      <c r="M40" s="10">
        <f t="shared" ref="M40:M103" si="8">(J40+J39)/2*(L40-L39)</f>
        <v>3.4824695060603283</v>
      </c>
      <c r="N40" s="10">
        <f t="shared" si="7"/>
        <v>2.9545467240956045</v>
      </c>
    </row>
    <row r="41" spans="3:14">
      <c r="C41" s="4">
        <f>Pressure!AB41*1000000</f>
        <v>4131836.7291031308</v>
      </c>
      <c r="D41" s="84">
        <f>Pressure!I41</f>
        <v>2.214727558899525E-4</v>
      </c>
      <c r="E41" s="40">
        <f>Pressure!H41</f>
        <v>221.47275588995251</v>
      </c>
      <c r="F41" s="10">
        <f t="shared" si="1"/>
        <v>8</v>
      </c>
      <c r="G41" s="4">
        <f t="shared" si="0"/>
        <v>101000</v>
      </c>
      <c r="H41" s="45">
        <f t="shared" si="2"/>
        <v>6.8808238759453522</v>
      </c>
      <c r="I41" s="10">
        <f t="shared" si="3"/>
        <v>1.325409426030391</v>
      </c>
      <c r="J41" s="4">
        <f t="shared" si="4"/>
        <v>1212.8679405145383</v>
      </c>
      <c r="K41" s="4">
        <f t="shared" si="5"/>
        <v>272.66488478812516</v>
      </c>
      <c r="L41" s="45">
        <f>Pressure!Q41</f>
        <v>5.3076619871607132E-2</v>
      </c>
      <c r="M41" s="10">
        <f t="shared" si="8"/>
        <v>3.5003698603900335</v>
      </c>
      <c r="N41" s="10">
        <f t="shared" si="7"/>
        <v>2.9545467240956045</v>
      </c>
    </row>
    <row r="42" spans="3:14">
      <c r="C42" s="4">
        <f>Pressure!AB42*1000000</f>
        <v>4178424.8610488996</v>
      </c>
      <c r="D42" s="84">
        <f>Pressure!I42</f>
        <v>2.214727558899525E-4</v>
      </c>
      <c r="E42" s="40">
        <f>Pressure!H42</f>
        <v>221.47275588995251</v>
      </c>
      <c r="F42" s="10">
        <f t="shared" si="1"/>
        <v>8</v>
      </c>
      <c r="G42" s="4">
        <f t="shared" si="0"/>
        <v>101000</v>
      </c>
      <c r="H42" s="45">
        <f t="shared" si="2"/>
        <v>6.9410050287132021</v>
      </c>
      <c r="I42" s="10">
        <f t="shared" si="3"/>
        <v>1.3270104171549872</v>
      </c>
      <c r="J42" s="4">
        <f t="shared" si="4"/>
        <v>1228.0250864131201</v>
      </c>
      <c r="K42" s="4">
        <f t="shared" si="5"/>
        <v>276.07236329596691</v>
      </c>
      <c r="L42" s="45">
        <f>Pressure!Q42</f>
        <v>5.5957595527643941E-2</v>
      </c>
      <c r="M42" s="10">
        <f t="shared" si="8"/>
        <v>3.5160766947842919</v>
      </c>
      <c r="N42" s="10">
        <f t="shared" si="7"/>
        <v>2.9545467240956045</v>
      </c>
    </row>
    <row r="43" spans="3:14">
      <c r="C43" s="4">
        <f>Pressure!AB43*1000000</f>
        <v>4219777.9665081371</v>
      </c>
      <c r="D43" s="84">
        <f>Pressure!I43</f>
        <v>2.214727558899525E-4</v>
      </c>
      <c r="E43" s="40">
        <f>Pressure!H43</f>
        <v>221.47275588995251</v>
      </c>
      <c r="F43" s="10">
        <f t="shared" si="1"/>
        <v>8</v>
      </c>
      <c r="G43" s="4">
        <f t="shared" si="0"/>
        <v>101000</v>
      </c>
      <c r="H43" s="45">
        <f t="shared" si="2"/>
        <v>6.9943240513824128</v>
      </c>
      <c r="I43" s="10">
        <f t="shared" si="3"/>
        <v>1.3284133228998196</v>
      </c>
      <c r="J43" s="4">
        <f t="shared" si="4"/>
        <v>1241.4897335552109</v>
      </c>
      <c r="K43" s="4">
        <f t="shared" si="5"/>
        <v>279.09935109824443</v>
      </c>
      <c r="L43" s="45">
        <f>Pressure!Q43</f>
        <v>5.8816426223393073E-2</v>
      </c>
      <c r="M43" s="10">
        <f t="shared" si="8"/>
        <v>3.5299623854664275</v>
      </c>
      <c r="N43" s="10">
        <f t="shared" si="7"/>
        <v>2.9545467240956045</v>
      </c>
    </row>
    <row r="44" spans="3:14">
      <c r="C44" s="4">
        <f>Pressure!AB44*1000000</f>
        <v>4256729.1470934656</v>
      </c>
      <c r="D44" s="84">
        <f>Pressure!I44</f>
        <v>2.214727558899525E-4</v>
      </c>
      <c r="E44" s="40">
        <f>Pressure!H44</f>
        <v>221.47275588995251</v>
      </c>
      <c r="F44" s="10">
        <f t="shared" si="1"/>
        <v>8</v>
      </c>
      <c r="G44" s="4">
        <f t="shared" si="0"/>
        <v>101000</v>
      </c>
      <c r="H44" s="45">
        <f t="shared" si="2"/>
        <v>7.0418890599108188</v>
      </c>
      <c r="I44" s="10">
        <f t="shared" si="3"/>
        <v>1.3296527445001132</v>
      </c>
      <c r="J44" s="4">
        <f t="shared" si="4"/>
        <v>1253.5295069664132</v>
      </c>
      <c r="K44" s="4">
        <f t="shared" si="5"/>
        <v>281.8060129864694</v>
      </c>
      <c r="L44" s="45">
        <f>Pressure!Q44</f>
        <v>6.1655946687005456E-2</v>
      </c>
      <c r="M44" s="10">
        <f t="shared" si="8"/>
        <v>3.5423290952838884</v>
      </c>
      <c r="N44" s="10">
        <f t="shared" si="7"/>
        <v>2.9545467240956045</v>
      </c>
    </row>
    <row r="45" spans="3:14">
      <c r="C45" s="4">
        <f>Pressure!AB45*1000000</f>
        <v>4289968.5643755915</v>
      </c>
      <c r="D45" s="84">
        <f>Pressure!I45</f>
        <v>2.214727558899525E-4</v>
      </c>
      <c r="E45" s="40">
        <f>Pressure!H45</f>
        <v>221.47275588995251</v>
      </c>
      <c r="F45" s="10">
        <f t="shared" si="1"/>
        <v>8</v>
      </c>
      <c r="G45" s="4">
        <f t="shared" si="0"/>
        <v>101000</v>
      </c>
      <c r="H45" s="45">
        <f t="shared" si="2"/>
        <v>7.0846136403351103</v>
      </c>
      <c r="I45" s="10">
        <f t="shared" si="3"/>
        <v>1.3307564803055945</v>
      </c>
      <c r="J45" s="4">
        <f t="shared" si="4"/>
        <v>1264.3665840237336</v>
      </c>
      <c r="K45" s="4">
        <f t="shared" si="5"/>
        <v>284.24229666465845</v>
      </c>
      <c r="L45" s="45">
        <f>Pressure!Q45</f>
        <v>6.447848074263067E-2</v>
      </c>
      <c r="M45" s="10">
        <f t="shared" si="8"/>
        <v>3.5534237326726466</v>
      </c>
      <c r="N45" s="10">
        <f t="shared" si="7"/>
        <v>2.9545467240956045</v>
      </c>
    </row>
    <row r="46" spans="3:14">
      <c r="C46" s="4">
        <f>Pressure!AB46*1000000</f>
        <v>4320070.4150358792</v>
      </c>
      <c r="D46" s="84">
        <f>Pressure!I46</f>
        <v>2.214727558899525E-4</v>
      </c>
      <c r="E46" s="40">
        <f>Pressure!H46</f>
        <v>221.47275588995251</v>
      </c>
      <c r="F46" s="10">
        <f t="shared" si="1"/>
        <v>8</v>
      </c>
      <c r="G46" s="4">
        <f t="shared" si="0"/>
        <v>101000</v>
      </c>
      <c r="H46" s="45">
        <f t="shared" si="2"/>
        <v>7.1232547313614933</v>
      </c>
      <c r="I46" s="10">
        <f t="shared" si="3"/>
        <v>1.3317470498722299</v>
      </c>
      <c r="J46" s="4">
        <f t="shared" si="4"/>
        <v>1274.1861463160858</v>
      </c>
      <c r="K46" s="4">
        <f t="shared" si="5"/>
        <v>286.44983281239286</v>
      </c>
      <c r="L46" s="45">
        <f>Pressure!Q46</f>
        <v>6.7285945979161821E-2</v>
      </c>
      <c r="M46" s="10">
        <f t="shared" si="8"/>
        <v>3.56344927076514</v>
      </c>
      <c r="N46" s="10">
        <f t="shared" si="7"/>
        <v>2.9545467240956045</v>
      </c>
    </row>
    <row r="47" spans="3:14">
      <c r="C47" s="4">
        <f>Pressure!AB47*1000000</f>
        <v>4347514.1818064358</v>
      </c>
      <c r="D47" s="84">
        <f>Pressure!I47</f>
        <v>2.214727558899525E-4</v>
      </c>
      <c r="E47" s="40">
        <f>Pressure!H47</f>
        <v>221.47275588995251</v>
      </c>
      <c r="F47" s="10">
        <f t="shared" si="1"/>
        <v>8</v>
      </c>
      <c r="G47" s="4">
        <f t="shared" si="0"/>
        <v>101000</v>
      </c>
      <c r="H47" s="45">
        <f t="shared" si="2"/>
        <v>7.158442154797247</v>
      </c>
      <c r="I47" s="10">
        <f t="shared" si="3"/>
        <v>1.3326428269466843</v>
      </c>
      <c r="J47" s="4">
        <f t="shared" si="4"/>
        <v>1283.1430713061918</v>
      </c>
      <c r="K47" s="4">
        <f t="shared" si="5"/>
        <v>288.46343943756841</v>
      </c>
      <c r="L47" s="45">
        <f>Pressure!Q47</f>
        <v>7.0079933869475156E-2</v>
      </c>
      <c r="M47" s="10">
        <f t="shared" si="8"/>
        <v>3.5725734327905592</v>
      </c>
      <c r="N47" s="10">
        <f t="shared" si="7"/>
        <v>2.9545467240956045</v>
      </c>
    </row>
    <row r="48" spans="3:14">
      <c r="C48" s="4">
        <f>Pressure!AB48*1000000</f>
        <v>4372701.544391308</v>
      </c>
      <c r="D48" s="84">
        <f>Pressure!I48</f>
        <v>2.214727558899525E-4</v>
      </c>
      <c r="E48" s="40">
        <f>Pressure!H48</f>
        <v>221.47275588995251</v>
      </c>
      <c r="F48" s="10">
        <f t="shared" si="1"/>
        <v>8</v>
      </c>
      <c r="G48" s="4">
        <f t="shared" si="0"/>
        <v>101000</v>
      </c>
      <c r="H48" s="45">
        <f t="shared" si="2"/>
        <v>7.1907018966454617</v>
      </c>
      <c r="I48" s="10">
        <f t="shared" si="3"/>
        <v>1.3334588951121078</v>
      </c>
      <c r="J48" s="4">
        <f t="shared" si="4"/>
        <v>1291.3672806226537</v>
      </c>
      <c r="K48" s="4">
        <f t="shared" si="5"/>
        <v>290.31232422612601</v>
      </c>
      <c r="L48" s="45">
        <f>Pressure!Q48</f>
        <v>7.2861771927823435E-2</v>
      </c>
      <c r="M48" s="10">
        <f t="shared" si="8"/>
        <v>3.5809354393036426</v>
      </c>
      <c r="N48" s="10">
        <f t="shared" si="7"/>
        <v>2.9545467240956045</v>
      </c>
    </row>
    <row r="49" spans="3:14">
      <c r="C49" s="4">
        <f>Pressure!AB49*1000000</f>
        <v>4395969.9537600204</v>
      </c>
      <c r="D49" s="84">
        <f>Pressure!I49</f>
        <v>2.214727558899525E-4</v>
      </c>
      <c r="E49" s="40">
        <f>Pressure!H49</f>
        <v>221.47275588995251</v>
      </c>
      <c r="F49" s="10">
        <f t="shared" si="1"/>
        <v>8</v>
      </c>
      <c r="G49" s="4">
        <f t="shared" si="0"/>
        <v>101000</v>
      </c>
      <c r="H49" s="45">
        <f t="shared" si="2"/>
        <v>7.2204746412181411</v>
      </c>
      <c r="I49" s="10">
        <f t="shared" si="3"/>
        <v>1.3342077030507009</v>
      </c>
      <c r="J49" s="4">
        <f t="shared" si="4"/>
        <v>1298.9680494557788</v>
      </c>
      <c r="K49" s="4">
        <f t="shared" si="5"/>
        <v>292.02105333748005</v>
      </c>
      <c r="L49" s="45">
        <f>Pressure!Q49</f>
        <v>7.5632572499824011E-2</v>
      </c>
      <c r="M49" s="10">
        <f t="shared" si="8"/>
        <v>3.5886513071273103</v>
      </c>
      <c r="N49" s="10">
        <f t="shared" si="7"/>
        <v>2.9545467240956045</v>
      </c>
    </row>
    <row r="50" spans="3:14">
      <c r="C50" s="4">
        <f>Pressure!AB50*1000000</f>
        <v>4417603.6099428916</v>
      </c>
      <c r="D50" s="84">
        <f>Pressure!I50</f>
        <v>2.214727558899525E-4</v>
      </c>
      <c r="E50" s="40">
        <f>Pressure!H50</f>
        <v>221.47275588995251</v>
      </c>
      <c r="F50" s="10">
        <f t="shared" si="1"/>
        <v>8</v>
      </c>
      <c r="G50" s="4">
        <f t="shared" si="0"/>
        <v>101000</v>
      </c>
      <c r="H50" s="45">
        <f t="shared" si="2"/>
        <v>7.2481306514075978</v>
      </c>
      <c r="I50" s="10">
        <f t="shared" si="3"/>
        <v>1.3348995725708579</v>
      </c>
      <c r="J50" s="4">
        <f t="shared" si="4"/>
        <v>1306.0375032355892</v>
      </c>
      <c r="K50" s="4">
        <f t="shared" si="5"/>
        <v>293.61033749282615</v>
      </c>
      <c r="L50" s="45">
        <f>Pressure!Q50</f>
        <v>7.8393271452929084E-2</v>
      </c>
      <c r="M50" s="10">
        <f t="shared" si="8"/>
        <v>3.5958180510739806</v>
      </c>
      <c r="N50" s="10">
        <f t="shared" si="7"/>
        <v>2.9545467240956045</v>
      </c>
    </row>
    <row r="51" spans="3:14">
      <c r="C51" s="4">
        <f>Pressure!AB51*1000000</f>
        <v>4437842.3977032611</v>
      </c>
      <c r="D51" s="84">
        <f>Pressure!I51</f>
        <v>2.214727558899525E-4</v>
      </c>
      <c r="E51" s="40">
        <f>Pressure!H51</f>
        <v>221.47275588995251</v>
      </c>
      <c r="F51" s="10">
        <f t="shared" si="1"/>
        <v>8</v>
      </c>
      <c r="G51" s="4">
        <f t="shared" si="0"/>
        <v>101000</v>
      </c>
      <c r="H51" s="45">
        <f t="shared" si="2"/>
        <v>7.2739818035033288</v>
      </c>
      <c r="I51" s="10">
        <f t="shared" si="3"/>
        <v>1.3355430967992143</v>
      </c>
      <c r="J51" s="4">
        <f t="shared" si="4"/>
        <v>1312.6534721070641</v>
      </c>
      <c r="K51" s="4">
        <f t="shared" si="5"/>
        <v>295.09767368982153</v>
      </c>
      <c r="L51" s="45">
        <f>Pressure!Q51</f>
        <v>8.1144659133212921E-2</v>
      </c>
      <c r="M51" s="10">
        <f t="shared" si="8"/>
        <v>3.602517044014121</v>
      </c>
      <c r="N51" s="10">
        <f t="shared" si="7"/>
        <v>2.9545467240956045</v>
      </c>
    </row>
    <row r="52" spans="3:14">
      <c r="C52" s="4">
        <f>Pressure!AB52*1000000</f>
        <v>4456889.2011141451</v>
      </c>
      <c r="D52" s="84">
        <f>Pressure!I52</f>
        <v>2.214727558899525E-4</v>
      </c>
      <c r="E52" s="40">
        <f>Pressure!H52</f>
        <v>221.47275588995251</v>
      </c>
      <c r="F52" s="10">
        <f t="shared" si="1"/>
        <v>8</v>
      </c>
      <c r="G52" s="4">
        <f t="shared" si="0"/>
        <v>101000</v>
      </c>
      <c r="H52" s="45">
        <f t="shared" si="2"/>
        <v>7.2982913832164567</v>
      </c>
      <c r="I52" s="10">
        <f t="shared" si="3"/>
        <v>1.3361454553117202</v>
      </c>
      <c r="J52" s="4">
        <f t="shared" si="4"/>
        <v>1318.8818334747234</v>
      </c>
      <c r="K52" s="4">
        <f t="shared" si="5"/>
        <v>296.49787183011631</v>
      </c>
      <c r="L52" s="45">
        <f>Pressure!Q52</f>
        <v>8.388740532889101E-2</v>
      </c>
      <c r="M52" s="10">
        <f t="shared" si="8"/>
        <v>3.6088167240885132</v>
      </c>
      <c r="N52" s="10">
        <f t="shared" si="7"/>
        <v>2.9545467240956045</v>
      </c>
    </row>
    <row r="53" spans="3:14">
      <c r="C53" s="4">
        <f>Pressure!AB53*1000000</f>
        <v>4474915.9207077036</v>
      </c>
      <c r="D53" s="84">
        <f>Pressure!I53</f>
        <v>2.214727558899525E-4</v>
      </c>
      <c r="E53" s="40">
        <f>Pressure!H53</f>
        <v>221.47275588995251</v>
      </c>
      <c r="F53" s="10">
        <f t="shared" si="1"/>
        <v>8</v>
      </c>
      <c r="G53" s="4">
        <f t="shared" si="0"/>
        <v>101000</v>
      </c>
      <c r="H53" s="45">
        <f t="shared" si="2"/>
        <v>7.3212821041641112</v>
      </c>
      <c r="I53" s="10">
        <f t="shared" si="3"/>
        <v>1.3367126656719754</v>
      </c>
      <c r="J53" s="4">
        <f t="shared" si="4"/>
        <v>1324.7784433088063</v>
      </c>
      <c r="K53" s="4">
        <f t="shared" si="5"/>
        <v>297.82348889636398</v>
      </c>
      <c r="L53" s="45">
        <f>Pressure!Q53</f>
        <v>8.6622079539594929E-2</v>
      </c>
      <c r="M53" s="10">
        <f t="shared" si="8"/>
        <v>3.6147747903911518</v>
      </c>
      <c r="N53" s="10">
        <f t="shared" si="7"/>
        <v>2.9545467240956045</v>
      </c>
    </row>
    <row r="54" spans="3:14">
      <c r="C54" s="4">
        <f>Pressure!AB54*1000000</f>
        <v>4492068.4447769783</v>
      </c>
      <c r="D54" s="84">
        <f>Pressure!I54</f>
        <v>2.214727558899525E-4</v>
      </c>
      <c r="E54" s="40">
        <f>Pressure!H54</f>
        <v>221.47275588995251</v>
      </c>
      <c r="F54" s="10">
        <f t="shared" si="1"/>
        <v>8</v>
      </c>
      <c r="G54" s="4">
        <f t="shared" si="0"/>
        <v>101000</v>
      </c>
      <c r="H54" s="45">
        <f t="shared" si="2"/>
        <v>7.343142703695702</v>
      </c>
      <c r="I54" s="10">
        <f t="shared" si="3"/>
        <v>1.3372497857376557</v>
      </c>
      <c r="J54" s="4">
        <f t="shared" si="4"/>
        <v>1330.3907348656569</v>
      </c>
      <c r="K54" s="4">
        <f t="shared" si="5"/>
        <v>299.08518836060807</v>
      </c>
      <c r="L54" s="45">
        <f>Pressure!Q54</f>
        <v>8.9349167533829196E-2</v>
      </c>
      <c r="M54" s="10">
        <f t="shared" si="8"/>
        <v>3.6204399942302223</v>
      </c>
      <c r="N54" s="10">
        <f t="shared" si="7"/>
        <v>2.9545467240956045</v>
      </c>
    </row>
    <row r="55" spans="3:14">
      <c r="C55" s="4">
        <f>Pressure!AB55*1000000</f>
        <v>4508470.7722907932</v>
      </c>
      <c r="D55" s="84">
        <f>Pressure!I55</f>
        <v>2.214727558899525E-4</v>
      </c>
      <c r="E55" s="40">
        <f>Pressure!H55</f>
        <v>221.47275588995251</v>
      </c>
      <c r="F55" s="10">
        <f t="shared" si="1"/>
        <v>8</v>
      </c>
      <c r="G55" s="4">
        <f t="shared" si="0"/>
        <v>101000</v>
      </c>
      <c r="H55" s="45">
        <f t="shared" si="2"/>
        <v>7.3640333920071379</v>
      </c>
      <c r="I55" s="10">
        <f t="shared" si="3"/>
        <v>1.3377610774686441</v>
      </c>
      <c r="J55" s="4">
        <f t="shared" si="4"/>
        <v>1335.7590468319981</v>
      </c>
      <c r="K55" s="4">
        <f t="shared" si="5"/>
        <v>300.29203876444365</v>
      </c>
      <c r="L55" s="45">
        <f>Pressure!Q55</f>
        <v>9.2069084946529559E-2</v>
      </c>
      <c r="M55" s="10">
        <f t="shared" si="8"/>
        <v>3.6258536080533612</v>
      </c>
      <c r="N55" s="10">
        <f t="shared" si="7"/>
        <v>2.9545467240956045</v>
      </c>
    </row>
    <row r="56" spans="3:14">
      <c r="C56" s="4">
        <f>Pressure!AB56*1000000</f>
        <v>4524228.4437526437</v>
      </c>
      <c r="D56" s="84">
        <f>Pressure!I56</f>
        <v>2.214727558899525E-4</v>
      </c>
      <c r="E56" s="40">
        <f>Pressure!H56</f>
        <v>221.47275588995251</v>
      </c>
      <c r="F56" s="10">
        <f t="shared" si="1"/>
        <v>8</v>
      </c>
      <c r="G56" s="4">
        <f t="shared" si="0"/>
        <v>101000</v>
      </c>
      <c r="H56" s="45">
        <f t="shared" si="2"/>
        <v>7.3840903711513697</v>
      </c>
      <c r="I56" s="10">
        <f t="shared" si="3"/>
        <v>1.3382501403566998</v>
      </c>
      <c r="J56" s="4">
        <f t="shared" si="4"/>
        <v>1340.9177301847158</v>
      </c>
      <c r="K56" s="4">
        <f t="shared" si="5"/>
        <v>301.45176255220446</v>
      </c>
      <c r="L56" s="45">
        <f>Pressure!Q56</f>
        <v>9.4782188498493264E-2</v>
      </c>
      <c r="M56" s="10">
        <f t="shared" si="8"/>
        <v>3.6310506355914045</v>
      </c>
      <c r="N56" s="10">
        <f t="shared" si="7"/>
        <v>2.9545467240956045</v>
      </c>
    </row>
    <row r="57" spans="3:14">
      <c r="C57" s="4">
        <f>Pressure!AB57*1000000</f>
        <v>4539431.404750078</v>
      </c>
      <c r="D57" s="84">
        <f>Pressure!I57</f>
        <v>2.214727558899525E-4</v>
      </c>
      <c r="E57" s="40">
        <f>Pressure!H57</f>
        <v>221.47275588995251</v>
      </c>
      <c r="F57" s="10">
        <f t="shared" si="1"/>
        <v>8</v>
      </c>
      <c r="G57" s="4">
        <f t="shared" si="0"/>
        <v>101000</v>
      </c>
      <c r="H57" s="45">
        <f t="shared" si="2"/>
        <v>7.4034295954504641</v>
      </c>
      <c r="I57" s="10">
        <f t="shared" si="3"/>
        <v>1.3387200206882319</v>
      </c>
      <c r="J57" s="4">
        <f t="shared" si="4"/>
        <v>1345.8960732421515</v>
      </c>
      <c r="K57" s="4">
        <f t="shared" si="5"/>
        <v>302.57094403177723</v>
      </c>
      <c r="L57" s="45">
        <f>Pressure!Q57</f>
        <v>9.7488785292256686E-2</v>
      </c>
      <c r="M57" s="10">
        <f t="shared" si="8"/>
        <v>3.6360608128972314</v>
      </c>
      <c r="N57" s="10">
        <f t="shared" si="7"/>
        <v>2.9545467240956045</v>
      </c>
    </row>
    <row r="58" spans="3:14">
      <c r="C58" s="4">
        <f>Pressure!AB58*1000000</f>
        <v>4554156.4024159787</v>
      </c>
      <c r="D58" s="84">
        <f>Pressure!I58</f>
        <v>2.214727558899525E-4</v>
      </c>
      <c r="E58" s="40">
        <f>Pressure!H58</f>
        <v>221.47275588995251</v>
      </c>
      <c r="F58" s="10">
        <f t="shared" si="1"/>
        <v>8</v>
      </c>
      <c r="G58" s="4">
        <f t="shared" si="0"/>
        <v>101000</v>
      </c>
      <c r="H58" s="45">
        <f t="shared" si="2"/>
        <v>7.4221499101294643</v>
      </c>
      <c r="I58" s="10">
        <f t="shared" si="3"/>
        <v>1.3391733014401872</v>
      </c>
      <c r="J58" s="4">
        <f t="shared" si="4"/>
        <v>1350.7190767252462</v>
      </c>
      <c r="K58" s="4">
        <f t="shared" si="5"/>
        <v>303.65520361612477</v>
      </c>
      <c r="L58" s="45">
        <f>Pressure!Q58</f>
        <v>0.10018914054278401</v>
      </c>
      <c r="M58" s="10">
        <f t="shared" si="8"/>
        <v>3.6409094394329933</v>
      </c>
      <c r="N58" s="10">
        <f t="shared" si="7"/>
        <v>2.9545467240956045</v>
      </c>
    </row>
    <row r="59" spans="3:14">
      <c r="C59" s="4">
        <f>Pressure!AB59*1000000</f>
        <v>4568468.9958310928</v>
      </c>
      <c r="D59" s="84">
        <f>Pressure!I59</f>
        <v>2.214727558899525E-4</v>
      </c>
      <c r="E59" s="40">
        <f>Pressure!H59</f>
        <v>221.47275588995251</v>
      </c>
      <c r="F59" s="10">
        <f t="shared" si="1"/>
        <v>8</v>
      </c>
      <c r="G59" s="4">
        <f t="shared" si="0"/>
        <v>101000</v>
      </c>
      <c r="H59" s="45">
        <f t="shared" si="2"/>
        <v>7.4403356780886574</v>
      </c>
      <c r="I59" s="10">
        <f t="shared" si="3"/>
        <v>1.3396121765534297</v>
      </c>
      <c r="J59" s="4">
        <f t="shared" si="4"/>
        <v>1355.4081046288393</v>
      </c>
      <c r="K59" s="4">
        <f t="shared" si="5"/>
        <v>304.70934414568575</v>
      </c>
      <c r="L59" s="45">
        <f>Pressure!Q59</f>
        <v>0.10288348402777035</v>
      </c>
      <c r="M59" s="10">
        <f t="shared" si="8"/>
        <v>3.6456180703129197</v>
      </c>
      <c r="N59" s="10">
        <f t="shared" si="7"/>
        <v>2.9545467240956045</v>
      </c>
    </row>
    <row r="60" spans="3:14">
      <c r="C60" s="4">
        <f>Pressure!AB60*1000000</f>
        <v>4582425.2462344719</v>
      </c>
      <c r="D60" s="84">
        <f>Pressure!I60</f>
        <v>2.214727558899525E-4</v>
      </c>
      <c r="E60" s="40">
        <f>Pressure!H60</f>
        <v>221.47275588995251</v>
      </c>
      <c r="F60" s="10">
        <f t="shared" si="1"/>
        <v>8</v>
      </c>
      <c r="G60" s="4">
        <f t="shared" si="0"/>
        <v>101000</v>
      </c>
      <c r="H60" s="45">
        <f t="shared" si="2"/>
        <v>7.4580589836520668</v>
      </c>
      <c r="I60" s="10">
        <f t="shared" si="3"/>
        <v>1.3400385125293284</v>
      </c>
      <c r="J60" s="4">
        <f t="shared" si="4"/>
        <v>1359.9814319301352</v>
      </c>
      <c r="K60" s="4">
        <f t="shared" si="5"/>
        <v>305.73747401873459</v>
      </c>
      <c r="L60" s="45">
        <f>Pressure!Q60</f>
        <v>0.10557201548555165</v>
      </c>
      <c r="M60" s="10">
        <f t="shared" si="8"/>
        <v>3.6502050945844844</v>
      </c>
      <c r="N60" s="10">
        <f t="shared" si="7"/>
        <v>2.9545467240956045</v>
      </c>
    </row>
    <row r="61" spans="3:14">
      <c r="C61" s="4">
        <f>Pressure!AB61*1000000</f>
        <v>4596073.1408511903</v>
      </c>
      <c r="D61" s="84">
        <f>Pressure!I61</f>
        <v>2.214727558899525E-4</v>
      </c>
      <c r="E61" s="40">
        <f>Pressure!H61</f>
        <v>221.47275588995251</v>
      </c>
      <c r="F61" s="10">
        <f t="shared" si="1"/>
        <v>8</v>
      </c>
      <c r="G61" s="4">
        <f t="shared" si="0"/>
        <v>101000</v>
      </c>
      <c r="H61" s="45">
        <f t="shared" si="2"/>
        <v>7.4753814854945633</v>
      </c>
      <c r="I61" s="10">
        <f t="shared" si="3"/>
        <v>1.3404538996851865</v>
      </c>
      <c r="J61" s="4">
        <f t="shared" si="4"/>
        <v>1364.4547063521177</v>
      </c>
      <c r="K61" s="4">
        <f t="shared" si="5"/>
        <v>306.7431110004311</v>
      </c>
      <c r="L61" s="45">
        <f>Pressure!Q61</f>
        <v>0.10825490914433769</v>
      </c>
      <c r="M61" s="10">
        <f t="shared" si="8"/>
        <v>3.6546862195824983</v>
      </c>
      <c r="N61" s="10">
        <f t="shared" si="7"/>
        <v>2.9545467240956045</v>
      </c>
    </row>
    <row r="62" spans="3:14">
      <c r="C62" s="4">
        <f>Pressure!AB62*1000000</f>
        <v>4609453.7944849888</v>
      </c>
      <c r="D62" s="84">
        <f>Pressure!I62</f>
        <v>2.214727558899525E-4</v>
      </c>
      <c r="E62" s="40">
        <f>Pressure!H62</f>
        <v>221.47275588995251</v>
      </c>
      <c r="F62" s="10">
        <f t="shared" si="1"/>
        <v>8</v>
      </c>
      <c r="G62" s="4">
        <f t="shared" si="0"/>
        <v>101000</v>
      </c>
      <c r="H62" s="45">
        <f t="shared" si="2"/>
        <v>7.4923559777129434</v>
      </c>
      <c r="I62" s="10">
        <f t="shared" si="3"/>
        <v>1.3408596949334393</v>
      </c>
      <c r="J62" s="4">
        <f t="shared" si="4"/>
        <v>1368.8413383373536</v>
      </c>
      <c r="K62" s="4">
        <f t="shared" si="5"/>
        <v>307.72926989284508</v>
      </c>
      <c r="L62" s="45">
        <f>Pressure!Q62</f>
        <v>0.11093231753168455</v>
      </c>
      <c r="M62" s="10">
        <f t="shared" si="8"/>
        <v>3.6590748775767876</v>
      </c>
      <c r="N62" s="10">
        <f t="shared" si="7"/>
        <v>2.9545467240956045</v>
      </c>
    </row>
    <row r="63" spans="3:14">
      <c r="C63" s="4">
        <f>Pressure!AB63*1000000</f>
        <v>4622602.4652478015</v>
      </c>
      <c r="D63" s="84">
        <f>Pressure!I63</f>
        <v>2.214727558899525E-4</v>
      </c>
      <c r="E63" s="40">
        <f>Pressure!H63</f>
        <v>221.47275588995251</v>
      </c>
      <c r="F63" s="10">
        <f t="shared" si="1"/>
        <v>8</v>
      </c>
      <c r="G63" s="4">
        <f t="shared" si="0"/>
        <v>101000</v>
      </c>
      <c r="H63" s="45">
        <f t="shared" si="2"/>
        <v>7.5090277074198619</v>
      </c>
      <c r="I63" s="10">
        <f t="shared" si="3"/>
        <v>1.3412570575835918</v>
      </c>
      <c r="J63" s="4">
        <f t="shared" si="4"/>
        <v>1373.1528309159523</v>
      </c>
      <c r="K63" s="4">
        <f t="shared" si="5"/>
        <v>308.69853669258407</v>
      </c>
      <c r="L63" s="45">
        <f>Pressure!Q63</f>
        <v>0.11360437468556009</v>
      </c>
      <c r="M63" s="10">
        <f t="shared" si="8"/>
        <v>3.6633825679191605</v>
      </c>
      <c r="N63" s="10">
        <f t="shared" si="7"/>
        <v>2.9545467240956045</v>
      </c>
    </row>
    <row r="64" spans="3:14">
      <c r="C64" s="4">
        <f>Pressure!AB64*1000000</f>
        <v>4635549.4144879412</v>
      </c>
      <c r="D64" s="84">
        <f>Pressure!I64</f>
        <v>2.214727558899525E-4</v>
      </c>
      <c r="E64" s="40">
        <f>Pressure!H64</f>
        <v>221.47275588995251</v>
      </c>
      <c r="F64" s="10">
        <f t="shared" si="1"/>
        <v>8</v>
      </c>
      <c r="G64" s="4">
        <f t="shared" si="0"/>
        <v>101000</v>
      </c>
      <c r="H64" s="45">
        <f t="shared" si="2"/>
        <v>7.525435488698812</v>
      </c>
      <c r="I64" s="10">
        <f t="shared" si="3"/>
        <v>1.3416469793784889</v>
      </c>
      <c r="J64" s="4">
        <f t="shared" si="4"/>
        <v>1377.3990591402151</v>
      </c>
      <c r="K64" s="4">
        <f t="shared" si="5"/>
        <v>309.65313141050649</v>
      </c>
      <c r="L64" s="45">
        <f>Pressure!Q64</f>
        <v>0.11627119886636905</v>
      </c>
      <c r="M64" s="10">
        <f t="shared" si="8"/>
        <v>3.667619145485792</v>
      </c>
      <c r="N64" s="10">
        <f t="shared" si="7"/>
        <v>2.9545467240956045</v>
      </c>
    </row>
    <row r="65" spans="3:14">
      <c r="C65" s="4">
        <f>Pressure!AB65*1000000</f>
        <v>4648320.6358580608</v>
      </c>
      <c r="D65" s="84">
        <f>Pressure!I65</f>
        <v>2.214727558899525E-4</v>
      </c>
      <c r="E65" s="40">
        <f>Pressure!H65</f>
        <v>221.47275588995251</v>
      </c>
      <c r="F65" s="10">
        <f t="shared" si="1"/>
        <v>8</v>
      </c>
      <c r="G65" s="4">
        <f t="shared" si="0"/>
        <v>101000</v>
      </c>
      <c r="H65" s="45">
        <f t="shared" si="2"/>
        <v>7.5416126458624486</v>
      </c>
      <c r="I65" s="10">
        <f t="shared" si="3"/>
        <v>1.3420303097498962</v>
      </c>
      <c r="J65" s="4">
        <f t="shared" si="4"/>
        <v>1381.5885071226664</v>
      </c>
      <c r="K65" s="4">
        <f t="shared" si="5"/>
        <v>310.59496136025052</v>
      </c>
      <c r="L65" s="45">
        <f>Pressure!Q65</f>
        <v>0.11893289485165438</v>
      </c>
      <c r="M65" s="10">
        <f t="shared" si="8"/>
        <v>3.6717930642870291</v>
      </c>
      <c r="N65" s="10">
        <f t="shared" si="7"/>
        <v>2.9545467240956045</v>
      </c>
    </row>
    <row r="66" spans="3:14">
      <c r="C66" s="4">
        <f>Pressure!AB66*1000000</f>
        <v>4660938.4742468251</v>
      </c>
      <c r="D66" s="84">
        <f>Pressure!I66</f>
        <v>2.214727558899525E-4</v>
      </c>
      <c r="E66" s="40">
        <f>Pressure!H66</f>
        <v>221.47275588995251</v>
      </c>
      <c r="F66" s="10">
        <f t="shared" si="1"/>
        <v>8</v>
      </c>
      <c r="G66" s="4">
        <f t="shared" si="0"/>
        <v>101000</v>
      </c>
      <c r="H66" s="45">
        <f t="shared" si="2"/>
        <v>7.5575878133065677</v>
      </c>
      <c r="I66" s="10">
        <f t="shared" si="3"/>
        <v>1.3424077770971869</v>
      </c>
      <c r="J66" s="4">
        <f t="shared" si="4"/>
        <v>1385.7284693638856</v>
      </c>
      <c r="K66" s="4">
        <f t="shared" si="5"/>
        <v>311.5256664187504</v>
      </c>
      <c r="L66" s="45">
        <f>Pressure!Q66</f>
        <v>0.12158955588093497</v>
      </c>
      <c r="M66" s="10">
        <f t="shared" si="8"/>
        <v>3.6759115835491967</v>
      </c>
      <c r="N66" s="10">
        <f t="shared" si="7"/>
        <v>2.9545467240956045</v>
      </c>
    </row>
    <row r="67" spans="3:14">
      <c r="C67" s="4">
        <f>Pressure!AB67*1000000</f>
        <v>4673422.1518773204</v>
      </c>
      <c r="D67" s="84">
        <f>Pressure!I67</f>
        <v>2.214727558899525E-4</v>
      </c>
      <c r="E67" s="40">
        <f>Pressure!H67</f>
        <v>221.47275588995251</v>
      </c>
      <c r="F67" s="10">
        <f t="shared" si="1"/>
        <v>8</v>
      </c>
      <c r="G67" s="4">
        <f t="shared" si="0"/>
        <v>101000</v>
      </c>
      <c r="H67" s="45">
        <f t="shared" si="2"/>
        <v>7.5733856146851588</v>
      </c>
      <c r="I67" s="10">
        <f t="shared" si="3"/>
        <v>1.3427800067490385</v>
      </c>
      <c r="J67" s="4">
        <f t="shared" si="4"/>
        <v>1389.825221959371</v>
      </c>
      <c r="K67" s="4">
        <f t="shared" si="5"/>
        <v>312.4466575152581</v>
      </c>
      <c r="L67" s="45">
        <f>Pressure!Q67</f>
        <v>0.12424126530657287</v>
      </c>
      <c r="M67" s="10">
        <f t="shared" si="8"/>
        <v>3.6799809423229752</v>
      </c>
      <c r="N67" s="10">
        <f t="shared" si="7"/>
        <v>2.9545467240956045</v>
      </c>
    </row>
    <row r="68" spans="3:14">
      <c r="C68" s="4">
        <f>Pressure!AB68*1000000</f>
        <v>4685788.2160113594</v>
      </c>
      <c r="D68" s="84">
        <f>Pressure!I68</f>
        <v>2.214727558899525E-4</v>
      </c>
      <c r="E68" s="40">
        <f>Pressure!H68</f>
        <v>221.47275588995251</v>
      </c>
      <c r="F68" s="10">
        <f t="shared" si="1"/>
        <v>8</v>
      </c>
      <c r="G68" s="4">
        <f t="shared" si="0"/>
        <v>101000</v>
      </c>
      <c r="H68" s="45">
        <f t="shared" si="2"/>
        <v>7.589027240326895</v>
      </c>
      <c r="I68" s="10">
        <f t="shared" si="3"/>
        <v>1.3431475361508469</v>
      </c>
      <c r="J68" s="4">
        <f t="shared" si="4"/>
        <v>1393.8841683543358</v>
      </c>
      <c r="K68" s="4">
        <f t="shared" si="5"/>
        <v>313.35914939848385</v>
      </c>
      <c r="L68" s="45">
        <f>Pressure!Q68</f>
        <v>0.12688809799711875</v>
      </c>
      <c r="M68" s="10">
        <f t="shared" si="8"/>
        <v>3.6840065076309378</v>
      </c>
      <c r="N68" s="10">
        <f t="shared" si="7"/>
        <v>2.9545467240956045</v>
      </c>
    </row>
    <row r="69" spans="3:14">
      <c r="C69" s="4">
        <f>Pressure!AB69*1000000</f>
        <v>4698050.9203760969</v>
      </c>
      <c r="D69" s="84">
        <f>Pressure!I69</f>
        <v>2.214727558899525E-4</v>
      </c>
      <c r="E69" s="40">
        <f>Pressure!H69</f>
        <v>221.47275588995251</v>
      </c>
      <c r="F69" s="10">
        <f t="shared" si="1"/>
        <v>8</v>
      </c>
      <c r="G69" s="4">
        <f t="shared" si="0"/>
        <v>101000</v>
      </c>
      <c r="H69" s="45">
        <f t="shared" si="2"/>
        <v>7.6045309387346443</v>
      </c>
      <c r="I69" s="10">
        <f t="shared" si="3"/>
        <v>1.3435108277269803</v>
      </c>
      <c r="J69" s="4">
        <f t="shared" si="4"/>
        <v>1397.9099635680018</v>
      </c>
      <c r="K69" s="4">
        <f t="shared" si="5"/>
        <v>314.2641885634643</v>
      </c>
      <c r="L69" s="45">
        <f>Pressure!Q69</f>
        <v>0.12953012153185386</v>
      </c>
      <c r="M69" s="10">
        <f t="shared" si="8"/>
        <v>3.6879929003370968</v>
      </c>
      <c r="N69" s="10">
        <f t="shared" si="7"/>
        <v>2.9545467240956045</v>
      </c>
    </row>
    <row r="70" spans="3:14">
      <c r="C70" s="4">
        <f>Pressure!AB70*1000000</f>
        <v>4710222.5504577495</v>
      </c>
      <c r="D70" s="84">
        <f>Pressure!I70</f>
        <v>2.214727558899525E-4</v>
      </c>
      <c r="E70" s="40">
        <f>Pressure!H70</f>
        <v>221.47275588995251</v>
      </c>
      <c r="F70" s="10">
        <f t="shared" si="1"/>
        <v>8</v>
      </c>
      <c r="G70" s="4">
        <f t="shared" si="0"/>
        <v>101000</v>
      </c>
      <c r="H70" s="45">
        <f t="shared" si="2"/>
        <v>7.6199124354075609</v>
      </c>
      <c r="I70" s="10">
        <f t="shared" si="3"/>
        <v>1.343870279789493</v>
      </c>
      <c r="J70" s="4">
        <f t="shared" si="4"/>
        <v>1401.9066201734465</v>
      </c>
      <c r="K70" s="4">
        <f t="shared" si="5"/>
        <v>315.16267707689548</v>
      </c>
      <c r="L70" s="45">
        <f>Pressure!Q70</f>
        <v>0.13216739721887991</v>
      </c>
      <c r="M70" s="10">
        <f t="shared" si="8"/>
        <v>3.6919441022168162</v>
      </c>
      <c r="N70" s="10">
        <f t="shared" si="7"/>
        <v>2.9545467240956045</v>
      </c>
    </row>
    <row r="71" spans="3:14">
      <c r="C71" s="4">
        <f>Pressure!AB71*1000000</f>
        <v>4722313.7012129752</v>
      </c>
      <c r="D71" s="84">
        <f>Pressure!I71</f>
        <v>2.214727558899525E-4</v>
      </c>
      <c r="E71" s="40">
        <f>Pressure!H71</f>
        <v>221.47275588995251</v>
      </c>
      <c r="F71" s="10">
        <f t="shared" si="1"/>
        <v>8</v>
      </c>
      <c r="G71" s="4">
        <f t="shared" si="0"/>
        <v>101000</v>
      </c>
      <c r="H71" s="45">
        <f t="shared" si="2"/>
        <v>7.6351852901244106</v>
      </c>
      <c r="I71" s="10">
        <f t="shared" si="3"/>
        <v>1.3442262358029329</v>
      </c>
      <c r="J71" s="4">
        <f t="shared" si="4"/>
        <v>1405.8775988048385</v>
      </c>
      <c r="K71" s="4">
        <f t="shared" si="5"/>
        <v>316.0553929240678</v>
      </c>
      <c r="L71" s="45">
        <f>Pressure!Q71</f>
        <v>0.13479998096386012</v>
      </c>
      <c r="M71" s="10">
        <f t="shared" si="8"/>
        <v>3.6958635471470944</v>
      </c>
      <c r="N71" s="10">
        <f t="shared" si="7"/>
        <v>2.9545467240956045</v>
      </c>
    </row>
    <row r="72" spans="3:14">
      <c r="C72" s="4">
        <f>Pressure!AB72*1000000</f>
        <v>4734333.5143817868</v>
      </c>
      <c r="D72" s="84">
        <f>Pressure!I72</f>
        <v>2.214727558899525E-4</v>
      </c>
      <c r="E72" s="40">
        <f>Pressure!H72</f>
        <v>221.47275588995251</v>
      </c>
      <c r="F72" s="10">
        <f t="shared" si="1"/>
        <v>8</v>
      </c>
      <c r="G72" s="4">
        <f t="shared" si="0"/>
        <v>101000</v>
      </c>
      <c r="H72" s="45">
        <f t="shared" si="2"/>
        <v>7.6503612020324914</v>
      </c>
      <c r="I72" s="10">
        <f t="shared" si="3"/>
        <v>1.3445789922628528</v>
      </c>
      <c r="J72" s="4">
        <f t="shared" si="4"/>
        <v>1409.8258855223439</v>
      </c>
      <c r="K72" s="4">
        <f t="shared" si="5"/>
        <v>316.94300740127329</v>
      </c>
      <c r="L72" s="45">
        <f>Pressure!Q72</f>
        <v>0.13742792401215989</v>
      </c>
      <c r="M72" s="10">
        <f t="shared" si="8"/>
        <v>3.699754198855536</v>
      </c>
      <c r="N72" s="10">
        <f t="shared" si="7"/>
        <v>2.9545467240956045</v>
      </c>
    </row>
    <row r="73" spans="3:14">
      <c r="C73" s="4">
        <f>Pressure!AB73*1000000</f>
        <v>4746289.8814720847</v>
      </c>
      <c r="D73" s="84">
        <f>Pressure!I73</f>
        <v>2.214727558899525E-4</v>
      </c>
      <c r="E73" s="40">
        <f>Pressure!H73</f>
        <v>221.47275588995251</v>
      </c>
      <c r="F73" s="10">
        <f t="shared" si="1"/>
        <v>8</v>
      </c>
      <c r="G73" s="4">
        <f t="shared" si="0"/>
        <v>101000</v>
      </c>
      <c r="H73" s="45">
        <f t="shared" si="2"/>
        <v>7.6654502704261684</v>
      </c>
      <c r="I73" s="10">
        <f t="shared" si="3"/>
        <v>1.3449288054036541</v>
      </c>
      <c r="J73" s="4">
        <f t="shared" si="4"/>
        <v>1413.7540580049626</v>
      </c>
      <c r="K73" s="4">
        <f t="shared" si="5"/>
        <v>317.82609999661946</v>
      </c>
      <c r="L73" s="45">
        <f>Pressure!Q73</f>
        <v>0.14005127358352346</v>
      </c>
      <c r="M73" s="10">
        <f t="shared" si="8"/>
        <v>3.7036186172815588</v>
      </c>
      <c r="N73" s="10">
        <f t="shared" si="7"/>
        <v>2.9545467240956045</v>
      </c>
    </row>
    <row r="74" spans="3:14">
      <c r="C74" s="4">
        <f>Pressure!AB74*1000000</f>
        <v>4758189.6175353322</v>
      </c>
      <c r="D74" s="84">
        <f>Pressure!I74</f>
        <v>2.214727558899525E-4</v>
      </c>
      <c r="E74" s="40">
        <f>Pressure!H74</f>
        <v>221.47275588995251</v>
      </c>
      <c r="F74" s="10">
        <f t="shared" si="1"/>
        <v>8</v>
      </c>
      <c r="G74" s="4">
        <f t="shared" si="0"/>
        <v>101000</v>
      </c>
      <c r="H74" s="45">
        <f t="shared" si="2"/>
        <v>7.6804612178560001</v>
      </c>
      <c r="I74" s="10">
        <f t="shared" si="3"/>
        <v>1.3452758969161296</v>
      </c>
      <c r="J74" s="4">
        <f t="shared" si="4"/>
        <v>1417.6643422338959</v>
      </c>
      <c r="K74" s="4">
        <f t="shared" si="5"/>
        <v>318.70517113301918</v>
      </c>
      <c r="L74" s="45">
        <f>Pressure!Q74</f>
        <v>0.14267007341541077</v>
      </c>
      <c r="M74" s="10">
        <f t="shared" si="8"/>
        <v>3.7074590152740847</v>
      </c>
      <c r="N74" s="10">
        <f t="shared" si="7"/>
        <v>2.9545467240956045</v>
      </c>
    </row>
    <row r="75" spans="3:14">
      <c r="C75" s="4">
        <f>Pressure!AB75*1000000</f>
        <v>4770038.6100700079</v>
      </c>
      <c r="D75" s="84">
        <f>Pressure!I75</f>
        <v>2.214727558899525E-4</v>
      </c>
      <c r="E75" s="40">
        <f>Pressure!H75</f>
        <v>221.47275588995251</v>
      </c>
      <c r="F75" s="10">
        <f t="shared" si="1"/>
        <v>8</v>
      </c>
      <c r="G75" s="4">
        <f t="shared" si="0"/>
        <v>101000</v>
      </c>
      <c r="H75" s="45">
        <f t="shared" si="2"/>
        <v>7.6954015811871903</v>
      </c>
      <c r="I75" s="10">
        <f t="shared" si="3"/>
        <v>1.3456204588262801</v>
      </c>
      <c r="J75" s="4">
        <f t="shared" si="4"/>
        <v>1421.5586610755388</v>
      </c>
      <c r="K75" s="4">
        <f t="shared" si="5"/>
        <v>319.58065309013506</v>
      </c>
      <c r="L75" s="45">
        <f>Pressure!Q75</f>
        <v>0.14528436422860522</v>
      </c>
      <c r="M75" s="10">
        <f t="shared" si="8"/>
        <v>3.7112773070811018</v>
      </c>
      <c r="N75" s="10">
        <f t="shared" si="7"/>
        <v>2.9545467240956045</v>
      </c>
    </row>
    <row r="76" spans="3:14">
      <c r="C76" s="4">
        <f>Pressure!AB76*1000000</f>
        <v>4781841.9467176618</v>
      </c>
      <c r="D76" s="84">
        <f>Pressure!I76</f>
        <v>2.214727558899525E-4</v>
      </c>
      <c r="E76" s="40">
        <f>Pressure!H76</f>
        <v>221.47275588995251</v>
      </c>
      <c r="F76" s="10">
        <f t="shared" si="1"/>
        <v>8</v>
      </c>
      <c r="G76" s="4">
        <f t="shared" si="0"/>
        <v>101000</v>
      </c>
      <c r="H76" s="45">
        <f t="shared" si="2"/>
        <v>7.7102778753505454</v>
      </c>
      <c r="I76" s="10">
        <f t="shared" si="3"/>
        <v>1.345962657662626</v>
      </c>
      <c r="J76" s="4">
        <f t="shared" si="4"/>
        <v>1425.4386759554268</v>
      </c>
      <c r="K76" s="4">
        <f t="shared" si="5"/>
        <v>320.45291937310077</v>
      </c>
      <c r="L76" s="45">
        <f>Pressure!Q76</f>
        <v>0.14789418412659722</v>
      </c>
      <c r="M76" s="10">
        <f t="shared" si="8"/>
        <v>3.715075149856824</v>
      </c>
      <c r="N76" s="10">
        <f t="shared" si="7"/>
        <v>2.9545467240956045</v>
      </c>
    </row>
    <row r="77" spans="3:14">
      <c r="C77" s="4">
        <f>Pressure!AB77*1000000</f>
        <v>4793604.0248628138</v>
      </c>
      <c r="D77" s="84">
        <f>Pressure!I77</f>
        <v>2.214727558899525E-4</v>
      </c>
      <c r="E77" s="40">
        <f>Pressure!H77</f>
        <v>221.47275588995251</v>
      </c>
      <c r="F77" s="10">
        <f t="shared" si="1"/>
        <v>8</v>
      </c>
      <c r="G77" s="4">
        <f t="shared" si="0"/>
        <v>101000</v>
      </c>
      <c r="H77" s="45">
        <f t="shared" si="2"/>
        <v>7.7250957338087929</v>
      </c>
      <c r="I77" s="10">
        <f t="shared" si="3"/>
        <v>1.3463026380193013</v>
      </c>
      <c r="J77" s="4">
        <f t="shared" si="4"/>
        <v>1429.3058226349547</v>
      </c>
      <c r="K77" s="4">
        <f t="shared" si="5"/>
        <v>321.32229275548644</v>
      </c>
      <c r="L77" s="45">
        <f>Pressure!Q77</f>
        <v>0.15049956893848515</v>
      </c>
      <c r="M77" s="10">
        <f t="shared" si="8"/>
        <v>3.7188539792240078</v>
      </c>
      <c r="N77" s="10">
        <f t="shared" si="7"/>
        <v>2.9545467240956045</v>
      </c>
    </row>
    <row r="78" spans="3:14">
      <c r="C78" s="4">
        <f>Pressure!AB78*1000000</f>
        <v>4805328.6457816614</v>
      </c>
      <c r="D78" s="84">
        <f>Pressure!I78</f>
        <v>2.214727558899525E-4</v>
      </c>
      <c r="E78" s="40">
        <f>Pressure!H78</f>
        <v>221.47275588995251</v>
      </c>
      <c r="F78" s="10">
        <f t="shared" si="1"/>
        <v>8</v>
      </c>
      <c r="G78" s="4">
        <f t="shared" si="0"/>
        <v>101000</v>
      </c>
      <c r="H78" s="45">
        <f t="shared" si="2"/>
        <v>7.7398600291546238</v>
      </c>
      <c r="I78" s="10">
        <f t="shared" si="3"/>
        <v>1.3466405256055451</v>
      </c>
      <c r="J78" s="4">
        <f t="shared" si="4"/>
        <v>1433.1613419513974</v>
      </c>
      <c r="K78" s="4">
        <f t="shared" si="5"/>
        <v>322.18905218996389</v>
      </c>
      <c r="L78" s="45">
        <f>Pressure!Q78</f>
        <v>0.15310055251365182</v>
      </c>
      <c r="M78" s="10">
        <f t="shared" si="8"/>
        <v>3.7226150397714988</v>
      </c>
      <c r="N78" s="10">
        <f t="shared" si="7"/>
        <v>2.9545467240956045</v>
      </c>
    </row>
    <row r="79" spans="3:14">
      <c r="C79" s="4">
        <f>Pressure!AB79*1000000</f>
        <v>4817019.0955721559</v>
      </c>
      <c r="D79" s="84">
        <f>Pressure!I79</f>
        <v>2.214727558899525E-4</v>
      </c>
      <c r="E79" s="40">
        <f>Pressure!H79</f>
        <v>221.47275588995251</v>
      </c>
      <c r="F79" s="10">
        <f t="shared" si="1"/>
        <v>8</v>
      </c>
      <c r="G79" s="4">
        <f t="shared" si="0"/>
        <v>101000</v>
      </c>
      <c r="H79" s="45">
        <f t="shared" si="2"/>
        <v>7.7545749767225018</v>
      </c>
      <c r="I79" s="10">
        <f t="shared" si="3"/>
        <v>1.3469764298577311</v>
      </c>
      <c r="J79" s="4">
        <f t="shared" si="4"/>
        <v>1437.0063062478034</v>
      </c>
      <c r="K79" s="4">
        <f t="shared" si="5"/>
        <v>323.05343875001199</v>
      </c>
      <c r="L79" s="45">
        <f>Pressure!Q79</f>
        <v>0.15569716697522437</v>
      </c>
      <c r="M79" s="10">
        <f t="shared" si="8"/>
        <v>3.7263594112258671</v>
      </c>
      <c r="N79" s="10">
        <f t="shared" si="7"/>
        <v>2.9545467240956045</v>
      </c>
    </row>
    <row r="80" spans="3:14">
      <c r="C80" s="4">
        <f>Pressure!AB80*1000000</f>
        <v>4828678.214787079</v>
      </c>
      <c r="D80" s="84">
        <f>Pressure!I80</f>
        <v>2.214727558899525E-4</v>
      </c>
      <c r="E80" s="40">
        <f>Pressure!H80</f>
        <v>221.47275588995251</v>
      </c>
      <c r="F80" s="10">
        <f t="shared" si="1"/>
        <v>8</v>
      </c>
      <c r="G80" s="4">
        <f t="shared" si="0"/>
        <v>101000</v>
      </c>
      <c r="H80" s="45">
        <f t="shared" si="2"/>
        <v>7.7692442236918264</v>
      </c>
      <c r="I80" s="10">
        <f t="shared" si="3"/>
        <v>1.3473104461790086</v>
      </c>
      <c r="J80" s="4">
        <f t="shared" si="4"/>
        <v>1440.8416421184318</v>
      </c>
      <c r="K80" s="4">
        <f t="shared" si="5"/>
        <v>323.91566074331905</v>
      </c>
      <c r="L80" s="45">
        <f>Pressure!Q80</f>
        <v>0.15828944293827713</v>
      </c>
      <c r="M80" s="10">
        <f t="shared" si="8"/>
        <v>3.7300880309352364</v>
      </c>
      <c r="N80" s="10">
        <f t="shared" si="7"/>
        <v>2.9545467240956045</v>
      </c>
    </row>
    <row r="81" spans="3:14">
      <c r="C81" s="4">
        <f>Pressure!AB81*1000000</f>
        <v>4840308.4583826642</v>
      </c>
      <c r="D81" s="84">
        <f>Pressure!I81</f>
        <v>2.214727558899525E-4</v>
      </c>
      <c r="E81" s="40">
        <f>Pressure!H81</f>
        <v>221.47275588995251</v>
      </c>
      <c r="F81" s="10">
        <f t="shared" si="1"/>
        <v>8</v>
      </c>
      <c r="G81" s="4">
        <f t="shared" si="0"/>
        <v>101000</v>
      </c>
      <c r="H81" s="45">
        <f t="shared" si="2"/>
        <v>7.7838709257600236</v>
      </c>
      <c r="I81" s="10">
        <f t="shared" si="3"/>
        <v>1.3476426578609997</v>
      </c>
      <c r="J81" s="4">
        <f t="shared" si="4"/>
        <v>1444.668149994852</v>
      </c>
      <c r="K81" s="4">
        <f t="shared" si="5"/>
        <v>324.77589811493459</v>
      </c>
      <c r="L81" s="45">
        <f>Pressure!Q81</f>
        <v>0.16087740969784278</v>
      </c>
      <c r="M81" s="10">
        <f t="shared" si="8"/>
        <v>3.7338017131951946</v>
      </c>
      <c r="N81" s="10">
        <f t="shared" si="7"/>
        <v>2.9545467240956045</v>
      </c>
    </row>
    <row r="82" spans="3:14">
      <c r="C82" s="4">
        <f>Pressure!AB82*1000000</f>
        <v>4851911.9473712537</v>
      </c>
      <c r="D82" s="84">
        <f>Pressure!I82</f>
        <v>2.214727558899525E-4</v>
      </c>
      <c r="E82" s="40">
        <f>Pressure!H82</f>
        <v>221.47275588995251</v>
      </c>
      <c r="F82" s="10">
        <f t="shared" si="1"/>
        <v>8</v>
      </c>
      <c r="G82" s="4">
        <f t="shared" si="0"/>
        <v>101000</v>
      </c>
      <c r="H82" s="45">
        <f t="shared" si="2"/>
        <v>7.798457813173453</v>
      </c>
      <c r="I82" s="10">
        <f t="shared" si="3"/>
        <v>1.3479731377341464</v>
      </c>
      <c r="J82" s="4">
        <f t="shared" si="4"/>
        <v>1448.4865210250473</v>
      </c>
      <c r="K82" s="4">
        <f t="shared" si="5"/>
        <v>325.63430624186128</v>
      </c>
      <c r="L82" s="45">
        <f>Pressure!Q82</f>
        <v>0.16346109539105047</v>
      </c>
      <c r="M82" s="10">
        <f t="shared" si="8"/>
        <v>3.7375011658755541</v>
      </c>
      <c r="N82" s="10">
        <f t="shared" si="7"/>
        <v>2.9545467240956045</v>
      </c>
    </row>
    <row r="83" spans="3:14">
      <c r="C83" s="4">
        <f>Pressure!AB83*1000000</f>
        <v>4863490.513361753</v>
      </c>
      <c r="D83" s="84">
        <f>Pressure!I83</f>
        <v>2.214727558899525E-4</v>
      </c>
      <c r="E83" s="40">
        <f>Pressure!H83</f>
        <v>221.47275588995251</v>
      </c>
      <c r="F83" s="10">
        <f t="shared" si="1"/>
        <v>8</v>
      </c>
      <c r="G83" s="4">
        <f t="shared" si="0"/>
        <v>101000</v>
      </c>
      <c r="H83" s="45">
        <f t="shared" si="2"/>
        <v>7.8130072476394483</v>
      </c>
      <c r="I83" s="10">
        <f t="shared" si="3"/>
        <v>1.3483019495862634</v>
      </c>
      <c r="J83" s="4">
        <f t="shared" si="4"/>
        <v>1452.2973516312784</v>
      </c>
      <c r="K83" s="4">
        <f t="shared" si="5"/>
        <v>326.49101920580875</v>
      </c>
      <c r="L83" s="45">
        <f>Pressure!Q83</f>
        <v>0.16604052713707076</v>
      </c>
      <c r="M83" s="10">
        <f t="shared" si="8"/>
        <v>3.7411870047367088</v>
      </c>
      <c r="N83" s="10">
        <f t="shared" si="7"/>
        <v>2.9545467240956045</v>
      </c>
    </row>
    <row r="84" spans="3:14">
      <c r="C84" s="4">
        <f>Pressure!AB84*1000000</f>
        <v>4875045.7369888108</v>
      </c>
      <c r="D84" s="84">
        <f>Pressure!I84</f>
        <v>2.214727558899525E-4</v>
      </c>
      <c r="E84" s="40">
        <f>Pressure!H84</f>
        <v>221.47275588995251</v>
      </c>
      <c r="F84" s="10">
        <f t="shared" si="1"/>
        <v>8</v>
      </c>
      <c r="G84" s="4">
        <f t="shared" si="0"/>
        <v>101000</v>
      </c>
      <c r="H84" s="45">
        <f t="shared" si="2"/>
        <v>7.8275212714070719</v>
      </c>
      <c r="I84" s="10">
        <f t="shared" si="3"/>
        <v>1.3486291493826312</v>
      </c>
      <c r="J84" s="4">
        <f t="shared" si="4"/>
        <v>1456.1011560729232</v>
      </c>
      <c r="K84" s="4">
        <f t="shared" si="5"/>
        <v>327.34615261744597</v>
      </c>
      <c r="L84" s="45">
        <f>Pressure!Q84</f>
        <v>0.16861573115800763</v>
      </c>
      <c r="M84" s="10">
        <f t="shared" si="8"/>
        <v>3.7448597657633131</v>
      </c>
      <c r="N84" s="10">
        <f t="shared" si="7"/>
        <v>2.9545467240956045</v>
      </c>
    </row>
    <row r="85" spans="3:14">
      <c r="C85" s="4">
        <f>Pressure!AB85*1000000</f>
        <v>4886578.9811011916</v>
      </c>
      <c r="D85" s="84">
        <f>Pressure!I85</f>
        <v>2.214727558899525E-4</v>
      </c>
      <c r="E85" s="40">
        <f>Pressure!H85</f>
        <v>221.47275588995251</v>
      </c>
      <c r="F85" s="10">
        <f t="shared" si="1"/>
        <v>8</v>
      </c>
      <c r="G85" s="4">
        <f t="shared" si="0"/>
        <v>101000</v>
      </c>
      <c r="H85" s="45">
        <f t="shared" si="2"/>
        <v>7.8420016496350895</v>
      </c>
      <c r="I85" s="10">
        <f t="shared" si="3"/>
        <v>1.3489547863164517</v>
      </c>
      <c r="J85" s="4">
        <f t="shared" si="4"/>
        <v>1459.8983772981335</v>
      </c>
      <c r="K85" s="4">
        <f t="shared" si="5"/>
        <v>328.19980605596277</v>
      </c>
      <c r="L85" s="45">
        <f>Pressure!Q85</f>
        <v>0.17118673288342171</v>
      </c>
      <c r="M85" s="10">
        <f t="shared" si="8"/>
        <v>3.7485199158018183</v>
      </c>
      <c r="N85" s="10">
        <f t="shared" si="7"/>
        <v>2.9545467240956045</v>
      </c>
    </row>
    <row r="86" spans="3:14">
      <c r="C86" s="4">
        <f>Pressure!AB86*1000000</f>
        <v>4898091.4194313958</v>
      </c>
      <c r="D86" s="84">
        <f>Pressure!I86</f>
        <v>2.214727558899525E-4</v>
      </c>
      <c r="E86" s="40">
        <f>Pressure!H86</f>
        <v>221.47275588995251</v>
      </c>
      <c r="F86" s="10">
        <f t="shared" si="1"/>
        <v>8</v>
      </c>
      <c r="G86" s="4">
        <f t="shared" si="0"/>
        <v>101000</v>
      </c>
      <c r="H86" s="45">
        <f t="shared" si="2"/>
        <v>7.8564499069752376</v>
      </c>
      <c r="I86" s="10">
        <f t="shared" si="3"/>
        <v>1.349278903713564</v>
      </c>
      <c r="J86" s="4">
        <f t="shared" si="4"/>
        <v>1463.6893963197172</v>
      </c>
      <c r="K86" s="4">
        <f t="shared" si="5"/>
        <v>329.0520651768619</v>
      </c>
      <c r="L86" s="45">
        <f>Pressure!Q86</f>
        <v>0.17375355704077683</v>
      </c>
      <c r="M86" s="10">
        <f t="shared" si="8"/>
        <v>3.7521678617351921</v>
      </c>
      <c r="N86" s="10">
        <f t="shared" si="7"/>
        <v>2.9545467240956045</v>
      </c>
    </row>
    <row r="87" spans="3:14">
      <c r="C87" s="4">
        <f>Pressure!AB87*1000000</f>
        <v>4909584.0613935869</v>
      </c>
      <c r="D87" s="84">
        <f>Pressure!I87</f>
        <v>2.214727558899525E-4</v>
      </c>
      <c r="E87" s="40">
        <f>Pressure!H87</f>
        <v>221.47275588995251</v>
      </c>
      <c r="F87" s="10">
        <f t="shared" si="1"/>
        <v>8</v>
      </c>
      <c r="G87" s="4">
        <f t="shared" si="0"/>
        <v>101000</v>
      </c>
      <c r="H87" s="45">
        <f t="shared" si="2"/>
        <v>7.8708673592010205</v>
      </c>
      <c r="I87" s="10">
        <f t="shared" si="3"/>
        <v>1.3496015398126417</v>
      </c>
      <c r="J87" s="4">
        <f t="shared" si="4"/>
        <v>1467.4745403263726</v>
      </c>
      <c r="K87" s="4">
        <f t="shared" si="5"/>
        <v>329.90300353544637</v>
      </c>
      <c r="L87" s="45">
        <f>Pressure!Q87</f>
        <v>0.176316227733776</v>
      </c>
      <c r="M87" s="10">
        <f t="shared" si="8"/>
        <v>3.755803958409512</v>
      </c>
      <c r="N87" s="10">
        <f t="shared" si="7"/>
        <v>2.9545467240956045</v>
      </c>
    </row>
    <row r="88" spans="3:14">
      <c r="C88" s="4">
        <f>Pressure!AB88*1000000</f>
        <v>4921057.773537714</v>
      </c>
      <c r="D88" s="84">
        <f>Pressure!I88</f>
        <v>2.214727558899525E-4</v>
      </c>
      <c r="E88" s="40">
        <f>Pressure!H88</f>
        <v>221.47275588995251</v>
      </c>
      <c r="F88" s="10">
        <f t="shared" si="1"/>
        <v>8</v>
      </c>
      <c r="G88" s="4">
        <f t="shared" si="0"/>
        <v>101000</v>
      </c>
      <c r="H88" s="45">
        <f t="shared" si="2"/>
        <v>7.8852551405598108</v>
      </c>
      <c r="I88" s="10">
        <f t="shared" si="3"/>
        <v>1.3499227284382194</v>
      </c>
      <c r="J88" s="4">
        <f t="shared" si="4"/>
        <v>1471.2540897014521</v>
      </c>
      <c r="K88" s="4">
        <f t="shared" si="5"/>
        <v>330.75268416470755</v>
      </c>
      <c r="L88" s="45">
        <f>Pressure!Q88</f>
        <v>0.17887476851026521</v>
      </c>
      <c r="M88" s="10">
        <f t="shared" si="8"/>
        <v>3.7594285154812233</v>
      </c>
      <c r="N88" s="10">
        <f t="shared" si="7"/>
        <v>2.9545467240956045</v>
      </c>
    </row>
    <row r="89" spans="3:14">
      <c r="C89" s="4">
        <f>Pressure!AB89*1000000</f>
        <v>4932513.2981244624</v>
      </c>
      <c r="D89" s="84">
        <f>Pressure!I89</f>
        <v>2.214727558899525E-4</v>
      </c>
      <c r="E89" s="40">
        <f>Pressure!H89</f>
        <v>221.47275588995251</v>
      </c>
      <c r="F89" s="10">
        <f t="shared" si="1"/>
        <v>8</v>
      </c>
      <c r="G89" s="4">
        <f t="shared" si="0"/>
        <v>101000</v>
      </c>
      <c r="H89" s="45">
        <f t="shared" si="2"/>
        <v>7.8996142274441139</v>
      </c>
      <c r="I89" s="10">
        <f t="shared" si="3"/>
        <v>1.3502424995817237</v>
      </c>
      <c r="J89" s="4">
        <f t="shared" si="4"/>
        <v>1475.0282841008916</v>
      </c>
      <c r="K89" s="4">
        <f t="shared" si="5"/>
        <v>331.60116094170485</v>
      </c>
      <c r="L89" s="45">
        <f>Pressure!Q89</f>
        <v>0.18142920242114741</v>
      </c>
      <c r="M89" s="10">
        <f t="shared" si="8"/>
        <v>3.763041803337603</v>
      </c>
      <c r="N89" s="10">
        <f t="shared" si="7"/>
        <v>2.9545467240956045</v>
      </c>
    </row>
    <row r="90" spans="3:14">
      <c r="C90" s="4">
        <f>Pressure!AB90*1000000</f>
        <v>4943951.2692216849</v>
      </c>
      <c r="D90" s="84">
        <f>Pressure!I90</f>
        <v>2.214727558899525E-4</v>
      </c>
      <c r="E90" s="40">
        <f>Pressure!H90</f>
        <v>221.47275588995251</v>
      </c>
      <c r="F90" s="10">
        <f t="shared" si="1"/>
        <v>8</v>
      </c>
      <c r="G90" s="4">
        <f t="shared" si="0"/>
        <v>101000</v>
      </c>
      <c r="H90" s="45">
        <f t="shared" si="2"/>
        <v>7.9139454588955482</v>
      </c>
      <c r="I90" s="10">
        <f t="shared" si="3"/>
        <v>1.3505608799035358</v>
      </c>
      <c r="J90" s="4">
        <f t="shared" si="4"/>
        <v>1478.7973277210817</v>
      </c>
      <c r="K90" s="4">
        <f t="shared" si="5"/>
        <v>332.44847977183622</v>
      </c>
      <c r="L90" s="45">
        <f>Pressure!Q90</f>
        <v>0.18397955207154371</v>
      </c>
      <c r="M90" s="10">
        <f t="shared" si="8"/>
        <v>3.7666440582209026</v>
      </c>
      <c r="N90" s="10">
        <f t="shared" si="7"/>
        <v>2.9545467240956045</v>
      </c>
    </row>
    <row r="91" spans="3:14">
      <c r="C91" s="4">
        <f>Pressure!AB91*1000000</f>
        <v>4955372.226658823</v>
      </c>
      <c r="D91" s="84">
        <f>Pressure!I91</f>
        <v>2.214727558899525E-4</v>
      </c>
      <c r="E91" s="40">
        <f>Pressure!H91</f>
        <v>221.47275588995251</v>
      </c>
      <c r="F91" s="10">
        <f t="shared" si="1"/>
        <v>8</v>
      </c>
      <c r="G91" s="4">
        <f t="shared" si="0"/>
        <v>101000</v>
      </c>
      <c r="H91" s="45">
        <f t="shared" si="2"/>
        <v>7.9282495543728082</v>
      </c>
      <c r="I91" s="10">
        <f t="shared" si="3"/>
        <v>1.3508778931670229</v>
      </c>
      <c r="J91" s="4">
        <f t="shared" si="4"/>
        <v>1482.5613938665331</v>
      </c>
      <c r="K91" s="4">
        <f t="shared" si="5"/>
        <v>333.29467961569469</v>
      </c>
      <c r="L91" s="45">
        <f>Pressure!Q91</f>
        <v>0.18652583966526221</v>
      </c>
      <c r="M91" s="10">
        <f t="shared" si="8"/>
        <v>3.7702354866643097</v>
      </c>
      <c r="N91" s="10">
        <f t="shared" si="7"/>
        <v>2.9545467240956045</v>
      </c>
    </row>
    <row r="92" spans="3:14">
      <c r="C92" s="4">
        <f>Pressure!AB92*1000000</f>
        <v>4966776.6281347526</v>
      </c>
      <c r="D92" s="84">
        <f>Pressure!I92</f>
        <v>2.214727558899525E-4</v>
      </c>
      <c r="E92" s="40">
        <f>Pressure!H92</f>
        <v>221.47275588995251</v>
      </c>
      <c r="F92" s="10">
        <f t="shared" si="1"/>
        <v>8</v>
      </c>
      <c r="G92" s="4">
        <f t="shared" ref="G92:G155" si="9">IF(C92/(1+(k-1)/2*N92^2)^(k/(k-1))&lt;patm*1000000,patm*1000000,C92/(1+(k-1)/2*N92^2)^(k/(k-1)))</f>
        <v>101000</v>
      </c>
      <c r="H92" s="45">
        <f t="shared" si="2"/>
        <v>7.9425271291619408</v>
      </c>
      <c r="I92" s="10">
        <f t="shared" si="3"/>
        <v>1.3511935606140828</v>
      </c>
      <c r="J92" s="4">
        <f t="shared" si="4"/>
        <v>1486.3206289137968</v>
      </c>
      <c r="K92" s="4">
        <f t="shared" si="5"/>
        <v>334.139793380198</v>
      </c>
      <c r="L92" s="45">
        <f>Pressure!Q92</f>
        <v>0.18906808704348699</v>
      </c>
      <c r="M92" s="10">
        <f t="shared" si="8"/>
        <v>3.7738162693359909</v>
      </c>
      <c r="N92" s="10">
        <f t="shared" si="7"/>
        <v>2.9545467240956045</v>
      </c>
    </row>
    <row r="93" spans="3:14">
      <c r="C93" s="4">
        <f>Pressure!AB93*1000000</f>
        <v>4978164.8597279536</v>
      </c>
      <c r="D93" s="84">
        <f>Pressure!I93</f>
        <v>2.214727558899525E-4</v>
      </c>
      <c r="E93" s="40">
        <f>Pressure!H93</f>
        <v>221.47275588995251</v>
      </c>
      <c r="F93" s="10">
        <f t="shared" ref="F93:F156" si="10">aexit/E93</f>
        <v>8</v>
      </c>
      <c r="G93" s="4">
        <f t="shared" si="9"/>
        <v>101000</v>
      </c>
      <c r="H93" s="45">
        <f t="shared" ref="H93:H156" si="11">1/(((k+1)/2)^(1/(k-1))*(patm*1000000/C93)^(1/k)*SQRT((k+1)/(k-1)*(1-(patm*1000000/C93)^((k-1)/k))))</f>
        <v>7.9567787077476053</v>
      </c>
      <c r="I93" s="10">
        <f t="shared" ref="I93:I156" si="12">etanoz*SQRT(2*k^2/(k-1)*(2/(k+1))^((k+1)/(k-1))*(1-(G93/C93)^((k-1)/k)))+(G93-patm*1000000)/C93*(aexit/E93)</f>
        <v>1.351507901290242</v>
      </c>
      <c r="J93" s="4">
        <f t="shared" ref="J93:J156" si="13">I93*D93*C93</f>
        <v>1490.0751557529352</v>
      </c>
      <c r="K93" s="4">
        <f t="shared" ref="K93:K156" si="14">J93/4.4482</f>
        <v>334.98384869226544</v>
      </c>
      <c r="L93" s="45">
        <f>Pressure!Q93</f>
        <v>0.19160631571847109</v>
      </c>
      <c r="M93" s="10">
        <f t="shared" si="8"/>
        <v>3.7773865643714495</v>
      </c>
      <c r="N93" s="10">
        <f t="shared" si="7"/>
        <v>2.9545467240956045</v>
      </c>
    </row>
    <row r="94" spans="3:14">
      <c r="C94" s="4">
        <f>Pressure!AB94*1000000</f>
        <v>4989537.2450257558</v>
      </c>
      <c r="D94" s="84">
        <f>Pressure!I94</f>
        <v>2.214727558899525E-4</v>
      </c>
      <c r="E94" s="40">
        <f>Pressure!H94</f>
        <v>221.47275588995251</v>
      </c>
      <c r="F94" s="10">
        <f t="shared" si="10"/>
        <v>8</v>
      </c>
      <c r="G94" s="4">
        <f t="shared" si="9"/>
        <v>101000</v>
      </c>
      <c r="H94" s="45">
        <f t="shared" si="11"/>
        <v>7.97100473542275</v>
      </c>
      <c r="I94" s="10">
        <f t="shared" si="12"/>
        <v>1.3518209323262753</v>
      </c>
      <c r="J94" s="4">
        <f t="shared" si="13"/>
        <v>1493.825076777332</v>
      </c>
      <c r="K94" s="4">
        <f t="shared" si="14"/>
        <v>335.82686857095723</v>
      </c>
      <c r="L94" s="45">
        <f>Pressure!Q94</f>
        <v>0.19414054690290869</v>
      </c>
      <c r="M94" s="10">
        <f t="shared" si="8"/>
        <v>3.7809465102644073</v>
      </c>
      <c r="N94" s="10">
        <f t="shared" ref="N94:N157" si="15">N93-1/834*(me-mef)</f>
        <v>2.9545467240956045</v>
      </c>
    </row>
    <row r="95" spans="3:14">
      <c r="C95" s="4">
        <f>Pressure!AB95*1000000</f>
        <v>5000894.0530651566</v>
      </c>
      <c r="D95" s="84">
        <f>Pressure!I95</f>
        <v>2.214727558899525E-4</v>
      </c>
      <c r="E95" s="40">
        <f>Pressure!H95</f>
        <v>221.47275588995251</v>
      </c>
      <c r="F95" s="10">
        <f t="shared" si="10"/>
        <v>8</v>
      </c>
      <c r="G95" s="4">
        <f t="shared" si="9"/>
        <v>101000</v>
      </c>
      <c r="H95" s="45">
        <f t="shared" si="11"/>
        <v>7.9852055883826161</v>
      </c>
      <c r="I95" s="10">
        <f t="shared" si="12"/>
        <v>1.3521326691824844</v>
      </c>
      <c r="J95" s="4">
        <f t="shared" si="13"/>
        <v>1497.5704764847562</v>
      </c>
      <c r="K95" s="4">
        <f t="shared" si="14"/>
        <v>336.66887201221982</v>
      </c>
      <c r="L95" s="45">
        <f>Pressure!Q95</f>
        <v>0.19667080153556757</v>
      </c>
      <c r="M95" s="10">
        <f t="shared" si="8"/>
        <v>3.7844962283782855</v>
      </c>
      <c r="N95" s="10">
        <f t="shared" si="15"/>
        <v>2.9545467240956045</v>
      </c>
    </row>
    <row r="96" spans="3:14">
      <c r="C96" s="4">
        <f>Pressure!AB96*1000000</f>
        <v>5012235.5052323379</v>
      </c>
      <c r="D96" s="84">
        <f>Pressure!I96</f>
        <v>2.214727558899525E-4</v>
      </c>
      <c r="E96" s="40">
        <f>Pressure!H96</f>
        <v>221.47275588995251</v>
      </c>
      <c r="F96" s="10">
        <f t="shared" si="10"/>
        <v>8</v>
      </c>
      <c r="G96" s="4">
        <f t="shared" si="9"/>
        <v>101000</v>
      </c>
      <c r="H96" s="45">
        <f t="shared" si="11"/>
        <v>7.9993815824916776</v>
      </c>
      <c r="I96" s="10">
        <f t="shared" si="12"/>
        <v>1.3524431258604046</v>
      </c>
      <c r="J96" s="4">
        <f t="shared" si="13"/>
        <v>1501.3114237377181</v>
      </c>
      <c r="K96" s="4">
        <f t="shared" si="14"/>
        <v>337.50987449703661</v>
      </c>
      <c r="L96" s="45">
        <f>Pressure!Q96</f>
        <v>0.19919710030368101</v>
      </c>
      <c r="M96" s="10">
        <f t="shared" si="8"/>
        <v>3.7880358251248709</v>
      </c>
      <c r="N96" s="10">
        <f t="shared" si="15"/>
        <v>2.9545467240956045</v>
      </c>
    </row>
    <row r="97" spans="3:14">
      <c r="C97" s="4">
        <f>Pressure!AB97*1000000</f>
        <v>5023561.7812727755</v>
      </c>
      <c r="D97" s="84">
        <f>Pressure!I97</f>
        <v>2.214727558899525E-4</v>
      </c>
      <c r="E97" s="40">
        <f>Pressure!H97</f>
        <v>221.47275588995251</v>
      </c>
      <c r="F97" s="10">
        <f t="shared" si="10"/>
        <v>8</v>
      </c>
      <c r="G97" s="4">
        <f t="shared" si="9"/>
        <v>101218.15708155547</v>
      </c>
      <c r="H97" s="45">
        <f t="shared" si="11"/>
        <v>8.01353298091718</v>
      </c>
      <c r="I97" s="10">
        <f t="shared" si="12"/>
        <v>1.3528041775159476</v>
      </c>
      <c r="J97" s="4">
        <f t="shared" si="13"/>
        <v>1505.105674941771</v>
      </c>
      <c r="K97" s="4">
        <f t="shared" si="14"/>
        <v>338.36286024499145</v>
      </c>
      <c r="L97" s="45">
        <f>Pressure!Q97</f>
        <v>0.20171946366253329</v>
      </c>
      <c r="M97" s="10">
        <f t="shared" si="8"/>
        <v>3.7916381655680622</v>
      </c>
      <c r="N97" s="10">
        <f t="shared" si="15"/>
        <v>2.9545467240956045</v>
      </c>
    </row>
    <row r="98" spans="3:14">
      <c r="C98" s="4">
        <f>Pressure!AB98*1000000</f>
        <v>5034873.0245236764</v>
      </c>
      <c r="D98" s="84">
        <f>Pressure!I98</f>
        <v>2.214727558899525E-4</v>
      </c>
      <c r="E98" s="40">
        <f>Pressure!H98</f>
        <v>221.47275588995251</v>
      </c>
      <c r="F98" s="10">
        <f t="shared" si="10"/>
        <v>8</v>
      </c>
      <c r="G98" s="4">
        <f t="shared" si="9"/>
        <v>101446.06374340353</v>
      </c>
      <c r="H98" s="45">
        <f t="shared" si="11"/>
        <v>8.0276600007721921</v>
      </c>
      <c r="I98" s="10">
        <f t="shared" si="12"/>
        <v>1.3531655220025909</v>
      </c>
      <c r="J98" s="4">
        <f t="shared" si="13"/>
        <v>1508.897558881283</v>
      </c>
      <c r="K98" s="4">
        <f t="shared" si="14"/>
        <v>339.21531380812081</v>
      </c>
      <c r="L98" s="45">
        <f>Pressure!Q98</f>
        <v>0.20423791185260956</v>
      </c>
      <c r="M98" s="10">
        <f t="shared" si="8"/>
        <v>3.7953054945528426</v>
      </c>
      <c r="N98" s="10">
        <f t="shared" si="15"/>
        <v>2.9545467240956045</v>
      </c>
    </row>
    <row r="99" spans="3:14">
      <c r="C99" s="4">
        <f>Pressure!AB99*1000000</f>
        <v>5046169.34647536</v>
      </c>
      <c r="D99" s="84">
        <f>Pressure!I99</f>
        <v>2.214727558899525E-4</v>
      </c>
      <c r="E99" s="40">
        <f>Pressure!H99</f>
        <v>221.47275588995251</v>
      </c>
      <c r="F99" s="10">
        <f t="shared" si="10"/>
        <v>8</v>
      </c>
      <c r="G99" s="4">
        <f t="shared" si="9"/>
        <v>101673.66976071415</v>
      </c>
      <c r="H99" s="45">
        <f t="shared" si="11"/>
        <v>8.0417628189043526</v>
      </c>
      <c r="I99" s="10">
        <f t="shared" si="12"/>
        <v>1.3535247730795572</v>
      </c>
      <c r="J99" s="4">
        <f t="shared" si="13"/>
        <v>1512.684440732731</v>
      </c>
      <c r="K99" s="4">
        <f t="shared" si="14"/>
        <v>340.06664285165482</v>
      </c>
      <c r="L99" s="45">
        <f>Pressure!Q99</f>
        <v>0.2067524649146322</v>
      </c>
      <c r="M99" s="10">
        <f t="shared" si="8"/>
        <v>3.7989641346409546</v>
      </c>
      <c r="N99" s="10">
        <f t="shared" si="15"/>
        <v>2.9545467240956045</v>
      </c>
    </row>
    <row r="100" spans="3:14">
      <c r="C100" s="4">
        <f>Pressure!AB100*1000000</f>
        <v>5057450.8307446754</v>
      </c>
      <c r="D100" s="84">
        <f>Pressure!I100</f>
        <v>2.214727558899525E-4</v>
      </c>
      <c r="E100" s="40">
        <f>Pressure!H100</f>
        <v>221.47275588995251</v>
      </c>
      <c r="F100" s="10">
        <f t="shared" si="10"/>
        <v>8</v>
      </c>
      <c r="G100" s="4">
        <f t="shared" si="9"/>
        <v>101900.97681825676</v>
      </c>
      <c r="H100" s="45">
        <f t="shared" si="11"/>
        <v>8.0558415769363467</v>
      </c>
      <c r="I100" s="10">
        <f t="shared" si="12"/>
        <v>1.3538819505955724</v>
      </c>
      <c r="J100" s="4">
        <f t="shared" si="13"/>
        <v>1516.4663485271078</v>
      </c>
      <c r="K100" s="4">
        <f t="shared" si="14"/>
        <v>340.91685367724199</v>
      </c>
      <c r="L100" s="45">
        <f>Pressure!Q100</f>
        <v>0.20926314270276122</v>
      </c>
      <c r="M100" s="10">
        <f t="shared" si="8"/>
        <v>3.8026108017440885</v>
      </c>
      <c r="N100" s="10">
        <f t="shared" si="15"/>
        <v>2.9545467240956045</v>
      </c>
    </row>
    <row r="101" spans="3:14">
      <c r="C101" s="4">
        <f>Pressure!AB101*1000000</f>
        <v>5068717.5365469335</v>
      </c>
      <c r="D101" s="84">
        <f>Pressure!I101</f>
        <v>2.214727558899525E-4</v>
      </c>
      <c r="E101" s="40">
        <f>Pressure!H101</f>
        <v>221.47275588995251</v>
      </c>
      <c r="F101" s="10">
        <f t="shared" si="10"/>
        <v>8</v>
      </c>
      <c r="G101" s="4">
        <f t="shared" si="9"/>
        <v>102127.98610914194</v>
      </c>
      <c r="H101" s="45">
        <f t="shared" si="11"/>
        <v>8.0698963856683275</v>
      </c>
      <c r="I101" s="10">
        <f t="shared" si="12"/>
        <v>1.3542370733950597</v>
      </c>
      <c r="J101" s="4">
        <f t="shared" si="13"/>
        <v>1520.2433021152456</v>
      </c>
      <c r="K101" s="4">
        <f t="shared" si="14"/>
        <v>341.76595074754857</v>
      </c>
      <c r="L101" s="45">
        <f>Pressure!Q101</f>
        <v>0.21176996489620026</v>
      </c>
      <c r="M101" s="10">
        <f t="shared" si="8"/>
        <v>3.806245573630374</v>
      </c>
      <c r="N101" s="10">
        <f t="shared" si="15"/>
        <v>2.9545467240956045</v>
      </c>
    </row>
    <row r="102" spans="3:14">
      <c r="C102" s="4">
        <f>Pressure!AB102*1000000</f>
        <v>5079969.5017214343</v>
      </c>
      <c r="D102" s="84">
        <f>Pressure!I102</f>
        <v>2.214727558899525E-4</v>
      </c>
      <c r="E102" s="40">
        <f>Pressure!H102</f>
        <v>221.47275588995251</v>
      </c>
      <c r="F102" s="10">
        <f t="shared" si="10"/>
        <v>8</v>
      </c>
      <c r="G102" s="4">
        <f t="shared" si="9"/>
        <v>102354.69839578177</v>
      </c>
      <c r="H102" s="45">
        <f t="shared" si="11"/>
        <v>8.0839273289128055</v>
      </c>
      <c r="I102" s="10">
        <f t="shared" si="12"/>
        <v>1.3545901594333916</v>
      </c>
      <c r="J102" s="4">
        <f t="shared" si="13"/>
        <v>1524.015314182066</v>
      </c>
      <c r="K102" s="4">
        <f t="shared" si="14"/>
        <v>342.6139369142723</v>
      </c>
      <c r="L102" s="45">
        <f>Pressure!Q102</f>
        <v>0.2142729510094141</v>
      </c>
      <c r="M102" s="10">
        <f t="shared" si="8"/>
        <v>3.8098685208118752</v>
      </c>
      <c r="N102" s="10">
        <f t="shared" si="15"/>
        <v>2.9545467240956045</v>
      </c>
    </row>
    <row r="103" spans="3:14">
      <c r="C103" s="4">
        <f>Pressure!AB103*1000000</f>
        <v>5091206.7453800663</v>
      </c>
      <c r="D103" s="84">
        <f>Pressure!I103</f>
        <v>2.214727558899525E-4</v>
      </c>
      <c r="E103" s="40">
        <f>Pressure!H103</f>
        <v>221.47275588995251</v>
      </c>
      <c r="F103" s="10">
        <f t="shared" si="10"/>
        <v>8</v>
      </c>
      <c r="G103" s="4">
        <f t="shared" si="9"/>
        <v>102581.11406325565</v>
      </c>
      <c r="H103" s="45">
        <f t="shared" si="11"/>
        <v>8.0979344668502051</v>
      </c>
      <c r="I103" s="10">
        <f t="shared" si="12"/>
        <v>1.3549412258774172</v>
      </c>
      <c r="J103" s="4">
        <f t="shared" si="13"/>
        <v>1527.7823911344744</v>
      </c>
      <c r="K103" s="4">
        <f t="shared" si="14"/>
        <v>343.46081361774975</v>
      </c>
      <c r="L103" s="45">
        <f>Pressure!Q103</f>
        <v>0.21677212040113999</v>
      </c>
      <c r="M103" s="10">
        <f t="shared" si="8"/>
        <v>3.8134797074332139</v>
      </c>
      <c r="N103" s="10">
        <f t="shared" si="15"/>
        <v>2.9545467240956045</v>
      </c>
    </row>
    <row r="104" spans="3:14">
      <c r="C104" s="4">
        <f>Pressure!AB104*1000000</f>
        <v>5102429.2702179132</v>
      </c>
      <c r="D104" s="84">
        <f>Pressure!I104</f>
        <v>2.214727558899525E-4</v>
      </c>
      <c r="E104" s="40">
        <f>Pressure!H104</f>
        <v>221.47275588995251</v>
      </c>
      <c r="F104" s="10">
        <f t="shared" si="10"/>
        <v>8</v>
      </c>
      <c r="G104" s="4">
        <f t="shared" si="9"/>
        <v>102807.23316586597</v>
      </c>
      <c r="H104" s="45">
        <f t="shared" si="11"/>
        <v>8.1119178389550939</v>
      </c>
      <c r="I104" s="10">
        <f t="shared" si="12"/>
        <v>1.3552902891929195</v>
      </c>
      <c r="J104" s="4">
        <f t="shared" si="13"/>
        <v>1531.5445338759469</v>
      </c>
      <c r="K104" s="4">
        <f t="shared" si="14"/>
        <v>344.30658106109144</v>
      </c>
      <c r="L104" s="45">
        <f>Pressure!Q104</f>
        <v>0.21926749228234643</v>
      </c>
      <c r="M104" s="10">
        <f t="shared" ref="M104:M167" si="16">(J104+J103)/2*(L104-L103)</f>
        <v>3.8170791920443801</v>
      </c>
      <c r="N104" s="10">
        <f t="shared" si="15"/>
        <v>2.9545467240956045</v>
      </c>
    </row>
    <row r="105" spans="3:14">
      <c r="C105" s="4">
        <f>Pressure!AB105*1000000</f>
        <v>5113637.0645349734</v>
      </c>
      <c r="D105" s="84">
        <f>Pressure!I105</f>
        <v>2.214727558899525E-4</v>
      </c>
      <c r="E105" s="40">
        <f>Pressure!H105</f>
        <v>221.47275588995251</v>
      </c>
      <c r="F105" s="10">
        <f t="shared" si="10"/>
        <v>8</v>
      </c>
      <c r="G105" s="4">
        <f t="shared" si="9"/>
        <v>103033.05546787307</v>
      </c>
      <c r="H105" s="45">
        <f t="shared" si="11"/>
        <v>8.1258774665554032</v>
      </c>
      <c r="I105" s="10">
        <f t="shared" si="12"/>
        <v>1.3556373652209084</v>
      </c>
      <c r="J105" s="4">
        <f t="shared" si="13"/>
        <v>1535.301738484276</v>
      </c>
      <c r="K105" s="4">
        <f t="shared" si="14"/>
        <v>345.15123836254577</v>
      </c>
      <c r="L105" s="45">
        <f>Pressure!Q105</f>
        <v>0.22175908572327607</v>
      </c>
      <c r="M105" s="10">
        <f t="shared" si="16"/>
        <v>3.8206670282761244</v>
      </c>
      <c r="N105" s="10">
        <f t="shared" si="15"/>
        <v>2.9545467240956045</v>
      </c>
    </row>
    <row r="106" spans="3:14">
      <c r="C106" s="4">
        <f>Pressure!AB106*1000000</f>
        <v>5124830.1040077265</v>
      </c>
      <c r="D106" s="84">
        <f>Pressure!I106</f>
        <v>2.214727558899525E-4</v>
      </c>
      <c r="E106" s="40">
        <f>Pressure!H106</f>
        <v>221.47275588995251</v>
      </c>
      <c r="F106" s="10">
        <f t="shared" si="10"/>
        <v>8</v>
      </c>
      <c r="G106" s="4">
        <f t="shared" si="9"/>
        <v>103258.58047919007</v>
      </c>
      <c r="H106" s="45">
        <f t="shared" si="11"/>
        <v>8.1398133550739828</v>
      </c>
      <c r="I106" s="10">
        <f t="shared" si="12"/>
        <v>1.3559824692442757</v>
      </c>
      <c r="J106" s="4">
        <f t="shared" si="13"/>
        <v>1539.0539968054536</v>
      </c>
      <c r="K106" s="4">
        <f t="shared" si="14"/>
        <v>345.99478368900986</v>
      </c>
      <c r="L106" s="45">
        <f>Pressure!Q106</f>
        <v>0.22424691965968988</v>
      </c>
      <c r="M106" s="10">
        <f t="shared" si="16"/>
        <v>3.8242432654310989</v>
      </c>
      <c r="N106" s="10">
        <f t="shared" si="15"/>
        <v>2.9545467240956045</v>
      </c>
    </row>
    <row r="107" spans="3:14">
      <c r="C107" s="4">
        <f>Pressure!AB107*1000000</f>
        <v>5136008.3532378627</v>
      </c>
      <c r="D107" s="84">
        <f>Pressure!I107</f>
        <v>2.214727558899525E-4</v>
      </c>
      <c r="E107" s="40">
        <f>Pressure!H107</f>
        <v>221.47275588995251</v>
      </c>
      <c r="F107" s="10">
        <f t="shared" si="10"/>
        <v>8</v>
      </c>
      <c r="G107" s="4">
        <f t="shared" si="9"/>
        <v>103483.80748658761</v>
      </c>
      <c r="H107" s="45">
        <f t="shared" si="11"/>
        <v>8.1537254959873451</v>
      </c>
      <c r="I107" s="10">
        <f t="shared" si="12"/>
        <v>1.3563256160459334</v>
      </c>
      <c r="J107" s="4">
        <f t="shared" si="13"/>
        <v>1542.801296972855</v>
      </c>
      <c r="K107" s="4">
        <f t="shared" si="14"/>
        <v>346.83721437274738</v>
      </c>
      <c r="L107" s="45">
        <f>Pressure!Q107</f>
        <v>0.22673101289841333</v>
      </c>
      <c r="M107" s="10">
        <f t="shared" si="16"/>
        <v>3.8278079489993848</v>
      </c>
      <c r="N107" s="10">
        <f t="shared" si="15"/>
        <v>2.9545467240956045</v>
      </c>
    </row>
    <row r="108" spans="3:14">
      <c r="C108" s="4">
        <f>Pressure!AB108*1000000</f>
        <v>5147171.7671087394</v>
      </c>
      <c r="D108" s="84">
        <f>Pressure!I108</f>
        <v>2.214727558899525E-4</v>
      </c>
      <c r="E108" s="40">
        <f>Pressure!H108</f>
        <v>221.47275588995251</v>
      </c>
      <c r="F108" s="10">
        <f t="shared" si="10"/>
        <v>8</v>
      </c>
      <c r="G108" s="4">
        <f t="shared" si="9"/>
        <v>103708.73558102472</v>
      </c>
      <c r="H108" s="45">
        <f t="shared" si="11"/>
        <v>8.1676138685405348</v>
      </c>
      <c r="I108" s="10">
        <f t="shared" si="12"/>
        <v>1.3566668199596223</v>
      </c>
      <c r="J108" s="4">
        <f t="shared" si="13"/>
        <v>1546.5436238619643</v>
      </c>
      <c r="K108" s="4">
        <f t="shared" si="14"/>
        <v>347.67852701361545</v>
      </c>
      <c r="L108" s="45">
        <f>Pressure!Q108</f>
        <v>0.22921138412227382</v>
      </c>
      <c r="M108" s="10">
        <f t="shared" si="16"/>
        <v>3.8313611211091319</v>
      </c>
      <c r="N108" s="10">
        <f t="shared" si="15"/>
        <v>2.9545467240956045</v>
      </c>
    </row>
    <row r="109" spans="3:14">
      <c r="C109" s="4">
        <f>Pressure!AB109*1000000</f>
        <v>5158320.2919768151</v>
      </c>
      <c r="D109" s="84">
        <f>Pressure!I109</f>
        <v>2.214727558899525E-4</v>
      </c>
      <c r="E109" s="40">
        <f>Pressure!H109</f>
        <v>221.47275588995251</v>
      </c>
      <c r="F109" s="10">
        <f t="shared" si="10"/>
        <v>8</v>
      </c>
      <c r="G109" s="4">
        <f t="shared" si="9"/>
        <v>103933.36368165468</v>
      </c>
      <c r="H109" s="45">
        <f t="shared" si="11"/>
        <v>8.181478441252521</v>
      </c>
      <c r="I109" s="10">
        <f t="shared" si="12"/>
        <v>1.3570060949144316</v>
      </c>
      <c r="J109" s="4">
        <f t="shared" si="13"/>
        <v>1550.2809594897826</v>
      </c>
      <c r="K109" s="4">
        <f t="shared" si="14"/>
        <v>348.51871756885544</v>
      </c>
      <c r="L109" s="45">
        <f>Pressure!Q109</f>
        <v>0.23168805189450636</v>
      </c>
      <c r="M109" s="10">
        <f t="shared" si="16"/>
        <v>3.8349028209223728</v>
      </c>
      <c r="N109" s="10">
        <f t="shared" si="15"/>
        <v>2.9545467240956045</v>
      </c>
    </row>
    <row r="110" spans="3:14">
      <c r="C110" s="4">
        <f>Pressure!AB110*1000000</f>
        <v>5169453.8667142913</v>
      </c>
      <c r="D110" s="84">
        <f>Pressure!I110</f>
        <v>2.214727558899525E-4</v>
      </c>
      <c r="E110" s="40">
        <f>Pressure!H110</f>
        <v>221.47275588995251</v>
      </c>
      <c r="F110" s="10">
        <f t="shared" si="10"/>
        <v>8</v>
      </c>
      <c r="G110" s="4">
        <f t="shared" si="9"/>
        <v>104157.69055683278</v>
      </c>
      <c r="H110" s="45">
        <f t="shared" si="11"/>
        <v>8.1953191732331288</v>
      </c>
      <c r="I110" s="10">
        <f t="shared" si="12"/>
        <v>1.3573434544737064</v>
      </c>
      <c r="J110" s="4">
        <f t="shared" si="13"/>
        <v>1554.0132833643513</v>
      </c>
      <c r="K110" s="4">
        <f t="shared" si="14"/>
        <v>349.35778143166931</v>
      </c>
      <c r="L110" s="45">
        <f>Pressure!Q110</f>
        <v>0.23416103466269333</v>
      </c>
      <c r="M110" s="10">
        <f t="shared" si="16"/>
        <v>3.8384330849801462</v>
      </c>
      <c r="N110" s="10">
        <f t="shared" si="15"/>
        <v>2.9545467240956045</v>
      </c>
    </row>
    <row r="111" spans="3:14">
      <c r="C111" s="4">
        <f>Pressure!AB111*1000000</f>
        <v>5180572.4236274436</v>
      </c>
      <c r="D111" s="84">
        <f>Pressure!I111</f>
        <v>2.214727558899525E-4</v>
      </c>
      <c r="E111" s="40">
        <f>Pressure!H111</f>
        <v>221.47275588995251</v>
      </c>
      <c r="F111" s="10">
        <f t="shared" si="10"/>
        <v>8</v>
      </c>
      <c r="G111" s="4">
        <f t="shared" si="9"/>
        <v>104381.71484261962</v>
      </c>
      <c r="H111" s="45">
        <f t="shared" si="11"/>
        <v>8.2091360153422617</v>
      </c>
      <c r="I111" s="10">
        <f t="shared" si="12"/>
        <v>1.3576789118692472</v>
      </c>
      <c r="J111" s="4">
        <f t="shared" si="13"/>
        <v>1557.7405727926091</v>
      </c>
      <c r="K111" s="4">
        <f t="shared" si="14"/>
        <v>350.19571350042918</v>
      </c>
      <c r="L111" s="45">
        <f>Pressure!Q111</f>
        <v>0.23663035076229727</v>
      </c>
      <c r="M111" s="10">
        <f t="shared" si="16"/>
        <v>3.8419519475065056</v>
      </c>
      <c r="N111" s="10">
        <f t="shared" si="15"/>
        <v>2.9545467240956045</v>
      </c>
    </row>
    <row r="112" spans="3:14">
      <c r="C112" s="4">
        <f>Pressure!AB112*1000000</f>
        <v>5191675.8892583754</v>
      </c>
      <c r="D112" s="84">
        <f>Pressure!I112</f>
        <v>2.214727558899525E-4</v>
      </c>
      <c r="E112" s="40">
        <f>Pressure!H112</f>
        <v>221.47275588995251</v>
      </c>
      <c r="F112" s="10">
        <f t="shared" si="10"/>
        <v>8</v>
      </c>
      <c r="G112" s="4">
        <f t="shared" si="9"/>
        <v>104605.43505893525</v>
      </c>
      <c r="H112" s="45">
        <f t="shared" si="11"/>
        <v>8.2229289112015795</v>
      </c>
      <c r="I112" s="10">
        <f t="shared" si="12"/>
        <v>1.358012480031163</v>
      </c>
      <c r="J112" s="4">
        <f t="shared" si="13"/>
        <v>1561.4628031491618</v>
      </c>
      <c r="K112" s="4">
        <f t="shared" si="14"/>
        <v>351.0325082390994</v>
      </c>
      <c r="L112" s="45">
        <f>Pressure!Q112</f>
        <v>0.23909601841983627</v>
      </c>
      <c r="M112" s="10">
        <f t="shared" si="16"/>
        <v>3.8454594406730438</v>
      </c>
      <c r="N112" s="10">
        <f t="shared" si="15"/>
        <v>2.9545467240956045</v>
      </c>
    </row>
    <row r="113" spans="3:14">
      <c r="C113" s="4">
        <f>Pressure!AB113*1000000</f>
        <v>5202764.1850923272</v>
      </c>
      <c r="D113" s="84">
        <f>Pressure!I113</f>
        <v>2.214727558899525E-4</v>
      </c>
      <c r="E113" s="40">
        <f>Pressure!H113</f>
        <v>221.47275588995251</v>
      </c>
      <c r="F113" s="10">
        <f t="shared" si="10"/>
        <v>8</v>
      </c>
      <c r="G113" s="4">
        <f t="shared" si="9"/>
        <v>104828.84962381065</v>
      </c>
      <c r="H113" s="45">
        <f t="shared" si="11"/>
        <v>8.2366977980864586</v>
      </c>
      <c r="I113" s="10">
        <f t="shared" si="12"/>
        <v>1.3583441716141755</v>
      </c>
      <c r="J113" s="4">
        <f t="shared" si="13"/>
        <v>1565.1799481133964</v>
      </c>
      <c r="K113" s="4">
        <f t="shared" si="14"/>
        <v>351.86815973054189</v>
      </c>
      <c r="L113" s="45">
        <f>Pressure!Q113</f>
        <v>0.24155805575574746</v>
      </c>
      <c r="M113" s="10">
        <f t="shared" si="16"/>
        <v>3.848955594832248</v>
      </c>
      <c r="N113" s="10">
        <f t="shared" si="15"/>
        <v>2.9545467240956045</v>
      </c>
    </row>
    <row r="114" spans="3:14">
      <c r="C114" s="4">
        <f>Pressure!AB114*1000000</f>
        <v>5213837.2281792359</v>
      </c>
      <c r="D114" s="84">
        <f>Pressure!I114</f>
        <v>2.214727558899525E-4</v>
      </c>
      <c r="E114" s="40">
        <f>Pressure!H114</f>
        <v>221.47275588995251</v>
      </c>
      <c r="F114" s="10">
        <f t="shared" si="10"/>
        <v>8</v>
      </c>
      <c r="G114" s="4">
        <f t="shared" si="9"/>
        <v>105051.95686591121</v>
      </c>
      <c r="H114" s="45">
        <f t="shared" si="11"/>
        <v>8.2504426077094539</v>
      </c>
      <c r="I114" s="10">
        <f t="shared" si="12"/>
        <v>1.3586739990207262</v>
      </c>
      <c r="J114" s="4">
        <f t="shared" si="13"/>
        <v>1568.8919798778475</v>
      </c>
      <c r="K114" s="4">
        <f t="shared" si="14"/>
        <v>352.70266172335943</v>
      </c>
      <c r="L114" s="45">
        <f>Pressure!Q114</f>
        <v>0.24401648078697602</v>
      </c>
      <c r="M114" s="10">
        <f t="shared" si="16"/>
        <v>3.8524404387222155</v>
      </c>
      <c r="N114" s="10">
        <f t="shared" si="15"/>
        <v>2.9545467240956045</v>
      </c>
    </row>
    <row r="115" spans="3:14">
      <c r="C115" s="4">
        <f>Pressure!AB115*1000000</f>
        <v>5224894.931682379</v>
      </c>
      <c r="D115" s="84">
        <f>Pressure!I115</f>
        <v>2.214727558899525E-4</v>
      </c>
      <c r="E115" s="40">
        <f>Pressure!H115</f>
        <v>221.47275588995251</v>
      </c>
      <c r="F115" s="10">
        <f t="shared" si="10"/>
        <v>8</v>
      </c>
      <c r="G115" s="4">
        <f t="shared" si="9"/>
        <v>105274.75503559128</v>
      </c>
      <c r="H115" s="45">
        <f t="shared" si="11"/>
        <v>8.2641632669114067</v>
      </c>
      <c r="I115" s="10">
        <f t="shared" si="12"/>
        <v>1.3590019744213635</v>
      </c>
      <c r="J115" s="4">
        <f t="shared" si="13"/>
        <v>1572.5988693321181</v>
      </c>
      <c r="K115" s="4">
        <f t="shared" si="14"/>
        <v>353.53600767324269</v>
      </c>
      <c r="L115" s="45">
        <f>Pressure!Q115</f>
        <v>0.24647131142932335</v>
      </c>
      <c r="M115" s="10">
        <f t="shared" si="16"/>
        <v>3.8559139996471847</v>
      </c>
      <c r="N115" s="10">
        <f t="shared" si="15"/>
        <v>2.9545467240956045</v>
      </c>
    </row>
    <row r="116" spans="3:14">
      <c r="C116" s="4">
        <f>Pressure!AB116*1000000</f>
        <v>5235937.2053547828</v>
      </c>
      <c r="D116" s="84">
        <f>Pressure!I116</f>
        <v>2.214727558899525E-4</v>
      </c>
      <c r="E116" s="40">
        <f>Pressure!H116</f>
        <v>221.47275588995251</v>
      </c>
      <c r="F116" s="10">
        <f t="shared" si="10"/>
        <v>8</v>
      </c>
      <c r="G116" s="4">
        <f t="shared" si="9"/>
        <v>105497.24231449318</v>
      </c>
      <c r="H116" s="45">
        <f t="shared" si="11"/>
        <v>8.2778596982613202</v>
      </c>
      <c r="I116" s="10">
        <f t="shared" si="12"/>
        <v>1.3593281097725092</v>
      </c>
      <c r="J116" s="4">
        <f t="shared" si="13"/>
        <v>1576.3005862225891</v>
      </c>
      <c r="K116" s="4">
        <f t="shared" si="14"/>
        <v>354.36819077887441</v>
      </c>
      <c r="L116" s="45">
        <f>Pressure!Q116</f>
        <v>0.24892256549958292</v>
      </c>
      <c r="M116" s="10">
        <f t="shared" si="16"/>
        <v>3.8593763036332969</v>
      </c>
      <c r="N116" s="10">
        <f t="shared" si="15"/>
        <v>2.9545467240956045</v>
      </c>
    </row>
    <row r="117" spans="3:14">
      <c r="C117" s="4">
        <f>Pressure!AB117*1000000</f>
        <v>5246963.9559673499</v>
      </c>
      <c r="D117" s="84">
        <f>Pressure!I117</f>
        <v>2.214727558899525E-4</v>
      </c>
      <c r="E117" s="40">
        <f>Pressure!H117</f>
        <v>221.47275588995251</v>
      </c>
      <c r="F117" s="10">
        <f t="shared" si="10"/>
        <v>8</v>
      </c>
      <c r="G117" s="4">
        <f t="shared" si="9"/>
        <v>105719.41682417327</v>
      </c>
      <c r="H117" s="45">
        <f t="shared" si="11"/>
        <v>8.2915318205949955</v>
      </c>
      <c r="I117" s="10">
        <f t="shared" si="12"/>
        <v>1.3596524168323765</v>
      </c>
      <c r="J117" s="4">
        <f t="shared" si="13"/>
        <v>1579.9970992959391</v>
      </c>
      <c r="K117" s="4">
        <f t="shared" si="14"/>
        <v>355.19920401419432</v>
      </c>
      <c r="L117" s="45">
        <f>Pressure!Q117</f>
        <v>0.25137026071749147</v>
      </c>
      <c r="M117" s="10">
        <f t="shared" si="16"/>
        <v>3.8628273755697657</v>
      </c>
      <c r="N117" s="10">
        <f t="shared" si="15"/>
        <v>2.9545467240956045</v>
      </c>
    </row>
    <row r="118" spans="3:14">
      <c r="C118" s="4">
        <f>Pressure!AB118*1000000</f>
        <v>5257975.0876778476</v>
      </c>
      <c r="D118" s="84">
        <f>Pressure!I118</f>
        <v>2.214727558899525E-4</v>
      </c>
      <c r="E118" s="40">
        <f>Pressure!H118</f>
        <v>221.47275588995251</v>
      </c>
      <c r="F118" s="10">
        <f t="shared" si="10"/>
        <v>8</v>
      </c>
      <c r="G118" s="4">
        <f t="shared" si="9"/>
        <v>105941.27663353675</v>
      </c>
      <c r="H118" s="45">
        <f t="shared" si="11"/>
        <v>8.3051795494790923</v>
      </c>
      <c r="I118" s="10">
        <f t="shared" si="12"/>
        <v>1.3599749071747838</v>
      </c>
      <c r="J118" s="4">
        <f t="shared" si="13"/>
        <v>1583.6883764228423</v>
      </c>
      <c r="K118" s="4">
        <f t="shared" si="14"/>
        <v>356.02904015620754</v>
      </c>
      <c r="L118" s="45">
        <f>Pressure!Q118</f>
        <v>0.25381441470751515</v>
      </c>
      <c r="M118" s="10">
        <f t="shared" si="16"/>
        <v>3.8662672393290092</v>
      </c>
      <c r="N118" s="10">
        <f t="shared" si="15"/>
        <v>2.9545467240956045</v>
      </c>
    </row>
    <row r="119" spans="3:14">
      <c r="C119" s="4">
        <f>Pressure!AB119*1000000</f>
        <v>5268970.5023638336</v>
      </c>
      <c r="D119" s="84">
        <f>Pressure!I119</f>
        <v>2.214727558899525E-4</v>
      </c>
      <c r="E119" s="40">
        <f>Pressure!H119</f>
        <v>221.47275588995251</v>
      </c>
      <c r="F119" s="10">
        <f t="shared" si="10"/>
        <v>8</v>
      </c>
      <c r="G119" s="4">
        <f t="shared" si="9"/>
        <v>106162.81976554557</v>
      </c>
      <c r="H119" s="45">
        <f t="shared" si="11"/>
        <v>8.3188027976294219</v>
      </c>
      <c r="I119" s="10">
        <f t="shared" si="12"/>
        <v>1.3602955922015862</v>
      </c>
      <c r="J119" s="4">
        <f t="shared" si="13"/>
        <v>1587.3743847095748</v>
      </c>
      <c r="K119" s="4">
        <f t="shared" si="14"/>
        <v>356.85769181007481</v>
      </c>
      <c r="L119" s="45">
        <f>Pressure!Q119</f>
        <v>0.25625504500049234</v>
      </c>
      <c r="M119" s="10">
        <f t="shared" si="16"/>
        <v>3.8696959178758457</v>
      </c>
      <c r="N119" s="10">
        <f t="shared" si="15"/>
        <v>2.9545467240956045</v>
      </c>
    </row>
    <row r="120" spans="3:14">
      <c r="C120" s="4">
        <f>Pressure!AB120*1000000</f>
        <v>5279950.0999099147</v>
      </c>
      <c r="D120" s="84">
        <f>Pressure!I120</f>
        <v>2.214727558899525E-4</v>
      </c>
      <c r="E120" s="40">
        <f>Pressure!H120</f>
        <v>221.47275588995251</v>
      </c>
      <c r="F120" s="10">
        <f t="shared" si="10"/>
        <v>8</v>
      </c>
      <c r="G120" s="4">
        <f t="shared" si="9"/>
        <v>106384.04420300634</v>
      </c>
      <c r="H120" s="45">
        <f t="shared" si="11"/>
        <v>8.3324014752717481</v>
      </c>
      <c r="I120" s="10">
        <f t="shared" si="12"/>
        <v>1.3606144831534943</v>
      </c>
      <c r="J120" s="4">
        <f t="shared" si="13"/>
        <v>1591.0550905943126</v>
      </c>
      <c r="K120" s="4">
        <f t="shared" si="14"/>
        <v>357.68515143076132</v>
      </c>
      <c r="L120" s="45">
        <f>Pressure!Q120</f>
        <v>0.25869216903514841</v>
      </c>
      <c r="M120" s="10">
        <f t="shared" si="16"/>
        <v>3.8731134333611905</v>
      </c>
      <c r="N120" s="10">
        <f t="shared" si="15"/>
        <v>2.9545467240956045</v>
      </c>
    </row>
    <row r="121" spans="3:14">
      <c r="C121" s="4">
        <f>Pressure!AB121*1000000</f>
        <v>5290913.7784650568</v>
      </c>
      <c r="D121" s="84">
        <f>Pressure!I121</f>
        <v>2.214727558899525E-4</v>
      </c>
      <c r="E121" s="40">
        <f>Pressure!H121</f>
        <v>221.47275588995251</v>
      </c>
      <c r="F121" s="10">
        <f t="shared" si="10"/>
        <v>8</v>
      </c>
      <c r="G121" s="4">
        <f t="shared" si="9"/>
        <v>106604.9478937548</v>
      </c>
      <c r="H121" s="45">
        <f t="shared" si="11"/>
        <v>8.3459754904646317</v>
      </c>
      <c r="I121" s="10">
        <f t="shared" si="12"/>
        <v>1.3609315911197728</v>
      </c>
      <c r="J121" s="4">
        <f t="shared" si="13"/>
        <v>1594.7304599333909</v>
      </c>
      <c r="K121" s="4">
        <f t="shared" si="14"/>
        <v>358.51141134242857</v>
      </c>
      <c r="L121" s="45">
        <f>Pressure!Q121</f>
        <v>0.26112580415949871</v>
      </c>
      <c r="M121" s="10">
        <f t="shared" si="16"/>
        <v>3.8765198072059341</v>
      </c>
      <c r="N121" s="10">
        <f t="shared" si="15"/>
        <v>2.9545467240956045</v>
      </c>
    </row>
    <row r="122" spans="3:14">
      <c r="C122" s="4">
        <f>Pressure!AB122*1000000</f>
        <v>5301861.4346684162</v>
      </c>
      <c r="D122" s="84">
        <f>Pressure!I122</f>
        <v>2.214727558899525E-4</v>
      </c>
      <c r="E122" s="40">
        <f>Pressure!H122</f>
        <v>221.47275588995251</v>
      </c>
      <c r="F122" s="10">
        <f t="shared" si="10"/>
        <v>8</v>
      </c>
      <c r="G122" s="4">
        <f t="shared" si="9"/>
        <v>106825.528755206</v>
      </c>
      <c r="H122" s="45">
        <f t="shared" si="11"/>
        <v>8.3595247493826133</v>
      </c>
      <c r="I122" s="10">
        <f t="shared" si="12"/>
        <v>1.3612469270468111</v>
      </c>
      <c r="J122" s="4">
        <f t="shared" si="13"/>
        <v>1598.400458077009</v>
      </c>
      <c r="K122" s="4">
        <f t="shared" si="14"/>
        <v>359.33646375545368</v>
      </c>
      <c r="L122" s="45">
        <f>Pressure!Q122</f>
        <v>0.26355596763215211</v>
      </c>
      <c r="M122" s="10">
        <f t="shared" si="16"/>
        <v>3.8799150601745489</v>
      </c>
      <c r="N122" s="10">
        <f t="shared" si="15"/>
        <v>2.9545467240956045</v>
      </c>
    </row>
    <row r="123" spans="3:14">
      <c r="C123" s="4">
        <f>Pressure!AB123*1000000</f>
        <v>5312792.9638491711</v>
      </c>
      <c r="D123" s="84">
        <f>Pressure!I123</f>
        <v>2.214727558899525E-4</v>
      </c>
      <c r="E123" s="40">
        <f>Pressure!H123</f>
        <v>221.47275588995251</v>
      </c>
      <c r="F123" s="10">
        <f t="shared" si="10"/>
        <v>8</v>
      </c>
      <c r="G123" s="4">
        <f t="shared" si="9"/>
        <v>107045.78467838069</v>
      </c>
      <c r="H123" s="45">
        <f t="shared" si="11"/>
        <v>8.3730491565665517</v>
      </c>
      <c r="I123" s="10">
        <f t="shared" si="12"/>
        <v>1.3615605017457506</v>
      </c>
      <c r="J123" s="4">
        <f t="shared" si="13"/>
        <v>1602.0650499362205</v>
      </c>
      <c r="K123" s="4">
        <f t="shared" si="14"/>
        <v>360.16030078148924</v>
      </c>
      <c r="L123" s="45">
        <f>Pressure!Q123</f>
        <v>0.2659826766235267</v>
      </c>
      <c r="M123" s="10">
        <f t="shared" si="16"/>
        <v>3.8832992124399799</v>
      </c>
      <c r="N123" s="10">
        <f t="shared" si="15"/>
        <v>2.9545467240956045</v>
      </c>
    </row>
    <row r="124" spans="3:14">
      <c r="C124" s="4">
        <f>Pressure!AB124*1000000</f>
        <v>5323708.260202839</v>
      </c>
      <c r="D124" s="84">
        <f>Pressure!I124</f>
        <v>2.214727558899525E-4</v>
      </c>
      <c r="E124" s="40">
        <f>Pressure!H124</f>
        <v>221.47275588995251</v>
      </c>
      <c r="F124" s="10">
        <f t="shared" si="10"/>
        <v>8</v>
      </c>
      <c r="G124" s="4">
        <f t="shared" si="9"/>
        <v>107265.71353145779</v>
      </c>
      <c r="H124" s="45">
        <f t="shared" si="11"/>
        <v>8.3865486151443331</v>
      </c>
      <c r="I124" s="10">
        <f t="shared" si="12"/>
        <v>1.3618723258992709</v>
      </c>
      <c r="J124" s="4">
        <f t="shared" si="13"/>
        <v>1605.7242000420404</v>
      </c>
      <c r="K124" s="4">
        <f t="shared" si="14"/>
        <v>360.98291444675158</v>
      </c>
      <c r="L124" s="45">
        <f>Pressure!Q124</f>
        <v>0.26840594821698782</v>
      </c>
      <c r="M124" s="10">
        <f t="shared" si="16"/>
        <v>3.8866722836411332</v>
      </c>
      <c r="N124" s="10">
        <f t="shared" si="15"/>
        <v>2.9545467240956045</v>
      </c>
    </row>
    <row r="125" spans="3:14">
      <c r="C125" s="4">
        <f>Pressure!AB125*1000000</f>
        <v>5334607.2169479942</v>
      </c>
      <c r="D125" s="84">
        <f>Pressure!I125</f>
        <v>2.214727558899525E-4</v>
      </c>
      <c r="E125" s="40">
        <f>Pressure!H125</f>
        <v>221.47275588995251</v>
      </c>
      <c r="F125" s="10">
        <f t="shared" si="10"/>
        <v>8</v>
      </c>
      <c r="G125" s="4">
        <f t="shared" si="9"/>
        <v>107485.31316293214</v>
      </c>
      <c r="H125" s="45">
        <f t="shared" si="11"/>
        <v>8.4000230270268332</v>
      </c>
      <c r="I125" s="10">
        <f t="shared" si="12"/>
        <v>1.3621824100676629</v>
      </c>
      <c r="J125" s="4">
        <f t="shared" si="13"/>
        <v>1609.3778725979816</v>
      </c>
      <c r="K125" s="4">
        <f t="shared" si="14"/>
        <v>361.80429670383114</v>
      </c>
      <c r="L125" s="45">
        <f>Pressure!Q125</f>
        <v>0.27082579940991708</v>
      </c>
      <c r="M125" s="10">
        <f t="shared" si="16"/>
        <v>3.8900342929336413</v>
      </c>
      <c r="N125" s="10">
        <f t="shared" si="15"/>
        <v>2.9545467240956045</v>
      </c>
    </row>
    <row r="126" spans="3:14">
      <c r="C126" s="4">
        <f>Pressure!AB126*1000000</f>
        <v>5345489.7264644718</v>
      </c>
      <c r="D126" s="84">
        <f>Pressure!I126</f>
        <v>2.214727558899525E-4</v>
      </c>
      <c r="E126" s="40">
        <f>Pressure!H126</f>
        <v>221.47275588995251</v>
      </c>
      <c r="F126" s="10">
        <f t="shared" si="10"/>
        <v>8</v>
      </c>
      <c r="G126" s="4">
        <f t="shared" si="9"/>
        <v>107704.58140439911</v>
      </c>
      <c r="H126" s="45">
        <f t="shared" si="11"/>
        <v>8.4134722930805719</v>
      </c>
      <c r="I126" s="10">
        <f t="shared" si="12"/>
        <v>1.3624907646942452</v>
      </c>
      <c r="J126" s="4">
        <f t="shared" si="13"/>
        <v>1613.0260315263849</v>
      </c>
      <c r="K126" s="4">
        <f t="shared" si="14"/>
        <v>362.62443944210804</v>
      </c>
      <c r="L126" s="45">
        <f>Pressure!Q126</f>
        <v>0.27324224711472</v>
      </c>
      <c r="M126" s="10">
        <f t="shared" si="16"/>
        <v>3.893385259034658</v>
      </c>
      <c r="N126" s="10">
        <f t="shared" si="15"/>
        <v>2.9545467240956045</v>
      </c>
    </row>
    <row r="127" spans="3:14">
      <c r="C127" s="4">
        <f>Pressure!AB127*1000000</f>
        <v>5356355.6804151423</v>
      </c>
      <c r="D127" s="84">
        <f>Pressure!I127</f>
        <v>2.214727558899525E-4</v>
      </c>
      <c r="E127" s="40">
        <f>Pressure!H127</f>
        <v>221.47275588995251</v>
      </c>
      <c r="F127" s="10">
        <f t="shared" si="10"/>
        <v>8</v>
      </c>
      <c r="G127" s="4">
        <f t="shared" si="9"/>
        <v>107923.51607300814</v>
      </c>
      <c r="H127" s="45">
        <f t="shared" si="11"/>
        <v>8.4268963132796681</v>
      </c>
      <c r="I127" s="10">
        <f t="shared" si="12"/>
        <v>1.3627974001101975</v>
      </c>
      <c r="J127" s="4">
        <f t="shared" si="13"/>
        <v>1616.6686405092432</v>
      </c>
      <c r="K127" s="4">
        <f t="shared" si="14"/>
        <v>363.44333449692982</v>
      </c>
      <c r="L127" s="45">
        <f>Pressure!Q127</f>
        <v>0.27565530815977929</v>
      </c>
      <c r="M127" s="10">
        <f t="shared" si="16"/>
        <v>3.8967252002623467</v>
      </c>
      <c r="N127" s="10">
        <f t="shared" si="15"/>
        <v>2.9545467240956045</v>
      </c>
    </row>
    <row r="128" spans="3:14">
      <c r="C128" s="4">
        <f>Pressure!AB128*1000000</f>
        <v>5367204.9698550031</v>
      </c>
      <c r="D128" s="84">
        <f>Pressure!I128</f>
        <v>2.214727558899525E-4</v>
      </c>
      <c r="E128" s="40">
        <f>Pressure!H128</f>
        <v>221.47275588995251</v>
      </c>
      <c r="F128" s="10">
        <f t="shared" si="10"/>
        <v>8</v>
      </c>
      <c r="G128" s="4">
        <f t="shared" si="9"/>
        <v>108142.11497366083</v>
      </c>
      <c r="H128" s="45">
        <f t="shared" si="11"/>
        <v>8.4402949868418116</v>
      </c>
      <c r="I128" s="10">
        <f t="shared" si="12"/>
        <v>1.3631023265389324</v>
      </c>
      <c r="J128" s="4">
        <f t="shared" si="13"/>
        <v>1620.3056630247704</v>
      </c>
      <c r="K128" s="4">
        <f t="shared" si="14"/>
        <v>364.26097365783249</v>
      </c>
      <c r="L128" s="45">
        <f>Pressure!Q128</f>
        <v>0.27806499929035977</v>
      </c>
      <c r="M128" s="10">
        <f t="shared" si="16"/>
        <v>3.9000541345714232</v>
      </c>
      <c r="N128" s="10">
        <f t="shared" si="15"/>
        <v>2.9545467240956045</v>
      </c>
    </row>
    <row r="129" spans="3:14">
      <c r="C129" s="4">
        <f>Pressure!AB129*1000000</f>
        <v>5378037.485326712</v>
      </c>
      <c r="D129" s="84">
        <f>Pressure!I129</f>
        <v>2.214727558899525E-4</v>
      </c>
      <c r="E129" s="40">
        <f>Pressure!H129</f>
        <v>221.47275588995251</v>
      </c>
      <c r="F129" s="10">
        <f t="shared" si="10"/>
        <v>8</v>
      </c>
      <c r="G129" s="4">
        <f t="shared" si="9"/>
        <v>108360.37590093582</v>
      </c>
      <c r="H129" s="45">
        <f t="shared" si="11"/>
        <v>8.4536682123471696</v>
      </c>
      <c r="I129" s="10">
        <f t="shared" si="12"/>
        <v>1.3634055540999948</v>
      </c>
      <c r="J129" s="4">
        <f t="shared" si="13"/>
        <v>1623.9370623794271</v>
      </c>
      <c r="K129" s="4">
        <f t="shared" si="14"/>
        <v>365.0773486757401</v>
      </c>
      <c r="L129" s="45">
        <f>Pressure!Q129</f>
        <v>0.28047133716946987</v>
      </c>
      <c r="M129" s="10">
        <f t="shared" si="16"/>
        <v>3.9033720795837517</v>
      </c>
      <c r="N129" s="10">
        <f t="shared" si="15"/>
        <v>2.9545467240956045</v>
      </c>
    </row>
    <row r="130" spans="3:14">
      <c r="C130" s="4">
        <f>Pressure!AB130*1000000</f>
        <v>5388853.1169470102</v>
      </c>
      <c r="D130" s="84">
        <f>Pressure!I130</f>
        <v>2.214727558899525E-4</v>
      </c>
      <c r="E130" s="40">
        <f>Pressure!H130</f>
        <v>221.47275588995251</v>
      </c>
      <c r="F130" s="10">
        <f t="shared" si="10"/>
        <v>8</v>
      </c>
      <c r="G130" s="4">
        <f t="shared" si="9"/>
        <v>108578.2966408301</v>
      </c>
      <c r="H130" s="45">
        <f t="shared" si="11"/>
        <v>8.467015887845788</v>
      </c>
      <c r="I130" s="10">
        <f t="shared" si="12"/>
        <v>1.363707092812626</v>
      </c>
      <c r="J130" s="4">
        <f t="shared" si="13"/>
        <v>1627.5628017368954</v>
      </c>
      <c r="K130" s="4">
        <f t="shared" si="14"/>
        <v>365.89245126947878</v>
      </c>
      <c r="L130" s="45">
        <f>Pressure!Q130</f>
        <v>0.28287433837868459</v>
      </c>
      <c r="M130" s="10">
        <f t="shared" si="16"/>
        <v>3.9066790526165049</v>
      </c>
      <c r="N130" s="10">
        <f t="shared" si="15"/>
        <v>2.9545467240956045</v>
      </c>
    </row>
    <row r="131" spans="3:14">
      <c r="C131" s="4">
        <f>Pressure!AB131*1000000</f>
        <v>5399651.7544822386</v>
      </c>
      <c r="D131" s="84">
        <f>Pressure!I131</f>
        <v>2.214727558899525E-4</v>
      </c>
      <c r="E131" s="40">
        <f>Pressure!H131</f>
        <v>221.47275588995251</v>
      </c>
      <c r="F131" s="10">
        <f t="shared" si="10"/>
        <v>8</v>
      </c>
      <c r="G131" s="4">
        <f t="shared" si="9"/>
        <v>108795.87497228054</v>
      </c>
      <c r="H131" s="45">
        <f t="shared" si="11"/>
        <v>8.480337910951361</v>
      </c>
      <c r="I131" s="10">
        <f t="shared" si="12"/>
        <v>1.3640069525989484</v>
      </c>
      <c r="J131" s="4">
        <f t="shared" si="13"/>
        <v>1631.1828441433909</v>
      </c>
      <c r="K131" s="4">
        <f t="shared" si="14"/>
        <v>366.70627313146684</v>
      </c>
      <c r="L131" s="45">
        <f>Pressure!Q131</f>
        <v>0.28527401941893377</v>
      </c>
      <c r="M131" s="10">
        <f t="shared" si="16"/>
        <v>3.9099750707067451</v>
      </c>
      <c r="N131" s="10">
        <f t="shared" si="15"/>
        <v>2.9545467240956045</v>
      </c>
    </row>
    <row r="132" spans="3:14">
      <c r="C132" s="4">
        <f>Pressure!AB132*1000000</f>
        <v>5410433.2874127524</v>
      </c>
      <c r="D132" s="84">
        <f>Pressure!I132</f>
        <v>2.214727558899525E-4</v>
      </c>
      <c r="E132" s="40">
        <f>Pressure!H132</f>
        <v>221.47275588995251</v>
      </c>
      <c r="F132" s="10">
        <f t="shared" si="10"/>
        <v>8</v>
      </c>
      <c r="G132" s="4">
        <f t="shared" si="9"/>
        <v>109013.10866846179</v>
      </c>
      <c r="H132" s="45">
        <f t="shared" si="11"/>
        <v>8.4936341789209902</v>
      </c>
      <c r="I132" s="10">
        <f t="shared" si="12"/>
        <v>1.3643051432867794</v>
      </c>
      <c r="J132" s="4">
        <f t="shared" si="13"/>
        <v>1634.7971525492576</v>
      </c>
      <c r="K132" s="4">
        <f t="shared" si="14"/>
        <v>367.51880593256993</v>
      </c>
      <c r="L132" s="45">
        <f>Pressure!Q132</f>
        <v>0.2876703967112591</v>
      </c>
      <c r="M132" s="10">
        <f t="shared" si="16"/>
        <v>3.913260150631519</v>
      </c>
      <c r="N132" s="10">
        <f t="shared" si="15"/>
        <v>2.9545467240956045</v>
      </c>
    </row>
    <row r="133" spans="3:14">
      <c r="C133" s="4">
        <f>Pressure!AB133*1000000</f>
        <v>5421197.6049973313</v>
      </c>
      <c r="D133" s="84">
        <f>Pressure!I133</f>
        <v>2.214727558899525E-4</v>
      </c>
      <c r="E133" s="40">
        <f>Pressure!H133</f>
        <v>221.47275588995251</v>
      </c>
      <c r="F133" s="10">
        <f t="shared" si="10"/>
        <v>8</v>
      </c>
      <c r="G133" s="4">
        <f t="shared" si="9"/>
        <v>109229.99549808401</v>
      </c>
      <c r="H133" s="45">
        <f t="shared" si="11"/>
        <v>8.5069045887348835</v>
      </c>
      <c r="I133" s="10">
        <f t="shared" si="12"/>
        <v>1.3646016746123899</v>
      </c>
      <c r="J133" s="4">
        <f t="shared" si="13"/>
        <v>1638.4056898305619</v>
      </c>
      <c r="K133" s="4">
        <f t="shared" si="14"/>
        <v>368.33004132695515</v>
      </c>
      <c r="L133" s="45">
        <f>Pressure!Q133</f>
        <v>0.2900634865975445</v>
      </c>
      <c r="M133" s="10">
        <f t="shared" si="16"/>
        <v>3.9165343089298741</v>
      </c>
      <c r="N133" s="10">
        <f t="shared" si="15"/>
        <v>2.9545467240956045</v>
      </c>
    </row>
    <row r="134" spans="3:14">
      <c r="C134" s="4">
        <f>Pressure!AB134*1000000</f>
        <v>5431944.596322583</v>
      </c>
      <c r="D134" s="84">
        <f>Pressure!I134</f>
        <v>2.214727558899525E-4</v>
      </c>
      <c r="E134" s="40">
        <f>Pressure!H134</f>
        <v>221.47275588995251</v>
      </c>
      <c r="F134" s="10">
        <f t="shared" si="10"/>
        <v>8</v>
      </c>
      <c r="G134" s="4">
        <f t="shared" si="9"/>
        <v>109446.53322638838</v>
      </c>
      <c r="H134" s="45">
        <f t="shared" si="11"/>
        <v>8.5201490371573172</v>
      </c>
      <c r="I134" s="10">
        <f t="shared" si="12"/>
        <v>1.3648965562227926</v>
      </c>
      <c r="J134" s="4">
        <f t="shared" si="13"/>
        <v>1642.0084188056503</v>
      </c>
      <c r="K134" s="4">
        <f t="shared" si="14"/>
        <v>369.13997095581368</v>
      </c>
      <c r="L134" s="45">
        <f>Pressure!Q134</f>
        <v>0.29245330534121977</v>
      </c>
      <c r="M134" s="10">
        <f t="shared" si="16"/>
        <v>3.9197975619178216</v>
      </c>
      <c r="N134" s="10">
        <f t="shared" si="15"/>
        <v>2.9545467240956045</v>
      </c>
    </row>
    <row r="135" spans="3:14">
      <c r="C135" s="4">
        <f>Pressure!AB135*1000000</f>
        <v>5442674.1503524045</v>
      </c>
      <c r="D135" s="84">
        <f>Pressure!I135</f>
        <v>2.214727558899525E-4</v>
      </c>
      <c r="E135" s="40">
        <f>Pressure!H135</f>
        <v>221.47275588995251</v>
      </c>
      <c r="F135" s="10">
        <f t="shared" si="10"/>
        <v>8</v>
      </c>
      <c r="G135" s="4">
        <f t="shared" si="9"/>
        <v>109662.71961614357</v>
      </c>
      <c r="H135" s="45">
        <f t="shared" si="11"/>
        <v>8.5333674207975481</v>
      </c>
      <c r="I135" s="10">
        <f t="shared" si="12"/>
        <v>1.3651897976779916</v>
      </c>
      <c r="J135" s="4">
        <f t="shared" si="13"/>
        <v>1645.6053022517356</v>
      </c>
      <c r="K135" s="4">
        <f t="shared" si="14"/>
        <v>369.94858645108934</v>
      </c>
      <c r="L135" s="45">
        <f>Pressure!Q135</f>
        <v>0.29483986912794291</v>
      </c>
      <c r="M135" s="10">
        <f t="shared" si="16"/>
        <v>3.923049925704833</v>
      </c>
      <c r="N135" s="10">
        <f t="shared" si="15"/>
        <v>2.9545467240956045</v>
      </c>
    </row>
    <row r="136" spans="3:14">
      <c r="C136" s="4">
        <f>Pressure!AB136*1000000</f>
        <v>5453386.1559683345</v>
      </c>
      <c r="D136" s="84">
        <f>Pressure!I136</f>
        <v>2.214727558899525E-4</v>
      </c>
      <c r="E136" s="40">
        <f>Pressure!H136</f>
        <v>221.47275588995251</v>
      </c>
      <c r="F136" s="10">
        <f t="shared" si="10"/>
        <v>8</v>
      </c>
      <c r="G136" s="4">
        <f t="shared" si="9"/>
        <v>109878.55242845886</v>
      </c>
      <c r="H136" s="45">
        <f t="shared" si="11"/>
        <v>8.5465596361594045</v>
      </c>
      <c r="I136" s="10">
        <f t="shared" si="12"/>
        <v>1.3654814084529381</v>
      </c>
      <c r="J136" s="4">
        <f t="shared" si="13"/>
        <v>1649.1963029184194</v>
      </c>
      <c r="K136" s="4">
        <f t="shared" si="14"/>
        <v>370.75587943851883</v>
      </c>
      <c r="L136" s="45">
        <f>Pressure!Q136</f>
        <v>0.29722319406626124</v>
      </c>
      <c r="M136" s="10">
        <f t="shared" si="16"/>
        <v>3.9262914162066505</v>
      </c>
      <c r="N136" s="10">
        <f t="shared" si="15"/>
        <v>2.9545467240956045</v>
      </c>
    </row>
    <row r="137" spans="3:14">
      <c r="C137" s="4">
        <f>Pressure!AB137*1000000</f>
        <v>5464080.502008535</v>
      </c>
      <c r="D137" s="84">
        <f>Pressure!I137</f>
        <v>2.214727558899525E-4</v>
      </c>
      <c r="E137" s="40">
        <f>Pressure!H137</f>
        <v>221.47275588995251</v>
      </c>
      <c r="F137" s="10">
        <f t="shared" si="10"/>
        <v>8</v>
      </c>
      <c r="G137" s="4">
        <f t="shared" si="9"/>
        <v>110094.02942356955</v>
      </c>
      <c r="H137" s="45">
        <f t="shared" si="11"/>
        <v>8.559725579689065</v>
      </c>
      <c r="I137" s="10">
        <f t="shared" si="12"/>
        <v>1.365771397939413</v>
      </c>
      <c r="J137" s="4">
        <f t="shared" si="13"/>
        <v>1652.7813835407633</v>
      </c>
      <c r="K137" s="4">
        <f t="shared" si="14"/>
        <v>371.56184154056996</v>
      </c>
      <c r="L137" s="45">
        <f>Pressure!Q137</f>
        <v>0.29960329618825465</v>
      </c>
      <c r="M137" s="10">
        <f t="shared" si="16"/>
        <v>3.9295220491581966</v>
      </c>
      <c r="N137" s="10">
        <f t="shared" si="15"/>
        <v>2.9545467240956045</v>
      </c>
    </row>
    <row r="138" spans="3:14">
      <c r="C138" s="4">
        <f>Pressure!AB138*1000000</f>
        <v>5474757.0772998761</v>
      </c>
      <c r="D138" s="84">
        <f>Pressure!I138</f>
        <v>2.214727558899525E-4</v>
      </c>
      <c r="E138" s="40">
        <f>Pressure!H138</f>
        <v>221.47275588995251</v>
      </c>
      <c r="F138" s="10">
        <f t="shared" si="10"/>
        <v>8</v>
      </c>
      <c r="G138" s="4">
        <f t="shared" si="9"/>
        <v>110309.1483614834</v>
      </c>
      <c r="H138" s="45">
        <f t="shared" si="11"/>
        <v>8.5728651478142304</v>
      </c>
      <c r="I138" s="10">
        <f t="shared" si="12"/>
        <v>1.3660597754476898</v>
      </c>
      <c r="J138" s="4">
        <f t="shared" si="13"/>
        <v>1656.3605068500424</v>
      </c>
      <c r="K138" s="4">
        <f t="shared" si="14"/>
        <v>372.3664643788594</v>
      </c>
      <c r="L138" s="45">
        <f>Pressure!Q138</f>
        <v>0.30198019145016158</v>
      </c>
      <c r="M138" s="10">
        <f t="shared" si="16"/>
        <v>3.9327418401238248</v>
      </c>
      <c r="N138" s="10">
        <f t="shared" si="15"/>
        <v>2.9545467240956045</v>
      </c>
    </row>
    <row r="139" spans="3:14">
      <c r="C139" s="4">
        <f>Pressure!AB139*1000000</f>
        <v>5485415.7706893142</v>
      </c>
      <c r="D139" s="84">
        <f>Pressure!I139</f>
        <v>2.214727558899525E-4</v>
      </c>
      <c r="E139" s="40">
        <f>Pressure!H139</f>
        <v>221.47275588995251</v>
      </c>
      <c r="F139" s="10">
        <f t="shared" si="10"/>
        <v>8</v>
      </c>
      <c r="G139" s="4">
        <f t="shared" si="9"/>
        <v>110523.9070026129</v>
      </c>
      <c r="H139" s="45">
        <f t="shared" si="11"/>
        <v>8.5859782369824043</v>
      </c>
      <c r="I139" s="10">
        <f t="shared" si="12"/>
        <v>1.3663465502081469</v>
      </c>
      <c r="J139" s="4">
        <f t="shared" si="13"/>
        <v>1659.933635584267</v>
      </c>
      <c r="K139" s="4">
        <f t="shared" si="14"/>
        <v>373.16973957651794</v>
      </c>
      <c r="L139" s="45">
        <f>Pressure!Q139</f>
        <v>0.30435389573298993</v>
      </c>
      <c r="M139" s="10">
        <f t="shared" si="16"/>
        <v>3.9359508045074425</v>
      </c>
      <c r="N139" s="10">
        <f t="shared" si="15"/>
        <v>2.9545467240956045</v>
      </c>
    </row>
    <row r="140" spans="3:14">
      <c r="C140" s="4">
        <f>Pressure!AB140*1000000</f>
        <v>5496056.4710686784</v>
      </c>
      <c r="D140" s="84">
        <f>Pressure!I140</f>
        <v>2.214727558899525E-4</v>
      </c>
      <c r="E140" s="40">
        <f>Pressure!H140</f>
        <v>221.47275588995251</v>
      </c>
      <c r="F140" s="10">
        <f t="shared" si="10"/>
        <v>8</v>
      </c>
      <c r="G140" s="4">
        <f t="shared" si="9"/>
        <v>110738.30310827469</v>
      </c>
      <c r="H140" s="45">
        <f t="shared" si="11"/>
        <v>8.599064743690926</v>
      </c>
      <c r="I140" s="10">
        <f t="shared" si="12"/>
        <v>1.3666317313726757</v>
      </c>
      <c r="J140" s="4">
        <f t="shared" si="13"/>
        <v>1663.5007324964879</v>
      </c>
      <c r="K140" s="4">
        <f t="shared" si="14"/>
        <v>373.97165876005755</v>
      </c>
      <c r="L140" s="45">
        <f>Pressure!Q140</f>
        <v>0.3067244248431138</v>
      </c>
      <c r="M140" s="10">
        <f t="shared" si="16"/>
        <v>3.9391489575607701</v>
      </c>
      <c r="N140" s="10">
        <f t="shared" si="15"/>
        <v>2.9545467240956045</v>
      </c>
    </row>
    <row r="141" spans="3:14">
      <c r="C141" s="4">
        <f>Pressure!AB141*1000000</f>
        <v>5506679.0674002562</v>
      </c>
      <c r="D141" s="84">
        <f>Pressure!I141</f>
        <v>2.214727558899525E-4</v>
      </c>
      <c r="E141" s="40">
        <f>Pressure!H141</f>
        <v>221.47275588995251</v>
      </c>
      <c r="F141" s="10">
        <f t="shared" si="10"/>
        <v>8</v>
      </c>
      <c r="G141" s="4">
        <f t="shared" si="9"/>
        <v>110952.33444120501</v>
      </c>
      <c r="H141" s="45">
        <f t="shared" si="11"/>
        <v>8.6121245645179556</v>
      </c>
      <c r="I141" s="10">
        <f t="shared" si="12"/>
        <v>1.3669153280160871</v>
      </c>
      <c r="J141" s="4">
        <f t="shared" si="13"/>
        <v>1667.061760363378</v>
      </c>
      <c r="K141" s="4">
        <f t="shared" si="14"/>
        <v>374.77221356130076</v>
      </c>
      <c r="L141" s="45">
        <f>Pressure!Q141</f>
        <v>0.30909179451285762</v>
      </c>
      <c r="M141" s="10">
        <f t="shared" si="16"/>
        <v>3.9423363143914139</v>
      </c>
      <c r="N141" s="10">
        <f t="shared" si="15"/>
        <v>2.9545467240956045</v>
      </c>
    </row>
    <row r="142" spans="3:14">
      <c r="C142" s="4">
        <f>Pressure!AB142*1000000</f>
        <v>5517283.4487362709</v>
      </c>
      <c r="D142" s="84">
        <f>Pressure!I142</f>
        <v>2.214727558899525E-4</v>
      </c>
      <c r="E142" s="40">
        <f>Pressure!H142</f>
        <v>221.47275588995251</v>
      </c>
      <c r="F142" s="10">
        <f t="shared" si="10"/>
        <v>8</v>
      </c>
      <c r="G142" s="4">
        <f t="shared" si="9"/>
        <v>111165.99876595219</v>
      </c>
      <c r="H142" s="45">
        <f t="shared" si="11"/>
        <v>8.6251575961458844</v>
      </c>
      <c r="I142" s="10">
        <f t="shared" si="12"/>
        <v>1.3671973491373288</v>
      </c>
      <c r="J142" s="4">
        <f t="shared" si="13"/>
        <v>1670.6166819917585</v>
      </c>
      <c r="K142" s="4">
        <f t="shared" si="14"/>
        <v>375.57139561884776</v>
      </c>
      <c r="L142" s="45">
        <f>Pressure!Q142</f>
        <v>0.31145602040106835</v>
      </c>
      <c r="M142" s="10">
        <f t="shared" si="16"/>
        <v>3.9455128899694301</v>
      </c>
      <c r="N142" s="10">
        <f t="shared" si="15"/>
        <v>2.9545467240956045</v>
      </c>
    </row>
    <row r="143" spans="3:14">
      <c r="C143" s="4">
        <f>Pressure!AB143*1000000</f>
        <v>5527869.5042391494</v>
      </c>
      <c r="D143" s="84">
        <f>Pressure!I143</f>
        <v>2.214727558899525E-4</v>
      </c>
      <c r="E143" s="40">
        <f>Pressure!H143</f>
        <v>221.47275588995251</v>
      </c>
      <c r="F143" s="10">
        <f t="shared" si="10"/>
        <v>8</v>
      </c>
      <c r="G143" s="4">
        <f t="shared" si="9"/>
        <v>111379.29384928507</v>
      </c>
      <c r="H143" s="45">
        <f t="shared" si="11"/>
        <v>8.6381637353856711</v>
      </c>
      <c r="I143" s="10">
        <f t="shared" si="12"/>
        <v>1.3674778036607067</v>
      </c>
      <c r="J143" s="4">
        <f t="shared" si="13"/>
        <v>1674.1654602253932</v>
      </c>
      <c r="K143" s="4">
        <f t="shared" si="14"/>
        <v>376.36919657960368</v>
      </c>
      <c r="L143" s="45">
        <f>Pressure!Q143</f>
        <v>0.31381711809367718</v>
      </c>
      <c r="M143" s="10">
        <f t="shared" si="16"/>
        <v>3.9486786991340814</v>
      </c>
      <c r="N143" s="10">
        <f t="shared" si="15"/>
        <v>2.9545467240956045</v>
      </c>
    </row>
    <row r="144" spans="3:14">
      <c r="C144" s="4">
        <f>Pressure!AB144*1000000</f>
        <v>5538437.1231981302</v>
      </c>
      <c r="D144" s="84">
        <f>Pressure!I144</f>
        <v>2.214727558899525E-4</v>
      </c>
      <c r="E144" s="40">
        <f>Pressure!H144</f>
        <v>221.47275588995251</v>
      </c>
      <c r="F144" s="10">
        <f t="shared" si="10"/>
        <v>8</v>
      </c>
      <c r="G144" s="4">
        <f t="shared" si="9"/>
        <v>111592.21746052752</v>
      </c>
      <c r="H144" s="45">
        <f t="shared" si="11"/>
        <v>8.6511428791966445</v>
      </c>
      <c r="I144" s="10">
        <f t="shared" si="12"/>
        <v>1.3677567004369893</v>
      </c>
      <c r="J144" s="4">
        <f t="shared" si="13"/>
        <v>1677.7080579505596</v>
      </c>
      <c r="K144" s="4">
        <f t="shared" si="14"/>
        <v>377.16560810003136</v>
      </c>
      <c r="L144" s="45">
        <f>Pressure!Q144</f>
        <v>0.31617510310425095</v>
      </c>
      <c r="M144" s="10">
        <f t="shared" si="16"/>
        <v>3.9518337565990338</v>
      </c>
      <c r="N144" s="10">
        <f t="shared" si="15"/>
        <v>2.9545467240956045</v>
      </c>
    </row>
    <row r="145" spans="3:14">
      <c r="C145" s="4">
        <f>Pressure!AB145*1000000</f>
        <v>5548986.1950445371</v>
      </c>
      <c r="D145" s="84">
        <f>Pressure!I145</f>
        <v>2.214727558899525E-4</v>
      </c>
      <c r="E145" s="40">
        <f>Pressure!H145</f>
        <v>221.47275588995251</v>
      </c>
      <c r="F145" s="10">
        <f t="shared" si="10"/>
        <v>8</v>
      </c>
      <c r="G145" s="4">
        <f t="shared" si="9"/>
        <v>111804.76737186626</v>
      </c>
      <c r="H145" s="45">
        <f t="shared" si="11"/>
        <v>8.6640949247046084</v>
      </c>
      <c r="I145" s="10">
        <f t="shared" si="12"/>
        <v>1.368034048244458</v>
      </c>
      <c r="J145" s="4">
        <f t="shared" si="13"/>
        <v>1681.2444381011646</v>
      </c>
      <c r="K145" s="4">
        <f t="shared" si="14"/>
        <v>377.96062184730107</v>
      </c>
      <c r="L145" s="45">
        <f>Pressure!Q145</f>
        <v>0.31852999087453426</v>
      </c>
      <c r="M145" s="10">
        <f t="shared" si="16"/>
        <v>3.9549780769574006</v>
      </c>
      <c r="N145" s="10">
        <f t="shared" si="15"/>
        <v>2.9545467240956045</v>
      </c>
    </row>
    <row r="146" spans="3:14">
      <c r="C146" s="4">
        <f>Pressure!AB146*1000000</f>
        <v>5559516.6093655918</v>
      </c>
      <c r="D146" s="84">
        <f>Pressure!I146</f>
        <v>2.214727558899525E-4</v>
      </c>
      <c r="E146" s="40">
        <f>Pressure!H146</f>
        <v>221.47275588995251</v>
      </c>
      <c r="F146" s="10">
        <f t="shared" si="10"/>
        <v>8</v>
      </c>
      <c r="G146" s="4">
        <f t="shared" si="9"/>
        <v>112016.94135862916</v>
      </c>
      <c r="H146" s="45">
        <f t="shared" si="11"/>
        <v>8.6770197692181288</v>
      </c>
      <c r="I146" s="10">
        <f t="shared" si="12"/>
        <v>1.3683098557899052</v>
      </c>
      <c r="J146" s="4">
        <f t="shared" si="13"/>
        <v>1684.7745636633774</v>
      </c>
      <c r="K146" s="4">
        <f t="shared" si="14"/>
        <v>378.75422950033214</v>
      </c>
      <c r="L146" s="45">
        <f>Pressure!Q146</f>
        <v>0.32088179677498324</v>
      </c>
      <c r="M146" s="10">
        <f t="shared" si="16"/>
        <v>3.9581116746866138</v>
      </c>
      <c r="N146" s="10">
        <f t="shared" si="15"/>
        <v>2.9545467240956045</v>
      </c>
    </row>
    <row r="147" spans="3:14">
      <c r="C147" s="4">
        <f>Pressure!AB147*1000000</f>
        <v>5570028.2559161279</v>
      </c>
      <c r="D147" s="84">
        <f>Pressure!I147</f>
        <v>2.214727558899525E-4</v>
      </c>
      <c r="E147" s="40">
        <f>Pressure!H147</f>
        <v>221.47275588995251</v>
      </c>
      <c r="F147" s="10">
        <f t="shared" si="10"/>
        <v>8</v>
      </c>
      <c r="G147" s="4">
        <f t="shared" si="9"/>
        <v>112228.73719952123</v>
      </c>
      <c r="H147" s="45">
        <f t="shared" si="11"/>
        <v>8.6899173102422367</v>
      </c>
      <c r="I147" s="10">
        <f t="shared" si="12"/>
        <v>1.3685841317095631</v>
      </c>
      <c r="J147" s="4">
        <f t="shared" si="13"/>
        <v>1688.2983976795572</v>
      </c>
      <c r="K147" s="4">
        <f t="shared" si="14"/>
        <v>379.54642275067607</v>
      </c>
      <c r="L147" s="45">
        <f>Pressure!Q147</f>
        <v>0.32323053610529101</v>
      </c>
      <c r="M147" s="10">
        <f t="shared" si="16"/>
        <v>3.9612345641519253</v>
      </c>
      <c r="N147" s="10">
        <f t="shared" si="15"/>
        <v>2.9545467240956045</v>
      </c>
    </row>
    <row r="148" spans="3:14">
      <c r="C148" s="4">
        <f>Pressure!AB148*1000000</f>
        <v>5580521.024629795</v>
      </c>
      <c r="D148" s="84">
        <f>Pressure!I148</f>
        <v>2.214727558899525E-4</v>
      </c>
      <c r="E148" s="40">
        <f>Pressure!H148</f>
        <v>221.47275588995251</v>
      </c>
      <c r="F148" s="10">
        <f t="shared" si="10"/>
        <v>8</v>
      </c>
      <c r="G148" s="4">
        <f t="shared" si="9"/>
        <v>112440.15267685041</v>
      </c>
      <c r="H148" s="45">
        <f t="shared" si="11"/>
        <v>8.7027874454914436</v>
      </c>
      <c r="I148" s="10">
        <f t="shared" si="12"/>
        <v>1.3688568845700031</v>
      </c>
      <c r="J148" s="4">
        <f t="shared" si="13"/>
        <v>1691.8159032520061</v>
      </c>
      <c r="K148" s="4">
        <f t="shared" si="14"/>
        <v>380.33719330336004</v>
      </c>
      <c r="L148" s="45">
        <f>Pressure!Q148</f>
        <v>0.325576224094906</v>
      </c>
      <c r="M148" s="10">
        <f t="shared" si="16"/>
        <v>3.9643467596105118</v>
      </c>
      <c r="N148" s="10">
        <f t="shared" si="15"/>
        <v>2.9545467240956045</v>
      </c>
    </row>
    <row r="149" spans="3:14">
      <c r="C149" s="4">
        <f>Pressure!AB149*1000000</f>
        <v>5590994.8056300106</v>
      </c>
      <c r="D149" s="84">
        <f>Pressure!I149</f>
        <v>2.214727558899525E-4</v>
      </c>
      <c r="E149" s="40">
        <f>Pressure!H149</f>
        <v>221.47275588995251</v>
      </c>
      <c r="F149" s="10">
        <f t="shared" si="10"/>
        <v>8</v>
      </c>
      <c r="G149" s="4">
        <f t="shared" si="9"/>
        <v>112651.18557674819</v>
      </c>
      <c r="H149" s="45">
        <f t="shared" si="11"/>
        <v>8.7156300729024494</v>
      </c>
      <c r="I149" s="10">
        <f t="shared" si="12"/>
        <v>1.3691281228690186</v>
      </c>
      <c r="J149" s="4">
        <f t="shared" si="13"/>
        <v>1695.3270435466438</v>
      </c>
      <c r="K149" s="4">
        <f t="shared" si="14"/>
        <v>381.1265328777132</v>
      </c>
      <c r="L149" s="45">
        <f>Pressure!Q149</f>
        <v>0.32791887590354307</v>
      </c>
      <c r="M149" s="10">
        <f t="shared" si="16"/>
        <v>3.967448275215085</v>
      </c>
      <c r="N149" s="10">
        <f t="shared" si="15"/>
        <v>2.9545467240956045</v>
      </c>
    </row>
    <row r="150" spans="3:14">
      <c r="C150" s="4">
        <f>Pressure!AB150*1000000</f>
        <v>5601449.4892374603</v>
      </c>
      <c r="D150" s="84">
        <f>Pressure!I150</f>
        <v>2.214727558899525E-4</v>
      </c>
      <c r="E150" s="40">
        <f>Pressure!H150</f>
        <v>221.47275588995251</v>
      </c>
      <c r="F150" s="10">
        <f t="shared" si="10"/>
        <v>8</v>
      </c>
      <c r="G150" s="4">
        <f t="shared" si="9"/>
        <v>112861.83368932076</v>
      </c>
      <c r="H150" s="45">
        <f t="shared" si="11"/>
        <v>8.7284450906426052</v>
      </c>
      <c r="I150" s="10">
        <f t="shared" si="12"/>
        <v>1.3693978550364057</v>
      </c>
      <c r="J150" s="4">
        <f t="shared" si="13"/>
        <v>1698.8317817955194</v>
      </c>
      <c r="K150" s="4">
        <f t="shared" si="14"/>
        <v>381.91443320793115</v>
      </c>
      <c r="L150" s="45">
        <f>Pressure!Q150</f>
        <v>0.33025850662168765</v>
      </c>
      <c r="M150" s="10">
        <f t="shared" si="16"/>
        <v>3.970539125016026</v>
      </c>
      <c r="N150" s="10">
        <f t="shared" si="15"/>
        <v>2.9545467240956045</v>
      </c>
    </row>
    <row r="151" spans="3:14">
      <c r="C151" s="4">
        <f>Pressure!AB151*1000000</f>
        <v>5611884.9659790555</v>
      </c>
      <c r="D151" s="84">
        <f>Pressure!I151</f>
        <v>2.214727558899525E-4</v>
      </c>
      <c r="E151" s="40">
        <f>Pressure!H151</f>
        <v>221.47275588995251</v>
      </c>
      <c r="F151" s="10">
        <f t="shared" si="10"/>
        <v>8</v>
      </c>
      <c r="G151" s="4">
        <f t="shared" si="9"/>
        <v>113072.09480882948</v>
      </c>
      <c r="H151" s="45">
        <f t="shared" si="11"/>
        <v>8.7412323971201022</v>
      </c>
      <c r="I151" s="10">
        <f t="shared" si="12"/>
        <v>1.3696660894347694</v>
      </c>
      <c r="J151" s="4">
        <f t="shared" si="13"/>
        <v>1702.3300812998161</v>
      </c>
      <c r="K151" s="4">
        <f t="shared" si="14"/>
        <v>382.70088604375167</v>
      </c>
      <c r="L151" s="45">
        <f>Pressure!Q151</f>
        <v>0.33259513127109436</v>
      </c>
      <c r="M151" s="10">
        <f t="shared" si="16"/>
        <v>3.9736193229652956</v>
      </c>
      <c r="N151" s="10">
        <f t="shared" si="15"/>
        <v>2.9545467240956045</v>
      </c>
    </row>
    <row r="152" spans="3:14">
      <c r="C152" s="4">
        <f>Pressure!AB152*1000000</f>
        <v>5622301.1265945258</v>
      </c>
      <c r="D152" s="84">
        <f>Pressure!I152</f>
        <v>2.214727558899525E-4</v>
      </c>
      <c r="E152" s="40">
        <f>Pressure!H152</f>
        <v>221.47275588995251</v>
      </c>
      <c r="F152" s="10">
        <f t="shared" si="10"/>
        <v>8</v>
      </c>
      <c r="G152" s="4">
        <f t="shared" si="9"/>
        <v>113281.96673382376</v>
      </c>
      <c r="H152" s="45">
        <f t="shared" si="11"/>
        <v>8.7539918909913208</v>
      </c>
      <c r="I152" s="10">
        <f t="shared" si="12"/>
        <v>1.3699328343602619</v>
      </c>
      <c r="J152" s="4">
        <f t="shared" si="13"/>
        <v>1705.8219054320605</v>
      </c>
      <c r="K152" s="4">
        <f t="shared" si="14"/>
        <v>383.48588315095105</v>
      </c>
      <c r="L152" s="45">
        <f>Pressure!Q152</f>
        <v>0.33492876480527894</v>
      </c>
      <c r="M152" s="10">
        <f t="shared" si="16"/>
        <v>3.9766888829176654</v>
      </c>
      <c r="N152" s="10">
        <f t="shared" si="15"/>
        <v>2.9545467240956045</v>
      </c>
    </row>
    <row r="153" spans="3:14">
      <c r="C153" s="4">
        <f>Pressure!AB153*1000000</f>
        <v>5632697.862043486</v>
      </c>
      <c r="D153" s="84">
        <f>Pressure!I153</f>
        <v>2.214727558899525E-4</v>
      </c>
      <c r="E153" s="40">
        <f>Pressure!H153</f>
        <v>221.47275588995251</v>
      </c>
      <c r="F153" s="10">
        <f t="shared" si="10"/>
        <v>8</v>
      </c>
      <c r="G153" s="4">
        <f t="shared" si="9"/>
        <v>113491.44726728335</v>
      </c>
      <c r="H153" s="45">
        <f t="shared" si="11"/>
        <v>8.7667234711686675</v>
      </c>
      <c r="I153" s="10">
        <f t="shared" si="12"/>
        <v>1.3701980980433193</v>
      </c>
      <c r="J153" s="4">
        <f t="shared" si="13"/>
        <v>1709.307217638491</v>
      </c>
      <c r="K153" s="4">
        <f t="shared" si="14"/>
        <v>384.26941631187697</v>
      </c>
      <c r="L153" s="45">
        <f>Pressure!Q153</f>
        <v>0.33725942211000526</v>
      </c>
      <c r="M153" s="10">
        <f t="shared" si="16"/>
        <v>3.979747818633975</v>
      </c>
      <c r="N153" s="10">
        <f t="shared" si="15"/>
        <v>2.9545467240956045</v>
      </c>
    </row>
    <row r="154" spans="3:14">
      <c r="C154" s="4">
        <f>Pressure!AB154*1000000</f>
        <v>5643075.0635107597</v>
      </c>
      <c r="D154" s="84">
        <f>Pressure!I154</f>
        <v>2.214727558899525E-4</v>
      </c>
      <c r="E154" s="40">
        <f>Pressure!H154</f>
        <v>221.47275588995251</v>
      </c>
      <c r="F154" s="10">
        <f t="shared" si="10"/>
        <v>8</v>
      </c>
      <c r="G154" s="4">
        <f t="shared" si="9"/>
        <v>113700.53421672569</v>
      </c>
      <c r="H154" s="45">
        <f t="shared" si="11"/>
        <v>8.7794270368263536</v>
      </c>
      <c r="I154" s="10">
        <f t="shared" si="12"/>
        <v>1.3704618886493478</v>
      </c>
      <c r="J154" s="4">
        <f t="shared" si="13"/>
        <v>1712.7859814408434</v>
      </c>
      <c r="K154" s="4">
        <f t="shared" si="14"/>
        <v>385.05147732584942</v>
      </c>
      <c r="L154" s="45">
        <f>Pressure!Q154</f>
        <v>0.33958711800376656</v>
      </c>
      <c r="M154" s="10">
        <f t="shared" si="16"/>
        <v>3.9827961437827284</v>
      </c>
      <c r="N154" s="10">
        <f t="shared" si="15"/>
        <v>2.9545467240956045</v>
      </c>
    </row>
    <row r="155" spans="3:14">
      <c r="C155" s="4">
        <f>Pressure!AB155*1000000</f>
        <v>5653432.6224131733</v>
      </c>
      <c r="D155" s="84">
        <f>Pressure!I155</f>
        <v>2.214727558899525E-4</v>
      </c>
      <c r="E155" s="40">
        <f>Pressure!H155</f>
        <v>221.47275588995251</v>
      </c>
      <c r="F155" s="10">
        <f t="shared" si="10"/>
        <v>8</v>
      </c>
      <c r="G155" s="4">
        <f t="shared" si="9"/>
        <v>113909.22539434278</v>
      </c>
      <c r="H155" s="45">
        <f t="shared" si="11"/>
        <v>8.792102487407865</v>
      </c>
      <c r="I155" s="10">
        <f t="shared" si="12"/>
        <v>1.3707242142794374</v>
      </c>
      <c r="J155" s="4">
        <f t="shared" si="13"/>
        <v>1716.2581604386282</v>
      </c>
      <c r="K155" s="4">
        <f t="shared" si="14"/>
        <v>385.83205800967318</v>
      </c>
      <c r="L155" s="45">
        <f>Pressure!Q155</f>
        <v>0.34191186723826184</v>
      </c>
      <c r="M155" s="10">
        <f t="shared" si="16"/>
        <v>3.9858338719423982</v>
      </c>
      <c r="N155" s="10">
        <f t="shared" si="15"/>
        <v>2.9545467240956045</v>
      </c>
    </row>
    <row r="156" spans="3:14">
      <c r="C156" s="4">
        <f>Pressure!AB156*1000000</f>
        <v>5663770.4304023413</v>
      </c>
      <c r="D156" s="84">
        <f>Pressure!I156</f>
        <v>2.214727558899525E-4</v>
      </c>
      <c r="E156" s="40">
        <f>Pressure!H156</f>
        <v>221.47275588995251</v>
      </c>
      <c r="F156" s="10">
        <f t="shared" si="10"/>
        <v>8</v>
      </c>
      <c r="G156" s="4">
        <f t="shared" ref="G156:G219" si="17">IF(C156/(1+(k-1)/2*N156^2)^(k/(k-1))&lt;patm*1000000,patm*1000000,C156/(1+(k-1)/2*N156^2)^(k/(k-1)))</f>
        <v>114117.51861705724</v>
      </c>
      <c r="H156" s="45">
        <f t="shared" si="11"/>
        <v>8.8047497226286069</v>
      </c>
      <c r="I156" s="10">
        <f t="shared" si="12"/>
        <v>1.3709850829709656</v>
      </c>
      <c r="J156" s="4">
        <f t="shared" si="13"/>
        <v>1719.723718310064</v>
      </c>
      <c r="K156" s="4">
        <f t="shared" si="14"/>
        <v>386.61115019784722</v>
      </c>
      <c r="L156" s="45">
        <f>Pressure!Q156</f>
        <v>0.34423368449886693</v>
      </c>
      <c r="M156" s="10">
        <f t="shared" si="16"/>
        <v>3.9888610166025211</v>
      </c>
      <c r="N156" s="10">
        <f t="shared" si="15"/>
        <v>2.9545467240956045</v>
      </c>
    </row>
    <row r="157" spans="3:14">
      <c r="C157" s="4">
        <f>Pressure!AB157*1000000</f>
        <v>5674088.3793705693</v>
      </c>
      <c r="D157" s="84">
        <f>Pressure!I157</f>
        <v>2.214727558899525E-4</v>
      </c>
      <c r="E157" s="40">
        <f>Pressure!H157</f>
        <v>221.47275588995251</v>
      </c>
      <c r="F157" s="10">
        <f t="shared" ref="F157:F220" si="18">aexit/E157</f>
        <v>8</v>
      </c>
      <c r="G157" s="4">
        <f t="shared" si="17"/>
        <v>114325.41170664137</v>
      </c>
      <c r="H157" s="45">
        <f t="shared" ref="H157:H220" si="19">1/(((k+1)/2)^(1/(k-1))*(patm*1000000/C157)^(1/k)*SQRT((k+1)/(k-1)*(1-(patm*1000000/C157)^((k-1)/k))))</f>
        <v>8.8173686424823128</v>
      </c>
      <c r="I157" s="10">
        <f t="shared" ref="I157:I220" si="20">etanoz*SQRT(2*k^2/(k-1)*(2/(k+1))^((k+1)/(k-1))*(1-(G157/C157)^((k-1)/k)))+(G157-patm*1000000)/C157*(aexit/E157)</f>
        <v>1.3712445026982736</v>
      </c>
      <c r="J157" s="4">
        <f t="shared" ref="J157:J220" si="21">I157*D157*C157</f>
        <v>1723.1826188140572</v>
      </c>
      <c r="K157" s="4">
        <f t="shared" ref="K157:K220" si="22">J157/4.4482</f>
        <v>387.38874574301002</v>
      </c>
      <c r="L157" s="45">
        <f>Pressure!Q157</f>
        <v>0.3465525844051015</v>
      </c>
      <c r="M157" s="10">
        <f t="shared" si="16"/>
        <v>3.9918775911657702</v>
      </c>
      <c r="N157" s="10">
        <f t="shared" si="15"/>
        <v>2.9545467240956045</v>
      </c>
    </row>
    <row r="158" spans="3:14">
      <c r="C158" s="4">
        <f>Pressure!AB158*1000000</f>
        <v>5684386.3614544133</v>
      </c>
      <c r="D158" s="84">
        <f>Pressure!I158</f>
        <v>2.214727558899525E-4</v>
      </c>
      <c r="E158" s="40">
        <f>Pressure!H158</f>
        <v>221.47275588995251</v>
      </c>
      <c r="F158" s="10">
        <f t="shared" si="18"/>
        <v>8</v>
      </c>
      <c r="G158" s="4">
        <f t="shared" si="17"/>
        <v>114532.90248978877</v>
      </c>
      <c r="H158" s="45">
        <f t="shared" si="19"/>
        <v>8.8299591472445957</v>
      </c>
      <c r="I158" s="10">
        <f t="shared" si="20"/>
        <v>1.3715024813732737</v>
      </c>
      <c r="J158" s="4">
        <f t="shared" si="21"/>
        <v>1726.6348257913937</v>
      </c>
      <c r="K158" s="4">
        <f t="shared" si="22"/>
        <v>388.1648365162074</v>
      </c>
      <c r="L158" s="45">
        <f>Pressure!Q158</f>
        <v>0.34886858151109112</v>
      </c>
      <c r="M158" s="10">
        <f t="shared" si="16"/>
        <v>3.9948836089493653</v>
      </c>
      <c r="N158" s="10">
        <f t="shared" ref="N158:N221" si="23">N157-1/834*(me-mef)</f>
        <v>2.9545467240956045</v>
      </c>
    </row>
    <row r="159" spans="3:14">
      <c r="C159" s="4">
        <f>Pressure!AB159*1000000</f>
        <v>5694664.2690382777</v>
      </c>
      <c r="D159" s="84">
        <f>Pressure!I159</f>
        <v>2.214727558899525E-4</v>
      </c>
      <c r="E159" s="40">
        <f>Pressure!H159</f>
        <v>221.47275588995251</v>
      </c>
      <c r="F159" s="10">
        <f t="shared" si="18"/>
        <v>8</v>
      </c>
      <c r="G159" s="4">
        <f t="shared" si="17"/>
        <v>114739.98879818681</v>
      </c>
      <c r="H159" s="45">
        <f t="shared" si="19"/>
        <v>8.8425211374765169</v>
      </c>
      <c r="I159" s="10">
        <f t="shared" si="20"/>
        <v>1.371759026846052</v>
      </c>
      <c r="J159" s="4">
        <f t="shared" si="21"/>
        <v>1730.0803031659466</v>
      </c>
      <c r="K159" s="4">
        <f t="shared" si="22"/>
        <v>388.93941440716395</v>
      </c>
      <c r="L159" s="45">
        <f>Pressure!Q159</f>
        <v>0.3511816903060252</v>
      </c>
      <c r="M159" s="10">
        <f t="shared" si="16"/>
        <v>3.9978790831864428</v>
      </c>
      <c r="N159" s="10">
        <f t="shared" si="23"/>
        <v>2.9545467240956045</v>
      </c>
    </row>
    <row r="160" spans="3:14">
      <c r="C160" s="4">
        <f>Pressure!AB160*1000000</f>
        <v>5704921.9947576197</v>
      </c>
      <c r="D160" s="84">
        <f>Pressure!I160</f>
        <v>2.214727558899525E-4</v>
      </c>
      <c r="E160" s="40">
        <f>Pressure!H160</f>
        <v>221.47275588995251</v>
      </c>
      <c r="F160" s="10">
        <f t="shared" si="18"/>
        <v>8</v>
      </c>
      <c r="G160" s="4">
        <f t="shared" si="17"/>
        <v>114946.66846858131</v>
      </c>
      <c r="H160" s="45">
        <f t="shared" si="19"/>
        <v>8.8550545140277244</v>
      </c>
      <c r="I160" s="10">
        <f t="shared" si="20"/>
        <v>1.3720141469054554</v>
      </c>
      <c r="J160" s="4">
        <f t="shared" si="21"/>
        <v>1733.5190149457503</v>
      </c>
      <c r="K160" s="4">
        <f t="shared" si="22"/>
        <v>389.71247132452459</v>
      </c>
      <c r="L160" s="45">
        <f>Pressure!Q160</f>
        <v>0.35349192521461054</v>
      </c>
      <c r="M160" s="10">
        <f t="shared" si="16"/>
        <v>4.0008640270270117</v>
      </c>
      <c r="N160" s="10">
        <f t="shared" si="23"/>
        <v>2.9545467240956045</v>
      </c>
    </row>
    <row r="161" spans="3:14">
      <c r="C161" s="4">
        <f>Pressure!AB161*1000000</f>
        <v>5715159.4315025471</v>
      </c>
      <c r="D161" s="84">
        <f>Pressure!I161</f>
        <v>2.214727558899525E-4</v>
      </c>
      <c r="E161" s="40">
        <f>Pressure!H161</f>
        <v>221.47275588995251</v>
      </c>
      <c r="F161" s="10">
        <f t="shared" si="18"/>
        <v>8</v>
      </c>
      <c r="G161" s="4">
        <f t="shared" si="17"/>
        <v>115152.93934284894</v>
      </c>
      <c r="H161" s="45">
        <f t="shared" si="19"/>
        <v>8.8675591780400129</v>
      </c>
      <c r="I161" s="10">
        <f t="shared" si="20"/>
        <v>1.3722678492796789</v>
      </c>
      <c r="J161" s="4">
        <f t="shared" si="21"/>
        <v>1736.9509252242042</v>
      </c>
      <c r="K161" s="4">
        <f t="shared" si="22"/>
        <v>390.48399919612524</v>
      </c>
      <c r="L161" s="45">
        <f>Pressure!Q161</f>
        <v>0.35579930059752107</v>
      </c>
      <c r="M161" s="10">
        <f t="shared" si="16"/>
        <v>4.0038384535395783</v>
      </c>
      <c r="N161" s="10">
        <f t="shared" si="23"/>
        <v>2.9545467240956045</v>
      </c>
    </row>
    <row r="162" spans="3:14">
      <c r="C162" s="4">
        <f>Pressure!AB162*1000000</f>
        <v>5725376.4724197434</v>
      </c>
      <c r="D162" s="84">
        <f>Pressure!I162</f>
        <v>2.214727558899525E-4</v>
      </c>
      <c r="E162" s="40">
        <f>Pressure!H162</f>
        <v>221.47275588995251</v>
      </c>
      <c r="F162" s="10">
        <f t="shared" si="18"/>
        <v>8</v>
      </c>
      <c r="G162" s="4">
        <f t="shared" si="17"/>
        <v>115358.799268036</v>
      </c>
      <c r="H162" s="45">
        <f t="shared" si="19"/>
        <v>8.8800350309488749</v>
      </c>
      <c r="I162" s="10">
        <f t="shared" si="20"/>
        <v>1.3725201416368087</v>
      </c>
      <c r="J162" s="4">
        <f t="shared" si="21"/>
        <v>1740.3759981807218</v>
      </c>
      <c r="K162" s="4">
        <f t="shared" si="22"/>
        <v>391.2539899691385</v>
      </c>
      <c r="L162" s="45">
        <f>Pressure!Q162</f>
        <v>0.35810383075184349</v>
      </c>
      <c r="M162" s="10">
        <f t="shared" si="16"/>
        <v>4.0068023757119215</v>
      </c>
      <c r="N162" s="10">
        <f t="shared" si="23"/>
        <v>2.9545467240956045</v>
      </c>
    </row>
    <row r="163" spans="3:14">
      <c r="C163" s="4">
        <f>Pressure!AB163*1000000</f>
        <v>5735573.0109159118</v>
      </c>
      <c r="D163" s="84">
        <f>Pressure!I163</f>
        <v>2.214727558899525E-4</v>
      </c>
      <c r="E163" s="40">
        <f>Pressure!H163</f>
        <v>221.47275588995251</v>
      </c>
      <c r="F163" s="10">
        <f t="shared" si="18"/>
        <v>8</v>
      </c>
      <c r="G163" s="4">
        <f t="shared" si="17"/>
        <v>115564.24609642792</v>
      </c>
      <c r="H163" s="45">
        <f t="shared" si="19"/>
        <v>8.8924819744868824</v>
      </c>
      <c r="I163" s="10">
        <f t="shared" si="20"/>
        <v>1.3727710315853938</v>
      </c>
      <c r="J163" s="4">
        <f t="shared" si="21"/>
        <v>1743.7941980818832</v>
      </c>
      <c r="K163" s="4">
        <f t="shared" si="22"/>
        <v>392.02243561033299</v>
      </c>
      <c r="L163" s="45">
        <f>Pressure!Q163</f>
        <v>0.36040552991151903</v>
      </c>
      <c r="M163" s="10">
        <f t="shared" si="16"/>
        <v>4.0097558064521008</v>
      </c>
      <c r="N163" s="10">
        <f t="shared" si="23"/>
        <v>2.9545467240956045</v>
      </c>
    </row>
    <row r="164" spans="3:14">
      <c r="C164" s="4">
        <f>Pressure!AB164*1000000</f>
        <v>5745748.9406592064</v>
      </c>
      <c r="D164" s="84">
        <f>Pressure!I164</f>
        <v>2.214727558899525E-4</v>
      </c>
      <c r="E164" s="40">
        <f>Pressure!H164</f>
        <v>221.47275588995251</v>
      </c>
      <c r="F164" s="10">
        <f t="shared" si="18"/>
        <v>8</v>
      </c>
      <c r="G164" s="4">
        <f t="shared" si="17"/>
        <v>115769.27768557794</v>
      </c>
      <c r="H164" s="45">
        <f t="shared" si="19"/>
        <v>8.9048999106846267</v>
      </c>
      <c r="I164" s="10">
        <f t="shared" si="20"/>
        <v>1.3730205266749635</v>
      </c>
      <c r="J164" s="4">
        <f t="shared" si="21"/>
        <v>1747.2054892819135</v>
      </c>
      <c r="K164" s="4">
        <f t="shared" si="22"/>
        <v>392.78932810618085</v>
      </c>
      <c r="L164" s="45">
        <f>Pressure!Q164</f>
        <v>0.36270441224778166</v>
      </c>
      <c r="M164" s="10">
        <f t="shared" si="16"/>
        <v>4.0126987585894991</v>
      </c>
      <c r="N164" s="10">
        <f t="shared" si="23"/>
        <v>2.9545467240956045</v>
      </c>
    </row>
    <row r="165" spans="3:14">
      <c r="C165" s="4">
        <f>Pressure!AB165*1000000</f>
        <v>5755904.1555818031</v>
      </c>
      <c r="D165" s="84">
        <f>Pressure!I165</f>
        <v>2.214727558899525E-4</v>
      </c>
      <c r="E165" s="40">
        <f>Pressure!H165</f>
        <v>221.47275588995251</v>
      </c>
      <c r="F165" s="10">
        <f t="shared" si="18"/>
        <v>8</v>
      </c>
      <c r="G165" s="4">
        <f t="shared" si="17"/>
        <v>115973.89189835904</v>
      </c>
      <c r="H165" s="45">
        <f t="shared" si="19"/>
        <v>8.917288741873076</v>
      </c>
      <c r="I165" s="10">
        <f t="shared" si="20"/>
        <v>1.3732686343965674</v>
      </c>
      <c r="J165" s="4">
        <f t="shared" si="21"/>
        <v>1750.6098362235482</v>
      </c>
      <c r="K165" s="4">
        <f t="shared" si="22"/>
        <v>393.55465946305208</v>
      </c>
      <c r="L165" s="45">
        <f>Pressure!Q165</f>
        <v>0.36500049186959271</v>
      </c>
      <c r="M165" s="10">
        <f t="shared" si="16"/>
        <v>4.0156312448757436</v>
      </c>
      <c r="N165" s="10">
        <f t="shared" si="23"/>
        <v>2.9545467240956045</v>
      </c>
    </row>
    <row r="166" spans="3:14">
      <c r="C166" s="4">
        <f>Pressure!AB166*1000000</f>
        <v>5766038.5498819752</v>
      </c>
      <c r="D166" s="84">
        <f>Pressure!I166</f>
        <v>2.214727558899525E-4</v>
      </c>
      <c r="E166" s="40">
        <f>Pressure!H166</f>
        <v>221.47275588995251</v>
      </c>
      <c r="F166" s="10">
        <f t="shared" si="18"/>
        <v>8</v>
      </c>
      <c r="G166" s="4">
        <f t="shared" si="17"/>
        <v>116178.08660300569</v>
      </c>
      <c r="H166" s="45">
        <f t="shared" si="19"/>
        <v>8.9296483706852321</v>
      </c>
      <c r="I166" s="10">
        <f t="shared" si="20"/>
        <v>1.3735153621832967</v>
      </c>
      <c r="J166" s="4">
        <f t="shared" si="21"/>
        <v>1754.0072034387254</v>
      </c>
      <c r="K166" s="4">
        <f t="shared" si="22"/>
        <v>394.31842170737048</v>
      </c>
      <c r="L166" s="45">
        <f>Pressure!Q166</f>
        <v>0.36729378282407166</v>
      </c>
      <c r="M166" s="10">
        <f t="shared" si="16"/>
        <v>4.0185532779851334</v>
      </c>
      <c r="N166" s="10">
        <f t="shared" si="23"/>
        <v>2.9545467240956045</v>
      </c>
    </row>
    <row r="167" spans="3:14">
      <c r="C167" s="4">
        <f>Pressure!AB167*1000000</f>
        <v>5776152.0180267617</v>
      </c>
      <c r="D167" s="84">
        <f>Pressure!I167</f>
        <v>2.214727558899525E-4</v>
      </c>
      <c r="E167" s="40">
        <f>Pressure!H167</f>
        <v>221.47275588995251</v>
      </c>
      <c r="F167" s="10">
        <f t="shared" si="18"/>
        <v>8</v>
      </c>
      <c r="G167" s="4">
        <f t="shared" si="17"/>
        <v>116381.85967316767</v>
      </c>
      <c r="H167" s="45">
        <f t="shared" si="19"/>
        <v>8.9419787000586464</v>
      </c>
      <c r="I167" s="10">
        <f t="shared" si="20"/>
        <v>1.3737607174108157</v>
      </c>
      <c r="J167" s="4">
        <f t="shared" si="21"/>
        <v>1757.3975555494828</v>
      </c>
      <c r="K167" s="4">
        <f t="shared" si="22"/>
        <v>395.08060688581514</v>
      </c>
      <c r="L167" s="45">
        <f>Pressure!Q167</f>
        <v>0.36958429909692375</v>
      </c>
      <c r="M167" s="10">
        <f t="shared" si="16"/>
        <v>4.0214648705163887</v>
      </c>
      <c r="N167" s="10">
        <f t="shared" si="23"/>
        <v>2.9545467240956045</v>
      </c>
    </row>
    <row r="168" spans="3:14">
      <c r="C168" s="4">
        <f>Pressure!AB168*1000000</f>
        <v>5786244.4547512587</v>
      </c>
      <c r="D168" s="84">
        <f>Pressure!I168</f>
        <v>2.214727558899525E-4</v>
      </c>
      <c r="E168" s="40">
        <f>Pressure!H168</f>
        <v>221.47275588995251</v>
      </c>
      <c r="F168" s="10">
        <f t="shared" si="18"/>
        <v>8</v>
      </c>
      <c r="G168" s="4">
        <f t="shared" si="17"/>
        <v>116585.20898789572</v>
      </c>
      <c r="H168" s="45">
        <f t="shared" si="19"/>
        <v>8.9542796332336962</v>
      </c>
      <c r="I168" s="10">
        <f t="shared" si="20"/>
        <v>1.374004707397805</v>
      </c>
      <c r="J168" s="4">
        <f t="shared" si="21"/>
        <v>1760.7808572677195</v>
      </c>
      <c r="K168" s="4">
        <f t="shared" si="22"/>
        <v>395.84120706526676</v>
      </c>
      <c r="L168" s="45">
        <f>Pressure!Q168</f>
        <v>0.37187205461286399</v>
      </c>
      <c r="M168" s="10">
        <f t="shared" ref="M168:M231" si="24">(J168+J167)/2*(L168-L167)</f>
        <v>4.0243660349922115</v>
      </c>
      <c r="N168" s="10">
        <f t="shared" si="23"/>
        <v>2.9545467240956045</v>
      </c>
    </row>
    <row r="169" spans="3:14">
      <c r="C169" s="4">
        <f>Pressure!AB169*1000000</f>
        <v>5796315.7550625401</v>
      </c>
      <c r="D169" s="84">
        <f>Pressure!I169</f>
        <v>2.214727558899525E-4</v>
      </c>
      <c r="E169" s="40">
        <f>Pressure!H169</f>
        <v>221.47275588995251</v>
      </c>
      <c r="F169" s="10">
        <f t="shared" si="18"/>
        <v>8</v>
      </c>
      <c r="G169" s="4">
        <f t="shared" si="17"/>
        <v>116788.13243172057</v>
      </c>
      <c r="H169" s="45">
        <f t="shared" si="19"/>
        <v>8.9665510737576177</v>
      </c>
      <c r="I169" s="10">
        <f t="shared" si="20"/>
        <v>1.3742473394065118</v>
      </c>
      <c r="J169" s="4">
        <f t="shared" si="21"/>
        <v>1764.1570733965086</v>
      </c>
      <c r="K169" s="4">
        <f t="shared" si="22"/>
        <v>396.600214333103</v>
      </c>
      <c r="L169" s="45">
        <f>Pressure!Q169</f>
        <v>0.37415706323603803</v>
      </c>
      <c r="M169" s="10">
        <f t="shared" si="24"/>
        <v>4.0272567838605182</v>
      </c>
      <c r="N169" s="10">
        <f t="shared" si="23"/>
        <v>2.9545467240956045</v>
      </c>
    </row>
    <row r="170" spans="3:14">
      <c r="C170" s="4">
        <f>Pressure!AB170*1000000</f>
        <v>5806365.8142395625</v>
      </c>
      <c r="D170" s="84">
        <f>Pressure!I170</f>
        <v>2.214727558899525E-4</v>
      </c>
      <c r="E170" s="40">
        <f>Pressure!H170</f>
        <v>221.47275588995251</v>
      </c>
      <c r="F170" s="10">
        <f t="shared" si="18"/>
        <v>8</v>
      </c>
      <c r="G170" s="4">
        <f t="shared" si="17"/>
        <v>116990.62789465107</v>
      </c>
      <c r="H170" s="45">
        <f t="shared" si="19"/>
        <v>8.978792925483523</v>
      </c>
      <c r="I170" s="10">
        <f t="shared" si="20"/>
        <v>1.3744886206431997</v>
      </c>
      <c r="J170" s="4">
        <f t="shared" si="21"/>
        <v>1767.5261688300684</v>
      </c>
      <c r="K170" s="4">
        <f t="shared" si="22"/>
        <v>397.35762079719177</v>
      </c>
      <c r="L170" s="45">
        <f>Pressure!Q170</f>
        <v>0.37643933877043978</v>
      </c>
      <c r="M170" s="10">
        <f t="shared" si="24"/>
        <v>4.0301371294951744</v>
      </c>
      <c r="N170" s="10">
        <f t="shared" si="23"/>
        <v>2.9545467240956045</v>
      </c>
    </row>
    <row r="171" spans="3:14">
      <c r="C171" s="4">
        <f>Pressure!AB171*1000000</f>
        <v>5816394.5278357565</v>
      </c>
      <c r="D171" s="84">
        <f>Pressure!I171</f>
        <v>2.214727558899525E-4</v>
      </c>
      <c r="E171" s="40">
        <f>Pressure!H171</f>
        <v>221.47275588995251</v>
      </c>
      <c r="F171" s="10">
        <f t="shared" si="18"/>
        <v>8</v>
      </c>
      <c r="G171" s="4">
        <f t="shared" si="17"/>
        <v>117192.69327222632</v>
      </c>
      <c r="H171" s="45">
        <f t="shared" si="19"/>
        <v>8.9910050925728111</v>
      </c>
      <c r="I171" s="10">
        <f t="shared" si="20"/>
        <v>1.3747285582586564</v>
      </c>
      <c r="J171" s="4">
        <f t="shared" si="21"/>
        <v>1770.8881085546298</v>
      </c>
      <c r="K171" s="4">
        <f t="shared" si="22"/>
        <v>398.11341858608648</v>
      </c>
      <c r="L171" s="45">
        <f>Pressure!Q171</f>
        <v>0.37871889496032579</v>
      </c>
      <c r="M171" s="10">
        <f t="shared" si="24"/>
        <v>4.0330070841966634</v>
      </c>
      <c r="N171" s="10">
        <f t="shared" si="23"/>
        <v>2.9545467240956045</v>
      </c>
    </row>
    <row r="172" spans="3:14">
      <c r="C172" s="4">
        <f>Pressure!AB172*1000000</f>
        <v>5826401.7916792566</v>
      </c>
      <c r="D172" s="84">
        <f>Pressure!I172</f>
        <v>2.214727558899525E-4</v>
      </c>
      <c r="E172" s="40">
        <f>Pressure!H172</f>
        <v>221.47275588995251</v>
      </c>
      <c r="F172" s="10">
        <f t="shared" si="18"/>
        <v>8</v>
      </c>
      <c r="G172" s="4">
        <f t="shared" si="17"/>
        <v>117394.32646552037</v>
      </c>
      <c r="H172" s="45">
        <f t="shared" si="19"/>
        <v>9.0031874794946312</v>
      </c>
      <c r="I172" s="10">
        <f t="shared" si="20"/>
        <v>1.3749671593486408</v>
      </c>
      <c r="J172" s="4">
        <f t="shared" si="21"/>
        <v>1774.2428576485106</v>
      </c>
      <c r="K172" s="4">
        <f t="shared" si="22"/>
        <v>398.86759984904245</v>
      </c>
      <c r="L172" s="45">
        <f>Pressure!Q172</f>
        <v>0.38099574549062643</v>
      </c>
      <c r="M172" s="10">
        <f t="shared" si="24"/>
        <v>4.0358666601924087</v>
      </c>
      <c r="N172" s="10">
        <f t="shared" si="23"/>
        <v>2.9545467240956045</v>
      </c>
    </row>
    <row r="173" spans="3:14">
      <c r="C173" s="4">
        <f>Pressure!AB173*1000000</f>
        <v>5836387.5018753232</v>
      </c>
      <c r="D173" s="84">
        <f>Pressure!I173</f>
        <v>2.214727558899525E-4</v>
      </c>
      <c r="E173" s="40">
        <f>Pressure!H173</f>
        <v>221.47275588995251</v>
      </c>
      <c r="F173" s="10">
        <f t="shared" si="18"/>
        <v>8</v>
      </c>
      <c r="G173" s="4">
        <f t="shared" si="17"/>
        <v>117595.52538119096</v>
      </c>
      <c r="H173" s="45">
        <f t="shared" si="19"/>
        <v>9.0153399910280392</v>
      </c>
      <c r="I173" s="10">
        <f t="shared" si="20"/>
        <v>1.3752044309543778</v>
      </c>
      <c r="J173" s="4">
        <f t="shared" si="21"/>
        <v>1777.5903812829329</v>
      </c>
      <c r="K173" s="4">
        <f t="shared" si="22"/>
        <v>399.62015675620091</v>
      </c>
      <c r="L173" s="45">
        <f>Pressure!Q173</f>
        <v>0.38326990398735394</v>
      </c>
      <c r="M173" s="10">
        <f t="shared" si="24"/>
        <v>4.0387158696375822</v>
      </c>
      <c r="N173" s="10">
        <f t="shared" si="23"/>
        <v>2.9545467240956045</v>
      </c>
    </row>
    <row r="174" spans="3:14">
      <c r="C174" s="4">
        <f>Pressure!AB174*1000000</f>
        <v>5846351.554805221</v>
      </c>
      <c r="D174" s="84">
        <f>Pressure!I174</f>
        <v>2.214727558899525E-4</v>
      </c>
      <c r="E174" s="40">
        <f>Pressure!H174</f>
        <v>221.47275588995251</v>
      </c>
      <c r="F174" s="10">
        <f t="shared" si="18"/>
        <v>8</v>
      </c>
      <c r="G174" s="4">
        <f t="shared" si="17"/>
        <v>117796.287931457</v>
      </c>
      <c r="H174" s="45">
        <f t="shared" si="19"/>
        <v>9.0274625322598467</v>
      </c>
      <c r="I174" s="10">
        <f t="shared" si="20"/>
        <v>1.3754403800629638</v>
      </c>
      <c r="J174" s="4">
        <f t="shared" si="21"/>
        <v>1780.9306447216418</v>
      </c>
      <c r="K174" s="4">
        <f t="shared" si="22"/>
        <v>400.37108149850314</v>
      </c>
      <c r="L174" s="45">
        <f>Pressure!Q174</f>
        <v>0.38554138401800758</v>
      </c>
      <c r="M174" s="10">
        <f t="shared" si="24"/>
        <v>4.0415547246152448</v>
      </c>
      <c r="N174" s="10">
        <f t="shared" si="23"/>
        <v>2.9545467240956045</v>
      </c>
    </row>
    <row r="175" spans="3:14">
      <c r="C175" s="4">
        <f>Pressure!AB175*1000000</f>
        <v>5856293.8471296206</v>
      </c>
      <c r="D175" s="84">
        <f>Pressure!I175</f>
        <v>2.214727558899525E-4</v>
      </c>
      <c r="E175" s="40">
        <f>Pressure!H175</f>
        <v>221.47275588995251</v>
      </c>
      <c r="F175" s="10">
        <f t="shared" si="18"/>
        <v>8</v>
      </c>
      <c r="G175" s="4">
        <f t="shared" si="17"/>
        <v>117996.61203416703</v>
      </c>
      <c r="H175" s="45">
        <f t="shared" si="19"/>
        <v>9.0395550085879819</v>
      </c>
      <c r="I175" s="10">
        <f t="shared" si="20"/>
        <v>1.3756750136078757</v>
      </c>
      <c r="J175" s="4">
        <f t="shared" si="21"/>
        <v>1784.2636133220494</v>
      </c>
      <c r="K175" s="4">
        <f t="shared" si="22"/>
        <v>401.12036628794783</v>
      </c>
      <c r="L175" s="45">
        <f>Pressure!Q175</f>
        <v>0.387810199091976</v>
      </c>
      <c r="M175" s="10">
        <f t="shared" si="24"/>
        <v>4.0443832371375956</v>
      </c>
      <c r="N175" s="10">
        <f t="shared" si="23"/>
        <v>2.9545467240956045</v>
      </c>
    </row>
    <row r="176" spans="3:14">
      <c r="C176" s="4">
        <f>Pressure!AB176*1000000</f>
        <v>5866214.2757884217</v>
      </c>
      <c r="D176" s="84">
        <f>Pressure!I176</f>
        <v>2.214727558899525E-4</v>
      </c>
      <c r="E176" s="40">
        <f>Pressure!H176</f>
        <v>221.47275588995251</v>
      </c>
      <c r="F176" s="10">
        <f t="shared" si="18"/>
        <v>8</v>
      </c>
      <c r="G176" s="4">
        <f t="shared" si="17"/>
        <v>118196.49561279567</v>
      </c>
      <c r="H176" s="45">
        <f t="shared" si="19"/>
        <v>9.0516173257204713</v>
      </c>
      <c r="I176" s="10">
        <f t="shared" si="20"/>
        <v>1.3759083384693906</v>
      </c>
      <c r="J176" s="4">
        <f t="shared" si="21"/>
        <v>1787.5892525351737</v>
      </c>
      <c r="K176" s="4">
        <f t="shared" si="22"/>
        <v>401.86800335757692</v>
      </c>
      <c r="L176" s="45">
        <f>Pressure!Q176</f>
        <v>0.39007636266093615</v>
      </c>
      <c r="M176" s="10">
        <f t="shared" si="24"/>
        <v>4.0472014191457628</v>
      </c>
      <c r="N176" s="10">
        <f t="shared" si="23"/>
        <v>2.9545467240956045</v>
      </c>
    </row>
    <row r="177" spans="3:14">
      <c r="C177" s="4">
        <f>Pressure!AB177*1000000</f>
        <v>5876112.7380019734</v>
      </c>
      <c r="D177" s="84">
        <f>Pressure!I177</f>
        <v>2.214727558899525E-4</v>
      </c>
      <c r="E177" s="40">
        <f>Pressure!H177</f>
        <v>221.47275588995251</v>
      </c>
      <c r="F177" s="10">
        <f t="shared" si="18"/>
        <v>8</v>
      </c>
      <c r="G177" s="4">
        <f t="shared" si="17"/>
        <v>118395.93659646827</v>
      </c>
      <c r="H177" s="45">
        <f t="shared" si="19"/>
        <v>9.0636493896761721</v>
      </c>
      <c r="I177" s="10">
        <f t="shared" si="20"/>
        <v>1.3761403614750329</v>
      </c>
      <c r="J177" s="4">
        <f t="shared" si="21"/>
        <v>1790.9075279060482</v>
      </c>
      <c r="K177" s="4">
        <f t="shared" si="22"/>
        <v>402.61398496156835</v>
      </c>
      <c r="L177" s="45">
        <f>Pressure!Q177</f>
        <v>0.39233988811924969</v>
      </c>
      <c r="M177" s="10">
        <f t="shared" si="24"/>
        <v>4.0500092825108762</v>
      </c>
      <c r="N177" s="10">
        <f t="shared" si="23"/>
        <v>2.9545467240956045</v>
      </c>
    </row>
    <row r="178" spans="3:14">
      <c r="C178" s="4">
        <f>Pressure!AB178*1000000</f>
        <v>5885989.1312709367</v>
      </c>
      <c r="D178" s="84">
        <f>Pressure!I178</f>
        <v>2.214727558899525E-4</v>
      </c>
      <c r="E178" s="40">
        <f>Pressure!H178</f>
        <v>221.47275588995251</v>
      </c>
      <c r="F178" s="10">
        <f t="shared" si="18"/>
        <v>8</v>
      </c>
      <c r="G178" s="4">
        <f t="shared" si="17"/>
        <v>118594.93291995807</v>
      </c>
      <c r="H178" s="45">
        <f t="shared" si="19"/>
        <v>9.0756511067838002</v>
      </c>
      <c r="I178" s="10">
        <f t="shared" si="20"/>
        <v>1.3763710893999876</v>
      </c>
      <c r="J178" s="4">
        <f t="shared" si="21"/>
        <v>1794.2184050736757</v>
      </c>
      <c r="K178" s="4">
        <f t="shared" si="22"/>
        <v>403.35830337522498</v>
      </c>
      <c r="L178" s="45">
        <f>Pressure!Q178</f>
        <v>0.39460078880435623</v>
      </c>
      <c r="M178" s="10">
        <f t="shared" si="24"/>
        <v>4.0528068390335354</v>
      </c>
      <c r="N178" s="10">
        <f t="shared" si="23"/>
        <v>2.9545467240956045</v>
      </c>
    </row>
    <row r="179" spans="3:14">
      <c r="C179" s="4">
        <f>Pressure!AB179*1000000</f>
        <v>5895843.3533796361</v>
      </c>
      <c r="D179" s="84">
        <f>Pressure!I179</f>
        <v>2.214727558899525E-4</v>
      </c>
      <c r="E179" s="40">
        <f>Pressure!H179</f>
        <v>221.47275588995251</v>
      </c>
      <c r="F179" s="10">
        <f t="shared" si="18"/>
        <v>8</v>
      </c>
      <c r="G179" s="4">
        <f t="shared" si="17"/>
        <v>118793.48252375376</v>
      </c>
      <c r="H179" s="45">
        <f t="shared" si="19"/>
        <v>9.087622383685277</v>
      </c>
      <c r="I179" s="10">
        <f t="shared" si="20"/>
        <v>1.3766005289675884</v>
      </c>
      <c r="J179" s="4">
        <f t="shared" si="21"/>
        <v>1797.5218497721517</v>
      </c>
      <c r="K179" s="4">
        <f t="shared" si="22"/>
        <v>404.10095089522764</v>
      </c>
      <c r="L179" s="45">
        <f>Pressure!Q179</f>
        <v>0.3968590779971643</v>
      </c>
      <c r="M179" s="10">
        <f t="shared" si="24"/>
        <v>4.0555941004460205</v>
      </c>
      <c r="N179" s="10">
        <f t="shared" si="23"/>
        <v>2.9545467240956045</v>
      </c>
    </row>
    <row r="180" spans="3:14">
      <c r="C180" s="4">
        <f>Pressure!AB180*1000000</f>
        <v>5905675.3023936152</v>
      </c>
      <c r="D180" s="84">
        <f>Pressure!I180</f>
        <v>2.214727558899525E-4</v>
      </c>
      <c r="E180" s="40">
        <f>Pressure!H180</f>
        <v>221.47275588995251</v>
      </c>
      <c r="F180" s="10">
        <f t="shared" si="18"/>
        <v>8</v>
      </c>
      <c r="G180" s="4">
        <f t="shared" si="17"/>
        <v>118991.58335401023</v>
      </c>
      <c r="H180" s="45">
        <f t="shared" si="19"/>
        <v>9.099563127331928</v>
      </c>
      <c r="I180" s="10">
        <f t="shared" si="20"/>
        <v>1.3768286868496686</v>
      </c>
      <c r="J180" s="4">
        <f t="shared" si="21"/>
        <v>1800.8178278298458</v>
      </c>
      <c r="K180" s="4">
        <f t="shared" si="22"/>
        <v>404.84191983945095</v>
      </c>
      <c r="L180" s="45">
        <f>Pressure!Q180</f>
        <v>0.39911476892243869</v>
      </c>
      <c r="M180" s="10">
        <f t="shared" si="24"/>
        <v>4.0583710784107989</v>
      </c>
      <c r="N180" s="10">
        <f t="shared" si="23"/>
        <v>2.9545467240956045</v>
      </c>
    </row>
    <row r="181" spans="3:14">
      <c r="C181" s="4">
        <f>Pressure!AB181*1000000</f>
        <v>5915484.8766623763</v>
      </c>
      <c r="D181" s="84">
        <f>Pressure!I181</f>
        <v>2.214727558899525E-4</v>
      </c>
      <c r="E181" s="40">
        <f>Pressure!H181</f>
        <v>221.47275588995251</v>
      </c>
      <c r="F181" s="10">
        <f t="shared" si="18"/>
        <v>8</v>
      </c>
      <c r="G181" s="4">
        <f t="shared" si="17"/>
        <v>119189.23336260374</v>
      </c>
      <c r="H181" s="45">
        <f t="shared" si="19"/>
        <v>9.111473244987101</v>
      </c>
      <c r="I181" s="10">
        <f t="shared" si="20"/>
        <v>1.3770555696670272</v>
      </c>
      <c r="J181" s="4">
        <f t="shared" si="21"/>
        <v>1804.106305170319</v>
      </c>
      <c r="K181" s="4">
        <f t="shared" si="22"/>
        <v>405.58120254716943</v>
      </c>
      <c r="L181" s="45">
        <f>Pressure!Q181</f>
        <v>0.40136787474918584</v>
      </c>
      <c r="M181" s="10">
        <f t="shared" si="24"/>
        <v>4.0611377845220415</v>
      </c>
      <c r="N181" s="10">
        <f t="shared" si="23"/>
        <v>2.9545467240956045</v>
      </c>
    </row>
    <row r="182" spans="3:14">
      <c r="C182" s="4">
        <f>Pressure!AB182*1000000</f>
        <v>5925271.974820517</v>
      </c>
      <c r="D182" s="84">
        <f>Pressure!I182</f>
        <v>2.214727558899525E-4</v>
      </c>
      <c r="E182" s="40">
        <f>Pressure!H182</f>
        <v>221.47275588995251</v>
      </c>
      <c r="F182" s="10">
        <f t="shared" si="18"/>
        <v>8</v>
      </c>
      <c r="G182" s="4">
        <f t="shared" si="17"/>
        <v>119386.4305071549</v>
      </c>
      <c r="H182" s="45">
        <f t="shared" si="19"/>
        <v>9.1233526442267578</v>
      </c>
      <c r="I182" s="10">
        <f t="shared" si="20"/>
        <v>1.3772811839898544</v>
      </c>
      <c r="J182" s="4">
        <f t="shared" si="21"/>
        <v>1807.387247812705</v>
      </c>
      <c r="K182" s="4">
        <f t="shared" si="22"/>
        <v>406.31879137914325</v>
      </c>
      <c r="L182" s="45">
        <f>Pressure!Q182</f>
        <v>0.40361840859103615</v>
      </c>
      <c r="M182" s="10">
        <f t="shared" si="24"/>
        <v>4.0638942303062571</v>
      </c>
      <c r="N182" s="10">
        <f t="shared" si="23"/>
        <v>2.9545467240956045</v>
      </c>
    </row>
    <row r="183" spans="3:14">
      <c r="C183" s="4">
        <f>Pressure!AB183*1000000</f>
        <v>5935036.495785838</v>
      </c>
      <c r="D183" s="84">
        <f>Pressure!I183</f>
        <v>2.214727558899525E-4</v>
      </c>
      <c r="E183" s="40">
        <f>Pressure!H183</f>
        <v>221.47275588995251</v>
      </c>
      <c r="F183" s="10">
        <f t="shared" si="18"/>
        <v>8</v>
      </c>
      <c r="G183" s="4">
        <f t="shared" si="17"/>
        <v>119583.17275099042</v>
      </c>
      <c r="H183" s="45">
        <f t="shared" si="19"/>
        <v>9.1352012329364367</v>
      </c>
      <c r="I183" s="10">
        <f t="shared" si="20"/>
        <v>1.3775055363380824</v>
      </c>
      <c r="J183" s="4">
        <f t="shared" si="21"/>
        <v>1810.6606218710767</v>
      </c>
      <c r="K183" s="4">
        <f t="shared" si="22"/>
        <v>407.05467871747601</v>
      </c>
      <c r="L183" s="45">
        <f>Pressure!Q183</f>
        <v>0.40586638350662335</v>
      </c>
      <c r="M183" s="10">
        <f t="shared" si="24"/>
        <v>4.0666404272214294</v>
      </c>
      <c r="N183" s="10">
        <f t="shared" si="23"/>
        <v>2.9545467240956045</v>
      </c>
    </row>
    <row r="184" spans="3:14">
      <c r="C184" s="4">
        <f>Pressure!AB184*1000000</f>
        <v>5958239.9816256138</v>
      </c>
      <c r="D184" s="84">
        <f>Pressure!I184</f>
        <v>2.214727558899525E-4</v>
      </c>
      <c r="E184" s="40">
        <f>Pressure!H184</f>
        <v>221.47275588995251</v>
      </c>
      <c r="F184" s="10">
        <f t="shared" si="18"/>
        <v>8</v>
      </c>
      <c r="G184" s="4">
        <f t="shared" si="17"/>
        <v>120050.69244654298</v>
      </c>
      <c r="H184" s="45">
        <f t="shared" si="19"/>
        <v>9.1633434902039959</v>
      </c>
      <c r="I184" s="10">
        <f t="shared" si="20"/>
        <v>1.3780357161771368</v>
      </c>
      <c r="J184" s="4">
        <f t="shared" si="21"/>
        <v>1818.4391589730471</v>
      </c>
      <c r="K184" s="4">
        <f t="shared" si="22"/>
        <v>408.8033719196635</v>
      </c>
      <c r="L184" s="45">
        <f>Pressure!Q184</f>
        <v>0.4080892321846642</v>
      </c>
      <c r="M184" s="10">
        <f t="shared" si="24"/>
        <v>4.0334698251638406</v>
      </c>
      <c r="N184" s="10">
        <f t="shared" si="23"/>
        <v>2.9545467240956045</v>
      </c>
    </row>
    <row r="185" spans="3:14">
      <c r="C185" s="4">
        <f>Pressure!AB185*1000000</f>
        <v>5976052.0211603427</v>
      </c>
      <c r="D185" s="84">
        <f>Pressure!I185</f>
        <v>2.214727558899525E-4</v>
      </c>
      <c r="E185" s="40">
        <f>Pressure!H185</f>
        <v>221.47275588995251</v>
      </c>
      <c r="F185" s="10">
        <f t="shared" si="18"/>
        <v>8</v>
      </c>
      <c r="G185" s="4">
        <f t="shared" si="17"/>
        <v>120409.58159612805</v>
      </c>
      <c r="H185" s="45">
        <f t="shared" si="19"/>
        <v>9.1849337998679736</v>
      </c>
      <c r="I185" s="10">
        <f t="shared" si="20"/>
        <v>1.3784399127719231</v>
      </c>
      <c r="J185" s="4">
        <f t="shared" si="21"/>
        <v>1824.4103139684373</v>
      </c>
      <c r="K185" s="4">
        <f t="shared" si="22"/>
        <v>410.14574748627251</v>
      </c>
      <c r="L185" s="45">
        <f>Pressure!Q185</f>
        <v>0.41031336577271849</v>
      </c>
      <c r="M185" s="10">
        <f t="shared" si="24"/>
        <v>4.0510919344975092</v>
      </c>
      <c r="N185" s="10">
        <f t="shared" si="23"/>
        <v>2.9545467240956045</v>
      </c>
    </row>
    <row r="186" spans="3:14">
      <c r="C186" s="4">
        <f>Pressure!AB186*1000000</f>
        <v>5989902.658036056</v>
      </c>
      <c r="D186" s="84">
        <f>Pressure!I186</f>
        <v>2.214727558899525E-4</v>
      </c>
      <c r="E186" s="40">
        <f>Pressure!H186</f>
        <v>221.47275588995251</v>
      </c>
      <c r="F186" s="10">
        <f t="shared" si="18"/>
        <v>8</v>
      </c>
      <c r="G186" s="4">
        <f t="shared" si="17"/>
        <v>120688.65369676225</v>
      </c>
      <c r="H186" s="45">
        <f t="shared" si="19"/>
        <v>9.2017146723048171</v>
      </c>
      <c r="I186" s="10">
        <f t="shared" si="20"/>
        <v>1.378752554519896</v>
      </c>
      <c r="J186" s="4">
        <f t="shared" si="21"/>
        <v>1829.0534823944056</v>
      </c>
      <c r="K186" s="4">
        <f t="shared" si="22"/>
        <v>411.18957834503971</v>
      </c>
      <c r="L186" s="45">
        <f>Pressure!Q186</f>
        <v>0.41253848282651479</v>
      </c>
      <c r="M186" s="10">
        <f t="shared" si="24"/>
        <v>4.0646922993571657</v>
      </c>
      <c r="N186" s="10">
        <f t="shared" si="23"/>
        <v>2.9545467240956045</v>
      </c>
    </row>
    <row r="187" spans="3:14">
      <c r="C187" s="4">
        <f>Pressure!AB187*1000000</f>
        <v>6000840.2593163121</v>
      </c>
      <c r="D187" s="84">
        <f>Pressure!I187</f>
        <v>2.214727558899525E-4</v>
      </c>
      <c r="E187" s="40">
        <f>Pressure!H187</f>
        <v>221.47275588995251</v>
      </c>
      <c r="F187" s="10">
        <f t="shared" si="18"/>
        <v>8</v>
      </c>
      <c r="G187" s="4">
        <f t="shared" si="17"/>
        <v>120909.03196474882</v>
      </c>
      <c r="H187" s="45">
        <f t="shared" si="19"/>
        <v>9.2149614534230082</v>
      </c>
      <c r="I187" s="10">
        <f t="shared" si="20"/>
        <v>1.378998422298523</v>
      </c>
      <c r="J187" s="4">
        <f t="shared" si="21"/>
        <v>1832.7201098120497</v>
      </c>
      <c r="K187" s="4">
        <f t="shared" si="22"/>
        <v>412.01387298503886</v>
      </c>
      <c r="L187" s="45">
        <f>Pressure!Q187</f>
        <v>0.4147643628986073</v>
      </c>
      <c r="M187" s="10">
        <f t="shared" si="24"/>
        <v>4.0753344337034809</v>
      </c>
      <c r="N187" s="10">
        <f t="shared" si="23"/>
        <v>2.9545467240956045</v>
      </c>
    </row>
    <row r="188" spans="3:14">
      <c r="C188" s="4">
        <f>Pressure!AB188*1000000</f>
        <v>6009633.6624034606</v>
      </c>
      <c r="D188" s="84">
        <f>Pressure!I188</f>
        <v>2.214727558899525E-4</v>
      </c>
      <c r="E188" s="40">
        <f>Pressure!H188</f>
        <v>221.47275588995251</v>
      </c>
      <c r="F188" s="10">
        <f t="shared" si="18"/>
        <v>8</v>
      </c>
      <c r="G188" s="4">
        <f t="shared" si="17"/>
        <v>121086.20746167899</v>
      </c>
      <c r="H188" s="45">
        <f t="shared" si="19"/>
        <v>9.2256082979599192</v>
      </c>
      <c r="I188" s="10">
        <f t="shared" si="20"/>
        <v>1.3791954413742267</v>
      </c>
      <c r="J188" s="4">
        <f t="shared" si="21"/>
        <v>1835.6679346620863</v>
      </c>
      <c r="K188" s="4">
        <f t="shared" si="22"/>
        <v>412.67657359428227</v>
      </c>
      <c r="L188" s="45">
        <f>Pressure!Q188</f>
        <v>0.41699084445127033</v>
      </c>
      <c r="M188" s="10">
        <f t="shared" si="24"/>
        <v>4.0837991545156331</v>
      </c>
      <c r="N188" s="10">
        <f t="shared" si="23"/>
        <v>2.9545467240956045</v>
      </c>
    </row>
    <row r="189" spans="3:14">
      <c r="C189" s="4">
        <f>Pressure!AB189*1000000</f>
        <v>6016846.9813250368</v>
      </c>
      <c r="D189" s="84">
        <f>Pressure!I189</f>
        <v>2.214727558899525E-4</v>
      </c>
      <c r="E189" s="40">
        <f>Pressure!H189</f>
        <v>221.47275588995251</v>
      </c>
      <c r="F189" s="10">
        <f t="shared" si="18"/>
        <v>8</v>
      </c>
      <c r="G189" s="4">
        <f t="shared" si="17"/>
        <v>121231.546342631</v>
      </c>
      <c r="H189" s="45">
        <f t="shared" si="19"/>
        <v>9.2343399888381708</v>
      </c>
      <c r="I189" s="10">
        <f t="shared" si="20"/>
        <v>1.3793566281948846</v>
      </c>
      <c r="J189" s="4">
        <f t="shared" si="21"/>
        <v>1838.086065681161</v>
      </c>
      <c r="K189" s="4">
        <f t="shared" si="22"/>
        <v>413.22019371457242</v>
      </c>
      <c r="L189" s="45">
        <f>Pressure!Q189</f>
        <v>0.4192178088938775</v>
      </c>
      <c r="M189" s="10">
        <f t="shared" si="24"/>
        <v>4.0906597648251326</v>
      </c>
      <c r="N189" s="10">
        <f t="shared" si="23"/>
        <v>2.9545467240956045</v>
      </c>
    </row>
    <row r="190" spans="3:14">
      <c r="C190" s="4">
        <f>Pressure!AB190*1000000</f>
        <v>6022894.3582978128</v>
      </c>
      <c r="D190" s="84">
        <f>Pressure!I190</f>
        <v>2.214727558899525E-4</v>
      </c>
      <c r="E190" s="40">
        <f>Pressure!H190</f>
        <v>221.47275588995251</v>
      </c>
      <c r="F190" s="10">
        <f t="shared" si="18"/>
        <v>8</v>
      </c>
      <c r="G190" s="4">
        <f t="shared" si="17"/>
        <v>121353.39302811294</v>
      </c>
      <c r="H190" s="45">
        <f t="shared" si="19"/>
        <v>9.2416589077013889</v>
      </c>
      <c r="I190" s="10">
        <f t="shared" si="20"/>
        <v>1.3794914636763256</v>
      </c>
      <c r="J190" s="4">
        <f t="shared" si="21"/>
        <v>1840.1133363454549</v>
      </c>
      <c r="K190" s="4">
        <f t="shared" si="22"/>
        <v>413.67594450462093</v>
      </c>
      <c r="L190" s="45">
        <f>Pressure!Q190</f>
        <v>0.42144516900686885</v>
      </c>
      <c r="M190" s="10">
        <f t="shared" si="24"/>
        <v>4.0963373178513596</v>
      </c>
      <c r="N190" s="10">
        <f t="shared" si="23"/>
        <v>2.9545467240956045</v>
      </c>
    </row>
    <row r="191" spans="3:14">
      <c r="C191" s="4">
        <f>Pressure!AB191*1000000</f>
        <v>6028080.0290830815</v>
      </c>
      <c r="D191" s="84">
        <f>Pressure!I191</f>
        <v>2.214727558899525E-4</v>
      </c>
      <c r="E191" s="40">
        <f>Pressure!H191</f>
        <v>221.47275588995251</v>
      </c>
      <c r="F191" s="10">
        <f t="shared" si="18"/>
        <v>8</v>
      </c>
      <c r="G191" s="4">
        <f t="shared" si="17"/>
        <v>121457.87746823135</v>
      </c>
      <c r="H191" s="45">
        <f t="shared" si="19"/>
        <v>9.2479339162602905</v>
      </c>
      <c r="I191" s="10">
        <f t="shared" si="20"/>
        <v>1.3796068706486602</v>
      </c>
      <c r="J191" s="4">
        <f t="shared" si="21"/>
        <v>1841.8517360359303</v>
      </c>
      <c r="K191" s="4">
        <f t="shared" si="22"/>
        <v>414.06675420078466</v>
      </c>
      <c r="L191" s="45">
        <f>Pressure!Q191</f>
        <v>0.42367286052384107</v>
      </c>
      <c r="M191" s="10">
        <f t="shared" si="24"/>
        <v>4.1011411787660066</v>
      </c>
      <c r="N191" s="10">
        <f t="shared" si="23"/>
        <v>2.9545467240956045</v>
      </c>
    </row>
    <row r="192" spans="3:14">
      <c r="C192" s="4">
        <f>Pressure!AB192*1000000</f>
        <v>6032627.6438143291</v>
      </c>
      <c r="D192" s="84">
        <f>Pressure!I192</f>
        <v>2.214727558899525E-4</v>
      </c>
      <c r="E192" s="40">
        <f>Pressure!H192</f>
        <v>221.47275588995251</v>
      </c>
      <c r="F192" s="10">
        <f t="shared" si="18"/>
        <v>8</v>
      </c>
      <c r="G192" s="4">
        <f t="shared" si="17"/>
        <v>121549.50591877212</v>
      </c>
      <c r="H192" s="45">
        <f t="shared" si="19"/>
        <v>9.2534360609313513</v>
      </c>
      <c r="I192" s="10">
        <f t="shared" si="20"/>
        <v>1.3797079144080791</v>
      </c>
      <c r="J192" s="4">
        <f t="shared" si="21"/>
        <v>1843.3762393005147</v>
      </c>
      <c r="K192" s="4">
        <f t="shared" si="22"/>
        <v>414.40947783384621</v>
      </c>
      <c r="L192" s="45">
        <f>Pressure!Q192</f>
        <v>0.42590083599651141</v>
      </c>
      <c r="M192" s="10">
        <f t="shared" si="24"/>
        <v>4.1052987701240893</v>
      </c>
      <c r="N192" s="10">
        <f t="shared" si="23"/>
        <v>2.9545467240956045</v>
      </c>
    </row>
    <row r="193" spans="3:14">
      <c r="C193" s="4">
        <f>Pressure!AB193*1000000</f>
        <v>6036701.7307214746</v>
      </c>
      <c r="D193" s="84">
        <f>Pressure!I193</f>
        <v>2.214727558899525E-4</v>
      </c>
      <c r="E193" s="40">
        <f>Pressure!H193</f>
        <v>221.47275588995251</v>
      </c>
      <c r="F193" s="10">
        <f t="shared" si="18"/>
        <v>8</v>
      </c>
      <c r="G193" s="4">
        <f t="shared" si="17"/>
        <v>121631.59340698986</v>
      </c>
      <c r="H193" s="45">
        <f t="shared" si="19"/>
        <v>9.2583646726392779</v>
      </c>
      <c r="I193" s="10">
        <f t="shared" si="20"/>
        <v>1.379798307535361</v>
      </c>
      <c r="J193" s="4">
        <f t="shared" si="21"/>
        <v>1844.7420011684819</v>
      </c>
      <c r="K193" s="4">
        <f t="shared" si="22"/>
        <v>414.71651480789575</v>
      </c>
      <c r="L193" s="45">
        <f>Pressure!Q193</f>
        <v>0.42812906031514847</v>
      </c>
      <c r="M193" s="10">
        <f t="shared" si="24"/>
        <v>4.1089773767109747</v>
      </c>
      <c r="N193" s="10">
        <f t="shared" si="23"/>
        <v>2.9545467240956045</v>
      </c>
    </row>
    <row r="194" spans="3:14">
      <c r="C194" s="4">
        <f>Pressure!AB194*1000000</f>
        <v>6040423.4148919107</v>
      </c>
      <c r="D194" s="84">
        <f>Pressure!I194</f>
        <v>2.214727558899525E-4</v>
      </c>
      <c r="E194" s="40">
        <f>Pressure!H194</f>
        <v>221.47275588995251</v>
      </c>
      <c r="F194" s="10">
        <f t="shared" si="18"/>
        <v>8</v>
      </c>
      <c r="G194" s="4">
        <f t="shared" si="17"/>
        <v>121706.58044395146</v>
      </c>
      <c r="H194" s="45">
        <f t="shared" si="19"/>
        <v>9.262866460397456</v>
      </c>
      <c r="I194" s="10">
        <f t="shared" si="20"/>
        <v>1.3798807752150575</v>
      </c>
      <c r="J194" s="4">
        <f t="shared" si="21"/>
        <v>1845.9896265727618</v>
      </c>
      <c r="K194" s="4">
        <f t="shared" si="22"/>
        <v>414.9969935193476</v>
      </c>
      <c r="L194" s="45">
        <f>Pressure!Q194</f>
        <v>0.4303575074325825</v>
      </c>
      <c r="M194" s="10">
        <f t="shared" si="24"/>
        <v>4.112300128531289</v>
      </c>
      <c r="N194" s="10">
        <f t="shared" si="23"/>
        <v>2.9545467240956045</v>
      </c>
    </row>
    <row r="195" spans="3:14">
      <c r="C195" s="4">
        <f>Pressure!AB195*1000000</f>
        <v>6043881.9358458119</v>
      </c>
      <c r="D195" s="84">
        <f>Pressure!I195</f>
        <v>2.214727558899525E-4</v>
      </c>
      <c r="E195" s="40">
        <f>Pressure!H195</f>
        <v>221.47275588995251</v>
      </c>
      <c r="F195" s="10">
        <f t="shared" si="18"/>
        <v>8</v>
      </c>
      <c r="G195" s="4">
        <f t="shared" si="17"/>
        <v>121776.26508851716</v>
      </c>
      <c r="H195" s="45">
        <f t="shared" si="19"/>
        <v>9.2670494904139478</v>
      </c>
      <c r="I195" s="10">
        <f t="shared" si="20"/>
        <v>1.3799573204953381</v>
      </c>
      <c r="J195" s="4">
        <f t="shared" si="21"/>
        <v>1847.1490314028645</v>
      </c>
      <c r="K195" s="4">
        <f t="shared" si="22"/>
        <v>415.25763936038499</v>
      </c>
      <c r="L195" s="45">
        <f>Pressure!Q195</f>
        <v>0.43258615796510774</v>
      </c>
      <c r="M195" s="10">
        <f t="shared" si="24"/>
        <v>4.115357718393474</v>
      </c>
      <c r="N195" s="10">
        <f t="shared" si="23"/>
        <v>2.9545467240956045</v>
      </c>
    </row>
    <row r="196" spans="3:14">
      <c r="C196" s="4">
        <f>Pressure!AB196*1000000</f>
        <v>6047143.0918783294</v>
      </c>
      <c r="D196" s="84">
        <f>Pressure!I196</f>
        <v>2.214727558899525E-4</v>
      </c>
      <c r="E196" s="40">
        <f>Pressure!H196</f>
        <v>221.47275588995251</v>
      </c>
      <c r="F196" s="10">
        <f t="shared" si="18"/>
        <v>8</v>
      </c>
      <c r="G196" s="4">
        <f t="shared" si="17"/>
        <v>121841.97308972008</v>
      </c>
      <c r="H196" s="45">
        <f t="shared" si="19"/>
        <v>9.2709934288281346</v>
      </c>
      <c r="I196" s="10">
        <f t="shared" si="20"/>
        <v>1.3800294174169896</v>
      </c>
      <c r="J196" s="4">
        <f t="shared" si="21"/>
        <v>1848.2422733135593</v>
      </c>
      <c r="K196" s="4">
        <f t="shared" si="22"/>
        <v>415.50341111316021</v>
      </c>
      <c r="L196" s="45">
        <f>Pressure!Q196</f>
        <v>0.43481499743339447</v>
      </c>
      <c r="M196" s="10">
        <f t="shared" si="24"/>
        <v>4.1182169953577707</v>
      </c>
      <c r="N196" s="10">
        <f t="shared" si="23"/>
        <v>2.9545467240956045</v>
      </c>
    </row>
    <row r="197" spans="3:14">
      <c r="C197" s="4">
        <f>Pressure!AB197*1000000</f>
        <v>6050255.4352761209</v>
      </c>
      <c r="D197" s="84">
        <f>Pressure!I197</f>
        <v>2.214727558899525E-4</v>
      </c>
      <c r="E197" s="40">
        <f>Pressure!H197</f>
        <v>221.47275588995251</v>
      </c>
      <c r="F197" s="10">
        <f t="shared" si="18"/>
        <v>8</v>
      </c>
      <c r="G197" s="4">
        <f t="shared" si="17"/>
        <v>121904.68271222412</v>
      </c>
      <c r="H197" s="45">
        <f t="shared" si="19"/>
        <v>9.2747570527379697</v>
      </c>
      <c r="I197" s="10">
        <f t="shared" si="20"/>
        <v>1.3800981519384585</v>
      </c>
      <c r="J197" s="4">
        <f t="shared" si="21"/>
        <v>1849.2856285559983</v>
      </c>
      <c r="K197" s="4">
        <f t="shared" si="22"/>
        <v>415.73796784227289</v>
      </c>
      <c r="L197" s="45">
        <f>Pressure!Q197</f>
        <v>0.43704401497123102</v>
      </c>
      <c r="M197" s="10">
        <f t="shared" si="24"/>
        <v>4.1209272699536177</v>
      </c>
      <c r="N197" s="10">
        <f t="shared" si="23"/>
        <v>2.9545467240956045</v>
      </c>
    </row>
    <row r="198" spans="3:14">
      <c r="C198" s="4">
        <f>Pressure!AB198*1000000</f>
        <v>6053254.8206171906</v>
      </c>
      <c r="D198" s="84">
        <f>Pressure!I198</f>
        <v>2.214727558899525E-4</v>
      </c>
      <c r="E198" s="40">
        <f>Pressure!H198</f>
        <v>221.47275588995251</v>
      </c>
      <c r="F198" s="10">
        <f t="shared" si="18"/>
        <v>8</v>
      </c>
      <c r="G198" s="4">
        <f t="shared" si="17"/>
        <v>121965.1163785786</v>
      </c>
      <c r="H198" s="45">
        <f t="shared" si="19"/>
        <v>9.2783837624568761</v>
      </c>
      <c r="I198" s="10">
        <f t="shared" si="20"/>
        <v>1.3801643249589066</v>
      </c>
      <c r="J198" s="4">
        <f t="shared" si="21"/>
        <v>1850.2911167106543</v>
      </c>
      <c r="K198" s="4">
        <f t="shared" si="22"/>
        <v>415.96401167003603</v>
      </c>
      <c r="L198" s="45">
        <f>Pressure!Q198</f>
        <v>0.43927320237669365</v>
      </c>
      <c r="M198" s="10">
        <f t="shared" si="24"/>
        <v>4.1235249430454237</v>
      </c>
      <c r="N198" s="10">
        <f t="shared" si="23"/>
        <v>2.9545467240956045</v>
      </c>
    </row>
    <row r="199" spans="3:14">
      <c r="C199" s="4">
        <f>Pressure!AB199*1000000</f>
        <v>6056167.7463817978</v>
      </c>
      <c r="D199" s="84">
        <f>Pressure!I199</f>
        <v>2.214727558899525E-4</v>
      </c>
      <c r="E199" s="40">
        <f>Pressure!H199</f>
        <v>221.47275588995251</v>
      </c>
      <c r="F199" s="10">
        <f t="shared" si="18"/>
        <v>8</v>
      </c>
      <c r="G199" s="4">
        <f t="shared" si="17"/>
        <v>122023.8079982792</v>
      </c>
      <c r="H199" s="45">
        <f t="shared" si="19"/>
        <v>9.2819056301327461</v>
      </c>
      <c r="I199" s="10">
        <f t="shared" si="20"/>
        <v>1.3802285277524435</v>
      </c>
      <c r="J199" s="4">
        <f t="shared" si="21"/>
        <v>1851.2676209002288</v>
      </c>
      <c r="K199" s="4">
        <f t="shared" si="22"/>
        <v>416.1835396115797</v>
      </c>
      <c r="L199" s="45">
        <f>Pressure!Q199</f>
        <v>0.44150255341425659</v>
      </c>
      <c r="M199" s="10">
        <f t="shared" si="24"/>
        <v>4.126036906146501</v>
      </c>
      <c r="N199" s="10">
        <f t="shared" si="23"/>
        <v>2.9545467240956045</v>
      </c>
    </row>
    <row r="200" spans="3:14">
      <c r="C200" s="4">
        <f>Pressure!AB200*1000000</f>
        <v>6059013.8118420467</v>
      </c>
      <c r="D200" s="84">
        <f>Pressure!I200</f>
        <v>2.214727558899525E-4</v>
      </c>
      <c r="E200" s="40">
        <f>Pressure!H200</f>
        <v>221.47275588995251</v>
      </c>
      <c r="F200" s="10">
        <f t="shared" si="18"/>
        <v>8</v>
      </c>
      <c r="G200" s="4">
        <f t="shared" si="17"/>
        <v>122081.15247085915</v>
      </c>
      <c r="H200" s="45">
        <f t="shared" si="19"/>
        <v>9.285346375740728</v>
      </c>
      <c r="I200" s="10">
        <f t="shared" si="20"/>
        <v>1.3802911972780338</v>
      </c>
      <c r="J200" s="4">
        <f t="shared" si="21"/>
        <v>1852.2217114161997</v>
      </c>
      <c r="K200" s="4">
        <f t="shared" si="22"/>
        <v>416.3980287343644</v>
      </c>
      <c r="L200" s="45">
        <f>Pressure!Q200</f>
        <v>0.44373206330099896</v>
      </c>
      <c r="M200" s="10">
        <f t="shared" si="24"/>
        <v>4.1284830409221787</v>
      </c>
      <c r="N200" s="10">
        <f t="shared" si="23"/>
        <v>2.9545467240956045</v>
      </c>
    </row>
    <row r="201" spans="3:14">
      <c r="C201" s="4">
        <f>Pressure!AB201*1000000</f>
        <v>6061807.5248306058</v>
      </c>
      <c r="D201" s="84">
        <f>Pressure!I201</f>
        <v>2.214727558899525E-4</v>
      </c>
      <c r="E201" s="40">
        <f>Pressure!H201</f>
        <v>221.47275588995251</v>
      </c>
      <c r="F201" s="10">
        <f t="shared" si="18"/>
        <v>8</v>
      </c>
      <c r="G201" s="4">
        <f t="shared" si="17"/>
        <v>122137.44211004919</v>
      </c>
      <c r="H201" s="45">
        <f t="shared" si="19"/>
        <v>9.2887235563690762</v>
      </c>
      <c r="I201" s="10">
        <f t="shared" si="20"/>
        <v>1.3803526567836895</v>
      </c>
      <c r="J201" s="4">
        <f t="shared" si="21"/>
        <v>1853.1582517396587</v>
      </c>
      <c r="K201" s="4">
        <f t="shared" si="22"/>
        <v>416.60857239774714</v>
      </c>
      <c r="L201" s="45">
        <f>Pressure!Q201</f>
        <v>0.44596172832800757</v>
      </c>
      <c r="M201" s="10">
        <f t="shared" si="24"/>
        <v>4.1308780578135336</v>
      </c>
      <c r="N201" s="10">
        <f t="shared" si="23"/>
        <v>2.9545467240956045</v>
      </c>
    </row>
    <row r="202" spans="3:14">
      <c r="C202" s="4">
        <f>Pressure!AB202*1000000</f>
        <v>6064559.6329071363</v>
      </c>
      <c r="D202" s="84">
        <f>Pressure!I202</f>
        <v>2.214727558899525E-4</v>
      </c>
      <c r="E202" s="40">
        <f>Pressure!H202</f>
        <v>221.47275588995251</v>
      </c>
      <c r="F202" s="10">
        <f t="shared" si="18"/>
        <v>8</v>
      </c>
      <c r="G202" s="4">
        <f t="shared" si="17"/>
        <v>122192.89346502887</v>
      </c>
      <c r="H202" s="45">
        <f t="shared" si="19"/>
        <v>9.292050178047738</v>
      </c>
      <c r="I202" s="10">
        <f t="shared" si="20"/>
        <v>1.3804131456482325</v>
      </c>
      <c r="J202" s="4">
        <f t="shared" si="21"/>
        <v>1854.0808447901059</v>
      </c>
      <c r="K202" s="4">
        <f t="shared" si="22"/>
        <v>416.81598057418864</v>
      </c>
      <c r="L202" s="45">
        <f>Pressure!Q202</f>
        <v>0.44819154558115992</v>
      </c>
      <c r="M202" s="10">
        <f t="shared" si="24"/>
        <v>4.1332328495015096</v>
      </c>
      <c r="N202" s="10">
        <f t="shared" si="23"/>
        <v>2.9545467240956045</v>
      </c>
    </row>
    <row r="203" spans="3:14">
      <c r="C203" s="4">
        <f>Pressure!AB203*1000000</f>
        <v>6067278.104329817</v>
      </c>
      <c r="D203" s="84">
        <f>Pressure!I203</f>
        <v>2.214727558899525E-4</v>
      </c>
      <c r="E203" s="40">
        <f>Pressure!H203</f>
        <v>221.47275588995251</v>
      </c>
      <c r="F203" s="10">
        <f t="shared" si="18"/>
        <v>8</v>
      </c>
      <c r="G203" s="4">
        <f t="shared" si="17"/>
        <v>122247.66708571138</v>
      </c>
      <c r="H203" s="45">
        <f t="shared" si="19"/>
        <v>9.2953358833746353</v>
      </c>
      <c r="I203" s="10">
        <f t="shared" si="20"/>
        <v>1.3804728413359535</v>
      </c>
      <c r="J203" s="4">
        <f t="shared" si="21"/>
        <v>1854.9921617779057</v>
      </c>
      <c r="K203" s="4">
        <f t="shared" si="22"/>
        <v>417.02085377858589</v>
      </c>
      <c r="L203" s="45">
        <f>Pressure!Q203</f>
        <v>0.45042151273502645</v>
      </c>
      <c r="M203" s="10">
        <f t="shared" si="24"/>
        <v>4.1355554879698211</v>
      </c>
      <c r="N203" s="10">
        <f t="shared" si="23"/>
        <v>2.9545467240956045</v>
      </c>
    </row>
    <row r="204" spans="3:14">
      <c r="C204" s="4">
        <f>Pressure!AB204*1000000</f>
        <v>6069968.8515157001</v>
      </c>
      <c r="D204" s="84">
        <f>Pressure!I204</f>
        <v>2.214727558899525E-4</v>
      </c>
      <c r="E204" s="40">
        <f>Pressure!H204</f>
        <v>221.47275588995251</v>
      </c>
      <c r="F204" s="10">
        <f t="shared" si="18"/>
        <v>8</v>
      </c>
      <c r="G204" s="4">
        <f t="shared" si="17"/>
        <v>122301.88209951748</v>
      </c>
      <c r="H204" s="45">
        <f t="shared" si="19"/>
        <v>9.2985878272705733</v>
      </c>
      <c r="I204" s="10">
        <f t="shared" si="20"/>
        <v>1.3805318755643237</v>
      </c>
      <c r="J204" s="4">
        <f t="shared" si="21"/>
        <v>1855.8941847309197</v>
      </c>
      <c r="K204" s="4">
        <f t="shared" si="22"/>
        <v>417.22363759069282</v>
      </c>
      <c r="L204" s="45">
        <f>Pressure!Q204</f>
        <v>0.45265162790061758</v>
      </c>
      <c r="M204" s="10">
        <f t="shared" si="24"/>
        <v>4.1378519595671941</v>
      </c>
      <c r="N204" s="10">
        <f t="shared" si="23"/>
        <v>2.9545467240956045</v>
      </c>
    </row>
    <row r="205" spans="3:14">
      <c r="C205" s="4">
        <f>Pressure!AB205*1000000</f>
        <v>6072636.2650046209</v>
      </c>
      <c r="D205" s="84">
        <f>Pressure!I205</f>
        <v>2.214727558899525E-4</v>
      </c>
      <c r="E205" s="40">
        <f>Pressure!H205</f>
        <v>221.47275588995251</v>
      </c>
      <c r="F205" s="10">
        <f t="shared" si="18"/>
        <v>8</v>
      </c>
      <c r="G205" s="4">
        <f t="shared" si="17"/>
        <v>122355.6269700453</v>
      </c>
      <c r="H205" s="45">
        <f t="shared" si="19"/>
        <v>9.3018113232726574</v>
      </c>
      <c r="I205" s="10">
        <f t="shared" si="20"/>
        <v>1.3805903462211582</v>
      </c>
      <c r="J205" s="4">
        <f t="shared" si="21"/>
        <v>1856.7883854959746</v>
      </c>
      <c r="K205" s="4">
        <f t="shared" si="22"/>
        <v>417.42466289644676</v>
      </c>
      <c r="L205" s="45">
        <f>Pressure!Q205</f>
        <v>0.45488188951281694</v>
      </c>
      <c r="M205" s="10">
        <f t="shared" si="24"/>
        <v>4.1401267073293448</v>
      </c>
      <c r="N205" s="10">
        <f t="shared" si="23"/>
        <v>2.9545467240956045</v>
      </c>
    </row>
    <row r="206" spans="3:14">
      <c r="C206" s="4">
        <f>Pressure!AB206*1000000</f>
        <v>6075283.6078634169</v>
      </c>
      <c r="D206" s="84">
        <f>Pressure!I206</f>
        <v>2.214727558899525E-4</v>
      </c>
      <c r="E206" s="40">
        <f>Pressure!H206</f>
        <v>221.47275588995251</v>
      </c>
      <c r="F206" s="10">
        <f t="shared" si="18"/>
        <v>8</v>
      </c>
      <c r="G206" s="4">
        <f t="shared" si="17"/>
        <v>122408.96744379627</v>
      </c>
      <c r="H206" s="45">
        <f t="shared" si="19"/>
        <v>9.3050103208586261</v>
      </c>
      <c r="I206" s="10">
        <f t="shared" si="20"/>
        <v>1.3806483261564124</v>
      </c>
      <c r="J206" s="4">
        <f t="shared" si="21"/>
        <v>1857.6758579555426</v>
      </c>
      <c r="K206" s="4">
        <f t="shared" si="22"/>
        <v>417.62417561160527</v>
      </c>
      <c r="L206" s="45">
        <f>Pressure!Q206</f>
        <v>0.45711229624708849</v>
      </c>
      <c r="M206" s="10">
        <f t="shared" si="24"/>
        <v>4.1423830314025718</v>
      </c>
      <c r="N206" s="10">
        <f t="shared" si="23"/>
        <v>2.9545467240956045</v>
      </c>
    </row>
    <row r="207" spans="3:14">
      <c r="C207" s="4">
        <f>Pressure!AB207*1000000</f>
        <v>6077913.3072342789</v>
      </c>
      <c r="D207" s="84">
        <f>Pressure!I207</f>
        <v>2.214727558899525E-4</v>
      </c>
      <c r="E207" s="40">
        <f>Pressure!H207</f>
        <v>221.47275588995251</v>
      </c>
      <c r="F207" s="10">
        <f t="shared" si="18"/>
        <v>8</v>
      </c>
      <c r="G207" s="4">
        <f t="shared" si="17"/>
        <v>122461.95242449053</v>
      </c>
      <c r="H207" s="45">
        <f t="shared" si="19"/>
        <v>9.3081877582561479</v>
      </c>
      <c r="I207" s="10">
        <f t="shared" si="20"/>
        <v>1.3807058696738721</v>
      </c>
      <c r="J207" s="4">
        <f t="shared" si="21"/>
        <v>1858.5574157639051</v>
      </c>
      <c r="K207" s="4">
        <f t="shared" si="22"/>
        <v>417.8223586538162</v>
      </c>
      <c r="L207" s="45">
        <f>Pressure!Q207</f>
        <v>0.45934284695779565</v>
      </c>
      <c r="M207" s="10">
        <f t="shared" si="24"/>
        <v>4.14462338492425</v>
      </c>
      <c r="N207" s="10">
        <f t="shared" si="23"/>
        <v>2.9545467240956045</v>
      </c>
    </row>
    <row r="208" spans="3:14">
      <c r="C208" s="4">
        <f>Pressure!AB208*1000000</f>
        <v>6080527.1700167106</v>
      </c>
      <c r="D208" s="84">
        <f>Pressure!I208</f>
        <v>2.214727558899525E-4</v>
      </c>
      <c r="E208" s="40">
        <f>Pressure!H208</f>
        <v>221.47275588995251</v>
      </c>
      <c r="F208" s="10">
        <f t="shared" si="18"/>
        <v>8</v>
      </c>
      <c r="G208" s="4">
        <f t="shared" si="17"/>
        <v>122514.61831877456</v>
      </c>
      <c r="H208" s="45">
        <f t="shared" si="19"/>
        <v>9.3113458234202273</v>
      </c>
      <c r="I208" s="10">
        <f t="shared" si="20"/>
        <v>1.3807630173284806</v>
      </c>
      <c r="J208" s="4">
        <f t="shared" si="21"/>
        <v>1859.4336646505164</v>
      </c>
      <c r="K208" s="4">
        <f t="shared" si="22"/>
        <v>418.01934819713961</v>
      </c>
      <c r="L208" s="45">
        <f>Pressure!Q208</f>
        <v>0.46157354063248845</v>
      </c>
      <c r="M208" s="10">
        <f t="shared" si="24"/>
        <v>4.1468495928223632</v>
      </c>
      <c r="N208" s="10">
        <f t="shared" si="23"/>
        <v>2.9545467240956045</v>
      </c>
    </row>
    <row r="209" spans="3:14">
      <c r="C209" s="4">
        <f>Pressure!AB209*1000000</f>
        <v>6083126.5425448399</v>
      </c>
      <c r="D209" s="84">
        <f>Pressure!I209</f>
        <v>2.214727558899525E-4</v>
      </c>
      <c r="E209" s="40">
        <f>Pressure!H209</f>
        <v>221.47275588995251</v>
      </c>
      <c r="F209" s="10">
        <f t="shared" si="18"/>
        <v>8</v>
      </c>
      <c r="G209" s="4">
        <f t="shared" si="17"/>
        <v>122566.99225350878</v>
      </c>
      <c r="H209" s="45">
        <f t="shared" si="19"/>
        <v>9.3144861472273544</v>
      </c>
      <c r="I209" s="10">
        <f t="shared" si="20"/>
        <v>1.3808197994743765</v>
      </c>
      <c r="J209" s="4">
        <f t="shared" si="21"/>
        <v>1860.3050559488545</v>
      </c>
      <c r="K209" s="4">
        <f t="shared" si="22"/>
        <v>418.21524570587081</v>
      </c>
      <c r="L209" s="45">
        <f>Pressure!Q209</f>
        <v>0.46380437635799843</v>
      </c>
      <c r="M209" s="10">
        <f t="shared" si="24"/>
        <v>4.1490630137379165</v>
      </c>
      <c r="N209" s="10">
        <f t="shared" si="23"/>
        <v>2.9545467240956045</v>
      </c>
    </row>
    <row r="210" spans="3:14">
      <c r="C210" s="4">
        <f>Pressure!AB210*1000000</f>
        <v>6085712.4288995024</v>
      </c>
      <c r="D210" s="84">
        <f>Pressure!I210</f>
        <v>2.214727558899525E-4</v>
      </c>
      <c r="E210" s="40">
        <f>Pressure!H210</f>
        <v>221.47275588995251</v>
      </c>
      <c r="F210" s="10">
        <f t="shared" si="18"/>
        <v>8</v>
      </c>
      <c r="G210" s="4">
        <f t="shared" si="17"/>
        <v>122619.09445960028</v>
      </c>
      <c r="H210" s="45">
        <f t="shared" si="19"/>
        <v>9.317609946609462</v>
      </c>
      <c r="I210" s="10">
        <f t="shared" si="20"/>
        <v>1.3808762388912219</v>
      </c>
      <c r="J210" s="4">
        <f t="shared" si="21"/>
        <v>1861.1719262583463</v>
      </c>
      <c r="K210" s="4">
        <f t="shared" si="22"/>
        <v>418.41012685093887</v>
      </c>
      <c r="L210" s="45">
        <f>Pressure!Q210</f>
        <v>0.4660353532952709</v>
      </c>
      <c r="M210" s="10">
        <f t="shared" si="24"/>
        <v>4.1512646599473211</v>
      </c>
      <c r="N210" s="10">
        <f t="shared" si="23"/>
        <v>2.9545467240956045</v>
      </c>
    </row>
    <row r="211" spans="3:14">
      <c r="C211" s="4">
        <f>Pressure!AB211*1000000</f>
        <v>6088285.5786299603</v>
      </c>
      <c r="D211" s="84">
        <f>Pressure!I211</f>
        <v>2.214727558899525E-4</v>
      </c>
      <c r="E211" s="40">
        <f>Pressure!H211</f>
        <v>221.47275588995251</v>
      </c>
      <c r="F211" s="10">
        <f t="shared" si="18"/>
        <v>8</v>
      </c>
      <c r="G211" s="4">
        <f t="shared" si="17"/>
        <v>122670.94003948003</v>
      </c>
      <c r="H211" s="45">
        <f t="shared" si="19"/>
        <v>9.3207181306709579</v>
      </c>
      <c r="I211" s="10">
        <f t="shared" si="20"/>
        <v>1.3809323527296307</v>
      </c>
      <c r="J211" s="4">
        <f t="shared" si="21"/>
        <v>1862.0345268514432</v>
      </c>
      <c r="K211" s="4">
        <f t="shared" si="22"/>
        <v>418.60404812091252</v>
      </c>
      <c r="L211" s="45">
        <f>Pressure!Q211</f>
        <v>0.46826647066066923</v>
      </c>
      <c r="M211" s="10">
        <f t="shared" si="24"/>
        <v>4.1534552862481826</v>
      </c>
      <c r="N211" s="10">
        <f t="shared" si="23"/>
        <v>2.9545467240956045</v>
      </c>
    </row>
    <row r="212" spans="3:14">
      <c r="C212" s="4">
        <f>Pressure!AB212*1000000</f>
        <v>6090846.5518517504</v>
      </c>
      <c r="D212" s="84">
        <f>Pressure!I212</f>
        <v>2.214727558899525E-4</v>
      </c>
      <c r="E212" s="40">
        <f>Pressure!H212</f>
        <v>221.47275588995251</v>
      </c>
      <c r="F212" s="10">
        <f t="shared" si="18"/>
        <v>8</v>
      </c>
      <c r="G212" s="4">
        <f t="shared" si="17"/>
        <v>122722.54027873879</v>
      </c>
      <c r="H212" s="45">
        <f t="shared" si="19"/>
        <v>9.3238113794311381</v>
      </c>
      <c r="I212" s="10">
        <f t="shared" si="20"/>
        <v>1.3809881539535223</v>
      </c>
      <c r="J212" s="4">
        <f t="shared" si="21"/>
        <v>1862.8930454964602</v>
      </c>
      <c r="K212" s="4">
        <f t="shared" si="22"/>
        <v>418.79705172799339</v>
      </c>
      <c r="L212" s="45">
        <f>Pressure!Q212</f>
        <v>0.47049772771207488</v>
      </c>
      <c r="M212" s="10">
        <f t="shared" si="24"/>
        <v>4.1556354558882829</v>
      </c>
      <c r="N212" s="10">
        <f t="shared" si="23"/>
        <v>2.9545467240956045</v>
      </c>
    </row>
    <row r="213" spans="3:14">
      <c r="C213" s="4">
        <f>Pressure!AB213*1000000</f>
        <v>6093395.7675867137</v>
      </c>
      <c r="D213" s="84">
        <f>Pressure!I213</f>
        <v>2.214727558899525E-4</v>
      </c>
      <c r="E213" s="40">
        <f>Pressure!H213</f>
        <v>221.47275588995251</v>
      </c>
      <c r="F213" s="10">
        <f t="shared" si="18"/>
        <v>8</v>
      </c>
      <c r="G213" s="4">
        <f t="shared" si="17"/>
        <v>122773.90362011506</v>
      </c>
      <c r="H213" s="45">
        <f t="shared" si="19"/>
        <v>9.3268902022918549</v>
      </c>
      <c r="I213" s="10">
        <f t="shared" si="20"/>
        <v>1.3810436524102085</v>
      </c>
      <c r="J213" s="4">
        <f t="shared" si="21"/>
        <v>1863.7476226626786</v>
      </c>
      <c r="K213" s="4">
        <f t="shared" si="22"/>
        <v>418.98916925108551</v>
      </c>
      <c r="L213" s="45">
        <f>Pressure!Q213</f>
        <v>0.47272912373854575</v>
      </c>
      <c r="M213" s="10">
        <f t="shared" si="24"/>
        <v>4.1578055895075394</v>
      </c>
      <c r="N213" s="10">
        <f t="shared" si="23"/>
        <v>2.9545467240956045</v>
      </c>
    </row>
    <row r="214" spans="3:14">
      <c r="C214" s="4">
        <f>Pressure!AB214*1000000</f>
        <v>6095933.5396875096</v>
      </c>
      <c r="D214" s="84">
        <f>Pressure!I214</f>
        <v>2.214727558899525E-4</v>
      </c>
      <c r="E214" s="40">
        <f>Pressure!H214</f>
        <v>221.47275588995251</v>
      </c>
      <c r="F214" s="10">
        <f t="shared" si="18"/>
        <v>8</v>
      </c>
      <c r="G214" s="4">
        <f t="shared" si="17"/>
        <v>122825.03638732678</v>
      </c>
      <c r="H214" s="45">
        <f t="shared" si="19"/>
        <v>9.3299549814849829</v>
      </c>
      <c r="I214" s="10">
        <f t="shared" si="20"/>
        <v>1.3810988556249308</v>
      </c>
      <c r="J214" s="4">
        <f t="shared" si="21"/>
        <v>1864.5983635633645</v>
      </c>
      <c r="K214" s="4">
        <f t="shared" si="22"/>
        <v>419.18042434318704</v>
      </c>
      <c r="L214" s="45">
        <f>Pressure!Q214</f>
        <v>0.47496065805261545</v>
      </c>
      <c r="M214" s="10">
        <f t="shared" si="24"/>
        <v>4.1599660014937152</v>
      </c>
      <c r="N214" s="10">
        <f t="shared" si="23"/>
        <v>2.9545467240956045</v>
      </c>
    </row>
    <row r="215" spans="3:14">
      <c r="C215" s="4">
        <f>Pressure!AB215*1000000</f>
        <v>6098460.1035581101</v>
      </c>
      <c r="D215" s="84">
        <f>Pressure!I215</f>
        <v>2.214727558899525E-4</v>
      </c>
      <c r="E215" s="40">
        <f>Pressure!H215</f>
        <v>221.47275588995251</v>
      </c>
      <c r="F215" s="10">
        <f t="shared" si="18"/>
        <v>8</v>
      </c>
      <c r="G215" s="4">
        <f t="shared" si="17"/>
        <v>122875.94332345412</v>
      </c>
      <c r="H215" s="45">
        <f t="shared" si="19"/>
        <v>9.3330060043860499</v>
      </c>
      <c r="I215" s="10">
        <f t="shared" si="20"/>
        <v>1.3811537693913158</v>
      </c>
      <c r="J215" s="4">
        <f t="shared" si="21"/>
        <v>1865.4453471133222</v>
      </c>
      <c r="K215" s="4">
        <f t="shared" si="22"/>
        <v>419.37083474513787</v>
      </c>
      <c r="L215" s="45">
        <f>Pressure!Q215</f>
        <v>0.47719232998455441</v>
      </c>
      <c r="M215" s="10">
        <f t="shared" si="24"/>
        <v>4.1621169270113061</v>
      </c>
      <c r="N215" s="10">
        <f t="shared" si="23"/>
        <v>2.9545467240956045</v>
      </c>
    </row>
    <row r="216" spans="3:14">
      <c r="C216" s="4">
        <f>Pressure!AB216*1000000</f>
        <v>6100975.6360403225</v>
      </c>
      <c r="D216" s="84">
        <f>Pressure!I216</f>
        <v>2.214727558899525E-4</v>
      </c>
      <c r="E216" s="40">
        <f>Pressure!H216</f>
        <v>221.47275588995251</v>
      </c>
      <c r="F216" s="10">
        <f t="shared" si="18"/>
        <v>8</v>
      </c>
      <c r="G216" s="4">
        <f t="shared" si="17"/>
        <v>122926.62799162672</v>
      </c>
      <c r="H216" s="45">
        <f t="shared" si="19"/>
        <v>9.3360434875615717</v>
      </c>
      <c r="I216" s="10">
        <f t="shared" si="20"/>
        <v>1.3812083982104362</v>
      </c>
      <c r="J216" s="4">
        <f t="shared" si="21"/>
        <v>1866.2886325954785</v>
      </c>
      <c r="K216" s="4">
        <f t="shared" si="22"/>
        <v>419.56041378433491</v>
      </c>
      <c r="L216" s="45">
        <f>Pressure!Q216</f>
        <v>0.47942413887808971</v>
      </c>
      <c r="M216" s="10">
        <f t="shared" si="24"/>
        <v>4.1642585421109954</v>
      </c>
      <c r="N216" s="10">
        <f t="shared" si="23"/>
        <v>2.9545467240956045</v>
      </c>
    </row>
    <row r="217" spans="3:14">
      <c r="C217" s="4">
        <f>Pressure!AB217*1000000</f>
        <v>6103480.2702240758</v>
      </c>
      <c r="D217" s="84">
        <f>Pressure!I217</f>
        <v>2.214727558899525E-4</v>
      </c>
      <c r="E217" s="40">
        <f>Pressure!H217</f>
        <v>221.47275588995251</v>
      </c>
      <c r="F217" s="10">
        <f t="shared" si="18"/>
        <v>8</v>
      </c>
      <c r="G217" s="4">
        <f t="shared" si="17"/>
        <v>122977.09307343143</v>
      </c>
      <c r="H217" s="45">
        <f t="shared" si="19"/>
        <v>9.3390675946766866</v>
      </c>
      <c r="I217" s="10">
        <f t="shared" si="20"/>
        <v>1.3812627456175184</v>
      </c>
      <c r="J217" s="4">
        <f t="shared" si="21"/>
        <v>1867.1282646257566</v>
      </c>
      <c r="K217" s="4">
        <f t="shared" si="22"/>
        <v>419.74917149088543</v>
      </c>
      <c r="L217" s="45">
        <f>Pressure!Q217</f>
        <v>0.48165608408721039</v>
      </c>
      <c r="M217" s="10">
        <f t="shared" si="24"/>
        <v>4.1663909787015614</v>
      </c>
      <c r="N217" s="10">
        <f t="shared" si="23"/>
        <v>2.9545467240956045</v>
      </c>
    </row>
    <row r="218" spans="3:14">
      <c r="C218" s="4">
        <f>Pressure!AB218*1000000</f>
        <v>6105974.1064918684</v>
      </c>
      <c r="D218" s="84">
        <f>Pressure!I218</f>
        <v>2.214727558899525E-4</v>
      </c>
      <c r="E218" s="40">
        <f>Pressure!H218</f>
        <v>221.47275588995251</v>
      </c>
      <c r="F218" s="10">
        <f t="shared" si="18"/>
        <v>8</v>
      </c>
      <c r="G218" s="4">
        <f t="shared" si="17"/>
        <v>123027.34059144348</v>
      </c>
      <c r="H218" s="45">
        <f t="shared" si="19"/>
        <v>9.3420784498484082</v>
      </c>
      <c r="I218" s="10">
        <f t="shared" si="20"/>
        <v>1.3813168144253725</v>
      </c>
      <c r="J218" s="4">
        <f t="shared" si="21"/>
        <v>1867.9642768555232</v>
      </c>
      <c r="K218" s="4">
        <f t="shared" si="22"/>
        <v>419.93711542995442</v>
      </c>
      <c r="L218" s="45">
        <f>Pressure!Q218</f>
        <v>0.48388816497378029</v>
      </c>
      <c r="M218" s="10">
        <f t="shared" si="24"/>
        <v>4.1685143357050753</v>
      </c>
      <c r="N218" s="10">
        <f t="shared" si="23"/>
        <v>2.9545467240956045</v>
      </c>
    </row>
    <row r="219" spans="3:14">
      <c r="C219" s="4">
        <f>Pressure!AB219*1000000</f>
        <v>6108457.2207515948</v>
      </c>
      <c r="D219" s="84">
        <f>Pressure!I219</f>
        <v>2.214727558899525E-4</v>
      </c>
      <c r="E219" s="40">
        <f>Pressure!H219</f>
        <v>221.47275588995251</v>
      </c>
      <c r="F219" s="10">
        <f t="shared" si="18"/>
        <v>8</v>
      </c>
      <c r="G219" s="4">
        <f t="shared" si="17"/>
        <v>123077.37207510699</v>
      </c>
      <c r="H219" s="45">
        <f t="shared" si="19"/>
        <v>9.3450761475987818</v>
      </c>
      <c r="I219" s="10">
        <f t="shared" si="20"/>
        <v>1.3813706069057008</v>
      </c>
      <c r="J219" s="4">
        <f t="shared" si="21"/>
        <v>1868.7966947314876</v>
      </c>
      <c r="K219" s="4">
        <f t="shared" si="22"/>
        <v>420.12425132221745</v>
      </c>
      <c r="L219" s="45">
        <f>Pressure!Q219</f>
        <v>0.4861203809057536</v>
      </c>
      <c r="M219" s="10">
        <f t="shared" si="24"/>
        <v>4.1706286873763023</v>
      </c>
      <c r="N219" s="10">
        <f t="shared" si="23"/>
        <v>2.9545467240956045</v>
      </c>
    </row>
    <row r="220" spans="3:14">
      <c r="C220" s="4">
        <f>Pressure!AB220*1000000</f>
        <v>6110929.6705871401</v>
      </c>
      <c r="D220" s="84">
        <f>Pressure!I220</f>
        <v>2.214727558899525E-4</v>
      </c>
      <c r="E220" s="40">
        <f>Pressure!H220</f>
        <v>221.47275588995251</v>
      </c>
      <c r="F220" s="10">
        <f t="shared" si="18"/>
        <v>8</v>
      </c>
      <c r="G220" s="4">
        <f t="shared" ref="G220:G283" si="25">IF(C220/(1+(k-1)/2*N220^2)^(k/(k-1))&lt;patm*1000000,patm*1000000,C220/(1+(k-1)/2*N220^2)^(k/(k-1)))</f>
        <v>123127.18868466148</v>
      </c>
      <c r="H220" s="45">
        <f t="shared" si="19"/>
        <v>9.3480607602901085</v>
      </c>
      <c r="I220" s="10">
        <f t="shared" si="20"/>
        <v>1.381424124924441</v>
      </c>
      <c r="J220" s="4">
        <f t="shared" si="21"/>
        <v>1869.6255375575761</v>
      </c>
      <c r="K220" s="4">
        <f t="shared" si="22"/>
        <v>420.3105835073909</v>
      </c>
      <c r="L220" s="45">
        <f>Pressure!Q220</f>
        <v>0.48835273125583895</v>
      </c>
      <c r="M220" s="10">
        <f t="shared" si="24"/>
        <v>4.172734089508662</v>
      </c>
      <c r="N220" s="10">
        <f t="shared" si="23"/>
        <v>2.9545467240956045</v>
      </c>
    </row>
    <row r="221" spans="3:14">
      <c r="C221" s="4">
        <f>Pressure!AB221*1000000</f>
        <v>6113391.4998496249</v>
      </c>
      <c r="D221" s="84">
        <f>Pressure!I221</f>
        <v>2.214727558899525E-4</v>
      </c>
      <c r="E221" s="40">
        <f>Pressure!H221</f>
        <v>221.47275588995251</v>
      </c>
      <c r="F221" s="10">
        <f t="shared" ref="F221:F284" si="26">aexit/E221</f>
        <v>8</v>
      </c>
      <c r="G221" s="4">
        <f t="shared" si="25"/>
        <v>123176.79130364928</v>
      </c>
      <c r="H221" s="45">
        <f t="shared" ref="H221:H284" si="27">1/(((k+1)/2)^(1/(k-1))*(patm*1000000/C221)^(1/k)*SQRT((k+1)/(k-1)*(1-(patm*1000000/C221)^((k-1)/k))))</f>
        <v>9.3510323436748202</v>
      </c>
      <c r="I221" s="10">
        <f t="shared" ref="I221:I284" si="28">etanoz*SQRT(2*k^2/(k-1)*(2/(k+1))^((k+1)/(k-1))*(1-(G221/C221)^((k-1)/k)))+(G221-patm*1000000)/C221*(aexit/E221)</f>
        <v>1.3814773700427141</v>
      </c>
      <c r="J221" s="4">
        <f t="shared" ref="J221:J284" si="29">I221*D221*C221</f>
        <v>1870.4508200340622</v>
      </c>
      <c r="K221" s="4">
        <f t="shared" ref="K221:K284" si="30">J221/4.4482</f>
        <v>420.49611529024372</v>
      </c>
      <c r="L221" s="45">
        <f>Pressure!Q221</f>
        <v>0.4905852154004986</v>
      </c>
      <c r="M221" s="10">
        <f t="shared" si="24"/>
        <v>4.1748305840698778</v>
      </c>
      <c r="N221" s="10">
        <f t="shared" si="23"/>
        <v>2.9545467240956045</v>
      </c>
    </row>
    <row r="222" spans="3:14">
      <c r="C222" s="4">
        <f>Pressure!AB222*1000000</f>
        <v>6115842.7420920879</v>
      </c>
      <c r="D222" s="84">
        <f>Pressure!I222</f>
        <v>2.214727558899525E-4</v>
      </c>
      <c r="E222" s="40">
        <f>Pressure!H222</f>
        <v>221.47275588995251</v>
      </c>
      <c r="F222" s="10">
        <f t="shared" si="26"/>
        <v>8</v>
      </c>
      <c r="G222" s="4">
        <f t="shared" si="25"/>
        <v>123226.18060811996</v>
      </c>
      <c r="H222" s="45">
        <f t="shared" si="27"/>
        <v>9.3539909410469377</v>
      </c>
      <c r="I222" s="10">
        <f t="shared" si="28"/>
        <v>1.3815303435922868</v>
      </c>
      <c r="J222" s="4">
        <f t="shared" si="29"/>
        <v>1871.2725534089773</v>
      </c>
      <c r="K222" s="4">
        <f t="shared" si="30"/>
        <v>420.68084919944636</v>
      </c>
      <c r="L222" s="45">
        <f>Pressure!Q222</f>
        <v>0.49281783271919816</v>
      </c>
      <c r="M222" s="10">
        <f t="shared" si="24"/>
        <v>4.1769182026659335</v>
      </c>
      <c r="N222" s="10">
        <f t="shared" ref="N222:N285" si="31">N221-1/834*(me-mef)</f>
        <v>2.9545467240956045</v>
      </c>
    </row>
    <row r="223" spans="3:14">
      <c r="C223" s="4">
        <f>Pressure!AB223*1000000</f>
        <v>6118283.4231385589</v>
      </c>
      <c r="D223" s="84">
        <f>Pressure!I223</f>
        <v>2.214727558899525E-4</v>
      </c>
      <c r="E223" s="40">
        <f>Pressure!H223</f>
        <v>221.47275588995251</v>
      </c>
      <c r="F223" s="10">
        <f t="shared" si="26"/>
        <v>8</v>
      </c>
      <c r="G223" s="4">
        <f t="shared" si="25"/>
        <v>123275.35711839373</v>
      </c>
      <c r="H223" s="45">
        <f t="shared" si="27"/>
        <v>9.3569365863470981</v>
      </c>
      <c r="I223" s="10">
        <f t="shared" si="28"/>
        <v>1.3815830467319712</v>
      </c>
      <c r="J223" s="4">
        <f t="shared" si="29"/>
        <v>1872.0907463393473</v>
      </c>
      <c r="K223" s="4">
        <f t="shared" si="30"/>
        <v>420.86478718118508</v>
      </c>
      <c r="L223" s="45">
        <f>Pressure!Q223</f>
        <v>0.49505058259384266</v>
      </c>
      <c r="M223" s="10">
        <f t="shared" si="24"/>
        <v>4.1789969691309503</v>
      </c>
      <c r="N223" s="10">
        <f t="shared" si="31"/>
        <v>2.9545467240956045</v>
      </c>
    </row>
    <row r="224" spans="3:14">
      <c r="C224" s="4">
        <f>Pressure!AB224*1000000</f>
        <v>6120713.5630052676</v>
      </c>
      <c r="D224" s="84">
        <f>Pressure!I224</f>
        <v>2.214727558899525E-4</v>
      </c>
      <c r="E224" s="40">
        <f>Pressure!H224</f>
        <v>221.47275588995251</v>
      </c>
      <c r="F224" s="10">
        <f t="shared" si="26"/>
        <v>8</v>
      </c>
      <c r="G224" s="4">
        <f t="shared" si="25"/>
        <v>123324.32123777128</v>
      </c>
      <c r="H224" s="45">
        <f t="shared" si="27"/>
        <v>9.3598693064843772</v>
      </c>
      <c r="I224" s="10">
        <f t="shared" si="28"/>
        <v>1.3816354804897741</v>
      </c>
      <c r="J224" s="4">
        <f t="shared" si="29"/>
        <v>1872.9054055352417</v>
      </c>
      <c r="K224" s="4">
        <f t="shared" si="30"/>
        <v>421.04793074395076</v>
      </c>
      <c r="L224" s="45">
        <f>Pressure!Q224</f>
        <v>0.49728346440835325</v>
      </c>
      <c r="M224" s="10">
        <f t="shared" si="24"/>
        <v>4.1810669014664548</v>
      </c>
      <c r="N224" s="10">
        <f t="shared" si="31"/>
        <v>2.9545467240956045</v>
      </c>
    </row>
    <row r="225" spans="3:14">
      <c r="C225" s="4">
        <f>Pressure!AB225*1000000</f>
        <v>6123133.1773439785</v>
      </c>
      <c r="D225" s="84">
        <f>Pressure!I225</f>
        <v>2.214727558899525E-4</v>
      </c>
      <c r="E225" s="40">
        <f>Pressure!H225</f>
        <v>221.47275588995251</v>
      </c>
      <c r="F225" s="10">
        <f t="shared" si="26"/>
        <v>8</v>
      </c>
      <c r="G225" s="4">
        <f t="shared" si="25"/>
        <v>123373.07328161503</v>
      </c>
      <c r="H225" s="45">
        <f t="shared" si="27"/>
        <v>9.3627891230805513</v>
      </c>
      <c r="I225" s="10">
        <f t="shared" si="28"/>
        <v>1.3816876457945391</v>
      </c>
      <c r="J225" s="4">
        <f t="shared" si="29"/>
        <v>1873.7165362436222</v>
      </c>
      <c r="K225" s="4">
        <f t="shared" si="30"/>
        <v>421.23028106731311</v>
      </c>
      <c r="L225" s="45">
        <f>Pressure!Q225</f>
        <v>0.49951647754834777</v>
      </c>
      <c r="M225" s="10">
        <f t="shared" si="24"/>
        <v>4.1831280132919968</v>
      </c>
      <c r="N225" s="10">
        <f t="shared" si="31"/>
        <v>2.9545467240956045</v>
      </c>
    </row>
    <row r="226" spans="3:14">
      <c r="C226" s="4">
        <f>Pressure!AB226*1000000</f>
        <v>6125542.2785209119</v>
      </c>
      <c r="D226" s="84">
        <f>Pressure!I226</f>
        <v>2.214727558899525E-4</v>
      </c>
      <c r="E226" s="40">
        <f>Pressure!H226</f>
        <v>221.47275588995251</v>
      </c>
      <c r="F226" s="10">
        <f t="shared" si="26"/>
        <v>8</v>
      </c>
      <c r="G226" s="4">
        <f t="shared" si="25"/>
        <v>123421.61349908807</v>
      </c>
      <c r="H226" s="45">
        <f t="shared" si="27"/>
        <v>9.3656960537737621</v>
      </c>
      <c r="I226" s="10">
        <f t="shared" si="28"/>
        <v>1.3817395434995861</v>
      </c>
      <c r="J226" s="4">
        <f t="shared" si="29"/>
        <v>1874.5241426100351</v>
      </c>
      <c r="K226" s="4">
        <f t="shared" si="30"/>
        <v>421.41183908323256</v>
      </c>
      <c r="L226" s="45">
        <f>Pressure!Q226</f>
        <v>0.5017496214009004</v>
      </c>
      <c r="M226" s="10">
        <f t="shared" si="24"/>
        <v>4.1851803149348754</v>
      </c>
      <c r="N226" s="10">
        <f t="shared" si="31"/>
        <v>2.9545467240956045</v>
      </c>
    </row>
    <row r="227" spans="3:14">
      <c r="C227" s="4">
        <f>Pressure!AB227*1000000</f>
        <v>6127940.8764276383</v>
      </c>
      <c r="D227" s="84">
        <f>Pressure!I227</f>
        <v>2.214727558899525E-4</v>
      </c>
      <c r="E227" s="40">
        <f>Pressure!H227</f>
        <v>221.47275588995251</v>
      </c>
      <c r="F227" s="10">
        <f t="shared" si="26"/>
        <v>8</v>
      </c>
      <c r="G227" s="4">
        <f t="shared" si="25"/>
        <v>123469.9420894925</v>
      </c>
      <c r="H227" s="45">
        <f t="shared" si="27"/>
        <v>9.3685901131983744</v>
      </c>
      <c r="I227" s="10">
        <f t="shared" si="28"/>
        <v>1.3817911744004687</v>
      </c>
      <c r="J227" s="4">
        <f t="shared" si="29"/>
        <v>1875.3282279504454</v>
      </c>
      <c r="K227" s="4">
        <f t="shared" si="30"/>
        <v>421.59260553717132</v>
      </c>
      <c r="L227" s="45">
        <f>Pressure!Q227</f>
        <v>0.50398289535435947</v>
      </c>
      <c r="M227" s="10">
        <f t="shared" si="24"/>
        <v>4.1872238142447342</v>
      </c>
      <c r="N227" s="10">
        <f t="shared" si="31"/>
        <v>2.9545467240956045</v>
      </c>
    </row>
    <row r="228" spans="3:14">
      <c r="C228" s="4">
        <f>Pressure!AB228*1000000</f>
        <v>6130328.9790895665</v>
      </c>
      <c r="D228" s="84">
        <f>Pressure!I228</f>
        <v>2.214727558899525E-4</v>
      </c>
      <c r="E228" s="40">
        <f>Pressure!H228</f>
        <v>221.47275588995251</v>
      </c>
      <c r="F228" s="10">
        <f t="shared" si="26"/>
        <v>8</v>
      </c>
      <c r="G228" s="4">
        <f t="shared" si="25"/>
        <v>123518.05921452977</v>
      </c>
      <c r="H228" s="45">
        <f t="shared" si="27"/>
        <v>9.3714713137201482</v>
      </c>
      <c r="I228" s="10">
        <f t="shared" si="28"/>
        <v>1.3818425392482927</v>
      </c>
      <c r="J228" s="4">
        <f t="shared" si="29"/>
        <v>1876.1287949552218</v>
      </c>
      <c r="K228" s="4">
        <f t="shared" si="30"/>
        <v>421.77258103395121</v>
      </c>
      <c r="L228" s="45">
        <f>Pressure!Q228</f>
        <v>0.50621629879820973</v>
      </c>
      <c r="M228" s="10">
        <f t="shared" si="24"/>
        <v>4.1892585172068744</v>
      </c>
      <c r="N228" s="10">
        <f t="shared" si="31"/>
        <v>2.9545467240956045</v>
      </c>
    </row>
    <row r="229" spans="3:14">
      <c r="C229" s="4">
        <f>Pressure!AB229*1000000</f>
        <v>6132706.5931227179</v>
      </c>
      <c r="D229" s="84">
        <f>Pressure!I229</f>
        <v>2.214727558899525E-4</v>
      </c>
      <c r="E229" s="40">
        <f>Pressure!H229</f>
        <v>221.47275588995251</v>
      </c>
      <c r="F229" s="10">
        <f t="shared" si="26"/>
        <v>8</v>
      </c>
      <c r="G229" s="4">
        <f t="shared" si="25"/>
        <v>123565.96500750398</v>
      </c>
      <c r="H229" s="45">
        <f t="shared" si="27"/>
        <v>9.3743396659881295</v>
      </c>
      <c r="I229" s="10">
        <f t="shared" si="28"/>
        <v>1.3818936387597116</v>
      </c>
      <c r="J229" s="4">
        <f t="shared" si="29"/>
        <v>1876.925845842263</v>
      </c>
      <c r="K229" s="4">
        <f t="shared" si="30"/>
        <v>421.9517660721782</v>
      </c>
      <c r="L229" s="45">
        <f>Pressure!Q229</f>
        <v>0.50844983112296782</v>
      </c>
      <c r="M229" s="10">
        <f t="shared" si="24"/>
        <v>4.1912844284022759</v>
      </c>
      <c r="N229" s="10">
        <f t="shared" si="31"/>
        <v>2.9545467240956045</v>
      </c>
    </row>
    <row r="230" spans="3:14">
      <c r="C230" s="4">
        <f>Pressure!AB230*1000000</f>
        <v>6135073.7240789263</v>
      </c>
      <c r="D230" s="84">
        <f>Pressure!I230</f>
        <v>2.214727558899525E-4</v>
      </c>
      <c r="E230" s="40">
        <f>Pressure!H230</f>
        <v>221.47275588995251</v>
      </c>
      <c r="F230" s="10">
        <f t="shared" si="26"/>
        <v>8</v>
      </c>
      <c r="G230" s="4">
        <f t="shared" si="25"/>
        <v>123613.65958027729</v>
      </c>
      <c r="H230" s="45">
        <f t="shared" si="27"/>
        <v>9.3771951793516539</v>
      </c>
      <c r="I230" s="10">
        <f t="shared" si="28"/>
        <v>1.3819444736244773</v>
      </c>
      <c r="J230" s="4">
        <f t="shared" si="29"/>
        <v>1877.7193824727171</v>
      </c>
      <c r="K230" s="4">
        <f t="shared" si="30"/>
        <v>422.13016107025697</v>
      </c>
      <c r="L230" s="45">
        <f>Pressure!Q230</f>
        <v>0.51068349172010208</v>
      </c>
      <c r="M230" s="10">
        <f t="shared" si="24"/>
        <v>4.1933015513526639</v>
      </c>
      <c r="N230" s="10">
        <f t="shared" si="31"/>
        <v>2.9545467240956045</v>
      </c>
    </row>
    <row r="231" spans="3:14">
      <c r="C231" s="4">
        <f>Pressure!AB231*1000000</f>
        <v>6137430.3767024931</v>
      </c>
      <c r="D231" s="84">
        <f>Pressure!I231</f>
        <v>2.214727558899525E-4</v>
      </c>
      <c r="E231" s="40">
        <f>Pressure!H231</f>
        <v>221.47275588995251</v>
      </c>
      <c r="F231" s="10">
        <f t="shared" si="26"/>
        <v>8</v>
      </c>
      <c r="G231" s="4">
        <f t="shared" si="25"/>
        <v>123661.14302844112</v>
      </c>
      <c r="H231" s="45">
        <f t="shared" si="27"/>
        <v>9.3800378621704432</v>
      </c>
      <c r="I231" s="10">
        <f t="shared" si="28"/>
        <v>1.3819950445110567</v>
      </c>
      <c r="J231" s="4">
        <f t="shared" si="29"/>
        <v>1878.5094064370235</v>
      </c>
      <c r="K231" s="4">
        <f t="shared" si="30"/>
        <v>422.30776638573434</v>
      </c>
      <c r="L231" s="45">
        <f>Pressure!Q231</f>
        <v>0.51291727998197134</v>
      </c>
      <c r="M231" s="10">
        <f t="shared" si="24"/>
        <v>4.1953098887809874</v>
      </c>
      <c r="N231" s="10">
        <f t="shared" si="31"/>
        <v>2.9545467240956045</v>
      </c>
    </row>
    <row r="232" spans="3:14">
      <c r="C232" s="4">
        <f>Pressure!AB232*1000000</f>
        <v>6139776.5551272938</v>
      </c>
      <c r="D232" s="84">
        <f>Pressure!I232</f>
        <v>2.214727558899525E-4</v>
      </c>
      <c r="E232" s="40">
        <f>Pressure!H232</f>
        <v>221.47275588995251</v>
      </c>
      <c r="F232" s="10">
        <f t="shared" si="26"/>
        <v>8</v>
      </c>
      <c r="G232" s="4">
        <f t="shared" si="25"/>
        <v>123708.41543528761</v>
      </c>
      <c r="H232" s="45">
        <f t="shared" si="27"/>
        <v>9.3828677220526853</v>
      </c>
      <c r="I232" s="10">
        <f t="shared" si="28"/>
        <v>1.3820453520709448</v>
      </c>
      <c r="J232" s="4">
        <f t="shared" si="29"/>
        <v>1879.2959191209873</v>
      </c>
      <c r="K232" s="4">
        <f t="shared" si="30"/>
        <v>422.48458233015316</v>
      </c>
      <c r="L232" s="45">
        <f>Pressure!Q232</f>
        <v>0.51515119530177778</v>
      </c>
      <c r="M232" s="10">
        <f t="shared" ref="M232:M295" si="32">(J232+J231)/2*(L232-L231)</f>
        <v>4.1973094428071231</v>
      </c>
      <c r="N232" s="10">
        <f t="shared" si="31"/>
        <v>2.9545467240956045</v>
      </c>
    </row>
    <row r="233" spans="3:14">
      <c r="C233" s="4">
        <f>Pressure!AB233*1000000</f>
        <v>6142112.2630204009</v>
      </c>
      <c r="D233" s="84">
        <f>Pressure!I233</f>
        <v>2.214727558899525E-4</v>
      </c>
      <c r="E233" s="40">
        <f>Pressure!H233</f>
        <v>221.47275588995251</v>
      </c>
      <c r="F233" s="10">
        <f t="shared" si="26"/>
        <v>8</v>
      </c>
      <c r="G233" s="4">
        <f t="shared" si="25"/>
        <v>123755.47687470345</v>
      </c>
      <c r="H233" s="45">
        <f t="shared" si="27"/>
        <v>9.3856847660285538</v>
      </c>
      <c r="I233" s="10">
        <f t="shared" si="28"/>
        <v>1.3820953969418108</v>
      </c>
      <c r="J233" s="4">
        <f t="shared" si="29"/>
        <v>1880.0789217539257</v>
      </c>
      <c r="K233" s="4">
        <f t="shared" si="30"/>
        <v>422.6606091798763</v>
      </c>
      <c r="L233" s="45">
        <f>Pressure!Q233</f>
        <v>0.51738523707353046</v>
      </c>
      <c r="M233" s="10">
        <f t="shared" si="32"/>
        <v>4.1993002150953229</v>
      </c>
      <c r="N233" s="10">
        <f t="shared" si="31"/>
        <v>2.9545467240956045</v>
      </c>
    </row>
    <row r="234" spans="3:14">
      <c r="C234" s="4">
        <f>Pressure!AB234*1000000</f>
        <v>6144437.5036964426</v>
      </c>
      <c r="D234" s="84">
        <f>Pressure!I234</f>
        <v>2.214727558899525E-4</v>
      </c>
      <c r="E234" s="40">
        <f>Pressure!H234</f>
        <v>221.47275588995251</v>
      </c>
      <c r="F234" s="10">
        <f t="shared" si="26"/>
        <v>8</v>
      </c>
      <c r="G234" s="4">
        <f t="shared" si="25"/>
        <v>123802.32741347405</v>
      </c>
      <c r="H234" s="45">
        <f t="shared" si="27"/>
        <v>9.3884890006883719</v>
      </c>
      <c r="I234" s="10">
        <f t="shared" si="28"/>
        <v>1.3821451797500031</v>
      </c>
      <c r="J234" s="4">
        <f t="shared" si="29"/>
        <v>1880.8584154470066</v>
      </c>
      <c r="K234" s="4">
        <f t="shared" si="30"/>
        <v>422.83584718470541</v>
      </c>
      <c r="L234" s="45">
        <f>Pressure!Q234</f>
        <v>0.51961940469201662</v>
      </c>
      <c r="M234" s="10">
        <f t="shared" si="32"/>
        <v>4.2012822069649438</v>
      </c>
      <c r="N234" s="10">
        <f t="shared" si="31"/>
        <v>2.9545467240956045</v>
      </c>
    </row>
    <row r="235" spans="3:14">
      <c r="C235" s="4">
        <f>Pressure!AB235*1000000</f>
        <v>6146752.2801980758</v>
      </c>
      <c r="D235" s="84">
        <f>Pressure!I235</f>
        <v>2.214727558899525E-4</v>
      </c>
      <c r="E235" s="40">
        <f>Pressure!H235</f>
        <v>221.47275588995251</v>
      </c>
      <c r="F235" s="10">
        <f t="shared" si="26"/>
        <v>8</v>
      </c>
      <c r="G235" s="4">
        <f t="shared" si="25"/>
        <v>123848.96711290494</v>
      </c>
      <c r="H235" s="45">
        <f t="shared" si="27"/>
        <v>9.3912804322797996</v>
      </c>
      <c r="I235" s="10">
        <f t="shared" si="28"/>
        <v>1.3821947011123195</v>
      </c>
      <c r="J235" s="4">
        <f t="shared" si="29"/>
        <v>1881.6344012202246</v>
      </c>
      <c r="K235" s="4">
        <f t="shared" si="30"/>
        <v>423.01029657394554</v>
      </c>
      <c r="L235" s="45">
        <f>Pressure!Q235</f>
        <v>0.52185369755277911</v>
      </c>
      <c r="M235" s="10">
        <f t="shared" si="32"/>
        <v>4.2032554194748695</v>
      </c>
      <c r="N235" s="10">
        <f t="shared" si="31"/>
        <v>2.9545467240956045</v>
      </c>
    </row>
    <row r="236" spans="3:14">
      <c r="C236" s="4">
        <f>Pressure!AB236*1000000</f>
        <v>6149056.5953608016</v>
      </c>
      <c r="D236" s="84">
        <f>Pressure!I236</f>
        <v>2.214727558899525E-4</v>
      </c>
      <c r="E236" s="40">
        <f>Pressure!H236</f>
        <v>221.47275588995251</v>
      </c>
      <c r="F236" s="10">
        <f t="shared" si="26"/>
        <v>8</v>
      </c>
      <c r="G236" s="4">
        <f t="shared" si="25"/>
        <v>123895.3960301277</v>
      </c>
      <c r="H236" s="45">
        <f t="shared" si="27"/>
        <v>9.3940590667861628</v>
      </c>
      <c r="I236" s="10">
        <f t="shared" si="28"/>
        <v>1.3822439616374314</v>
      </c>
      <c r="J236" s="4">
        <f t="shared" si="29"/>
        <v>1882.4068800241278</v>
      </c>
      <c r="K236" s="4">
        <f t="shared" si="30"/>
        <v>423.18395756128945</v>
      </c>
      <c r="L236" s="45">
        <f>Pressure!Q236</f>
        <v>0.52408811505209818</v>
      </c>
      <c r="M236" s="10">
        <f t="shared" si="32"/>
        <v>4.205219853485886</v>
      </c>
      <c r="N236" s="10">
        <f t="shared" si="31"/>
        <v>2.9545467240956045</v>
      </c>
    </row>
    <row r="237" spans="3:14">
      <c r="C237" s="4">
        <f>Pressure!AB237*1000000</f>
        <v>6151350.4518596074</v>
      </c>
      <c r="D237" s="84">
        <f>Pressure!I237</f>
        <v>2.214727558899525E-4</v>
      </c>
      <c r="E237" s="40">
        <f>Pressure!H237</f>
        <v>221.47275588995251</v>
      </c>
      <c r="F237" s="10">
        <f t="shared" si="26"/>
        <v>8</v>
      </c>
      <c r="G237" s="4">
        <f t="shared" si="25"/>
        <v>123941.61421903984</v>
      </c>
      <c r="H237" s="45">
        <f t="shared" si="27"/>
        <v>9.3968249099827954</v>
      </c>
      <c r="I237" s="10">
        <f t="shared" si="28"/>
        <v>1.3822929619269166</v>
      </c>
      <c r="J237" s="4">
        <f t="shared" si="29"/>
        <v>1883.1758527554564</v>
      </c>
      <c r="K237" s="4">
        <f t="shared" si="30"/>
        <v>423.35683034833335</v>
      </c>
      <c r="L237" s="45">
        <f>Pressure!Q237</f>
        <v>0.52632265658697697</v>
      </c>
      <c r="M237" s="10">
        <f t="shared" si="32"/>
        <v>4.2071755097091739</v>
      </c>
      <c r="N237" s="10">
        <f t="shared" si="31"/>
        <v>2.9545467240956045</v>
      </c>
    </row>
    <row r="238" spans="3:14">
      <c r="C238" s="4">
        <f>Pressure!AB238*1000000</f>
        <v>6153633.8522452638</v>
      </c>
      <c r="D238" s="84">
        <f>Pressure!I238</f>
        <v>2.214727558899525E-4</v>
      </c>
      <c r="E238" s="40">
        <f>Pressure!H238</f>
        <v>221.47275588995251</v>
      </c>
      <c r="F238" s="10">
        <f t="shared" si="26"/>
        <v>8</v>
      </c>
      <c r="G238" s="4">
        <f t="shared" si="25"/>
        <v>123987.62173103602</v>
      </c>
      <c r="H238" s="45">
        <f t="shared" si="27"/>
        <v>9.3995779674809246</v>
      </c>
      <c r="I238" s="10">
        <f t="shared" si="28"/>
        <v>1.3823417025760643</v>
      </c>
      <c r="J238" s="4">
        <f t="shared" si="29"/>
        <v>1883.941320269309</v>
      </c>
      <c r="K238" s="4">
        <f t="shared" si="30"/>
        <v>423.52891512731196</v>
      </c>
      <c r="L238" s="45">
        <f>Pressure!Q238</f>
        <v>0.52855732155512936</v>
      </c>
      <c r="M238" s="10">
        <f t="shared" si="32"/>
        <v>4.2091223887418519</v>
      </c>
      <c r="N238" s="10">
        <f t="shared" si="31"/>
        <v>2.9545467240956045</v>
      </c>
    </row>
    <row r="239" spans="3:14">
      <c r="C239" s="4">
        <f>Pressure!AB239*1000000</f>
        <v>6155906.7989727659</v>
      </c>
      <c r="D239" s="84">
        <f>Pressure!I239</f>
        <v>2.214727558899525E-4</v>
      </c>
      <c r="E239" s="40">
        <f>Pressure!H239</f>
        <v>221.47275588995251</v>
      </c>
      <c r="F239" s="10">
        <f t="shared" si="26"/>
        <v>8</v>
      </c>
      <c r="G239" s="4">
        <f t="shared" si="25"/>
        <v>124033.41861558116</v>
      </c>
      <c r="H239" s="45">
        <f t="shared" si="27"/>
        <v>9.4023182447620339</v>
      </c>
      <c r="I239" s="10">
        <f t="shared" si="28"/>
        <v>1.3823901841745085</v>
      </c>
      <c r="J239" s="4">
        <f t="shared" si="29"/>
        <v>1884.7032833886763</v>
      </c>
      <c r="K239" s="4">
        <f t="shared" si="30"/>
        <v>423.70021208324181</v>
      </c>
      <c r="L239" s="45">
        <f>Pressure!Q239</f>
        <v>0.53079210935497012</v>
      </c>
      <c r="M239" s="10">
        <f t="shared" si="32"/>
        <v>4.2110604910953011</v>
      </c>
      <c r="N239" s="10">
        <f t="shared" si="31"/>
        <v>2.9545467240956045</v>
      </c>
    </row>
    <row r="240" spans="3:14">
      <c r="C240" s="4">
        <f>Pressure!AB240*1000000</f>
        <v>6158169.2944192179</v>
      </c>
      <c r="D240" s="84">
        <f>Pressure!I240</f>
        <v>2.214727558899525E-4</v>
      </c>
      <c r="E240" s="40">
        <f>Pressure!H240</f>
        <v>221.47275588995251</v>
      </c>
      <c r="F240" s="10">
        <f t="shared" si="26"/>
        <v>8</v>
      </c>
      <c r="G240" s="4">
        <f t="shared" si="25"/>
        <v>124079.00492057078</v>
      </c>
      <c r="H240" s="45">
        <f t="shared" si="27"/>
        <v>9.4050457471994893</v>
      </c>
      <c r="I240" s="10">
        <f t="shared" si="28"/>
        <v>1.382438407306636</v>
      </c>
      <c r="J240" s="4">
        <f t="shared" si="29"/>
        <v>1885.4617429104389</v>
      </c>
      <c r="K240" s="4">
        <f t="shared" si="30"/>
        <v>423.87072139526975</v>
      </c>
      <c r="L240" s="45">
        <f>Pressure!Q240</f>
        <v>0.53302701938560626</v>
      </c>
      <c r="M240" s="10">
        <f t="shared" si="32"/>
        <v>4.2129898172147282</v>
      </c>
      <c r="N240" s="10">
        <f t="shared" si="31"/>
        <v>2.9545467240956045</v>
      </c>
    </row>
    <row r="241" spans="3:14">
      <c r="C241" s="4">
        <f>Pressure!AB241*1000000</f>
        <v>6160421.3409020826</v>
      </c>
      <c r="D241" s="84">
        <f>Pressure!I241</f>
        <v>2.214727558899525E-4</v>
      </c>
      <c r="E241" s="40">
        <f>Pressure!H241</f>
        <v>221.47275588995251</v>
      </c>
      <c r="F241" s="10">
        <f t="shared" si="26"/>
        <v>8</v>
      </c>
      <c r="G241" s="4">
        <f t="shared" si="25"/>
        <v>124124.3806926987</v>
      </c>
      <c r="H241" s="45">
        <f t="shared" si="27"/>
        <v>9.4077604800806096</v>
      </c>
      <c r="I241" s="10">
        <f t="shared" si="28"/>
        <v>1.3824863725519969</v>
      </c>
      <c r="J241" s="4">
        <f t="shared" si="29"/>
        <v>1886.2166996114831</v>
      </c>
      <c r="K241" s="4">
        <f t="shared" si="30"/>
        <v>424.04044323804754</v>
      </c>
      <c r="L241" s="45">
        <f>Pressure!Q241</f>
        <v>0.53526205104682922</v>
      </c>
      <c r="M241" s="10">
        <f t="shared" si="32"/>
        <v>4.2149103674943058</v>
      </c>
      <c r="N241" s="10">
        <f t="shared" si="31"/>
        <v>2.9545467240956045</v>
      </c>
    </row>
    <row r="242" spans="3:14">
      <c r="C242" s="4">
        <f>Pressure!AB242*1000000</f>
        <v>6162662.9406901263</v>
      </c>
      <c r="D242" s="84">
        <f>Pressure!I242</f>
        <v>2.214727558899525E-4</v>
      </c>
      <c r="E242" s="40">
        <f>Pressure!H242</f>
        <v>221.47275588995251</v>
      </c>
      <c r="F242" s="10">
        <f t="shared" si="26"/>
        <v>8</v>
      </c>
      <c r="G242" s="4">
        <f t="shared" si="25"/>
        <v>124169.54597767758</v>
      </c>
      <c r="H242" s="45">
        <f t="shared" si="27"/>
        <v>9.4104624486199526</v>
      </c>
      <c r="I242" s="10">
        <f t="shared" si="28"/>
        <v>1.382534080485561</v>
      </c>
      <c r="J242" s="4">
        <f t="shared" si="29"/>
        <v>1886.9681542523706</v>
      </c>
      <c r="K242" s="4">
        <f t="shared" si="30"/>
        <v>424.20937778255711</v>
      </c>
      <c r="L242" s="45">
        <f>Pressure!Q242</f>
        <v>0.5374972037391087</v>
      </c>
      <c r="M242" s="10">
        <f t="shared" si="32"/>
        <v>4.2168221422909635</v>
      </c>
      <c r="N242" s="10">
        <f t="shared" si="31"/>
        <v>2.9545467240956045</v>
      </c>
    </row>
    <row r="243" spans="3:14">
      <c r="C243" s="4">
        <f>Pressure!AB243*1000000</f>
        <v>6164894.0960118938</v>
      </c>
      <c r="D243" s="84">
        <f>Pressure!I243</f>
        <v>2.214727558899525E-4</v>
      </c>
      <c r="E243" s="40">
        <f>Pressure!H243</f>
        <v>221.47275588995251</v>
      </c>
      <c r="F243" s="10">
        <f t="shared" si="26"/>
        <v>8</v>
      </c>
      <c r="G243" s="4">
        <f t="shared" si="25"/>
        <v>124214.50082040965</v>
      </c>
      <c r="H243" s="45">
        <f t="shared" si="27"/>
        <v>9.4131516579695322</v>
      </c>
      <c r="I243" s="10">
        <f t="shared" si="28"/>
        <v>1.382581531677918</v>
      </c>
      <c r="J243" s="4">
        <f t="shared" si="29"/>
        <v>1887.7161075801798</v>
      </c>
      <c r="K243" s="4">
        <f t="shared" si="30"/>
        <v>424.37752519674922</v>
      </c>
      <c r="L243" s="45">
        <f>Pressure!Q243</f>
        <v>0.5397324768635865</v>
      </c>
      <c r="M243" s="10">
        <f t="shared" si="32"/>
        <v>4.2187251419318095</v>
      </c>
      <c r="N243" s="10">
        <f t="shared" si="31"/>
        <v>2.9545467240956045</v>
      </c>
    </row>
    <row r="244" spans="3:14">
      <c r="C244" s="4">
        <f>Pressure!AB244*1000000</f>
        <v>6167114.8090637997</v>
      </c>
      <c r="D244" s="84">
        <f>Pressure!I244</f>
        <v>2.214727558899525E-4</v>
      </c>
      <c r="E244" s="40">
        <f>Pressure!H244</f>
        <v>221.47275588995251</v>
      </c>
      <c r="F244" s="10">
        <f t="shared" si="26"/>
        <v>8</v>
      </c>
      <c r="G244" s="4">
        <f t="shared" si="25"/>
        <v>124259.2452651498</v>
      </c>
      <c r="H244" s="45">
        <f t="shared" si="27"/>
        <v>9.4158281132286454</v>
      </c>
      <c r="I244" s="10">
        <f t="shared" si="28"/>
        <v>1.3826287266954691</v>
      </c>
      <c r="J244" s="4">
        <f t="shared" si="29"/>
        <v>1888.460560331217</v>
      </c>
      <c r="K244" s="4">
        <f t="shared" si="30"/>
        <v>424.54488564615286</v>
      </c>
      <c r="L244" s="45">
        <f>Pressure!Q244</f>
        <v>0.54196786982207101</v>
      </c>
      <c r="M244" s="10">
        <f t="shared" si="32"/>
        <v>4.2206193667213308</v>
      </c>
      <c r="N244" s="10">
        <f t="shared" si="31"/>
        <v>2.9545467240956045</v>
      </c>
    </row>
    <row r="245" spans="3:14">
      <c r="C245" s="4">
        <f>Pressure!AB245*1000000</f>
        <v>6169325.0820142282</v>
      </c>
      <c r="D245" s="84">
        <f>Pressure!I245</f>
        <v>2.214727558899525E-4</v>
      </c>
      <c r="E245" s="40">
        <f>Pressure!H245</f>
        <v>221.47275588995251</v>
      </c>
      <c r="F245" s="10">
        <f t="shared" si="26"/>
        <v>8</v>
      </c>
      <c r="G245" s="4">
        <f t="shared" si="25"/>
        <v>124303.77935558811</v>
      </c>
      <c r="H245" s="45">
        <f t="shared" si="27"/>
        <v>9.4184918194488763</v>
      </c>
      <c r="I245" s="10">
        <f t="shared" si="28"/>
        <v>1.3826756661005348</v>
      </c>
      <c r="J245" s="4">
        <f t="shared" si="29"/>
        <v>1889.2015132323936</v>
      </c>
      <c r="K245" s="4">
        <f t="shared" si="30"/>
        <v>424.71145929418498</v>
      </c>
      <c r="L245" s="45">
        <f>Pressure!Q245</f>
        <v>0.54420338201703244</v>
      </c>
      <c r="M245" s="10">
        <f t="shared" si="32"/>
        <v>4.2225048169473691</v>
      </c>
      <c r="N245" s="10">
        <f t="shared" si="31"/>
        <v>2.9545467240956045</v>
      </c>
    </row>
    <row r="246" spans="3:14">
      <c r="C246" s="4">
        <f>Pressure!AB246*1000000</f>
        <v>6171524.917006949</v>
      </c>
      <c r="D246" s="84">
        <f>Pressure!I246</f>
        <v>2.214727558899525E-4</v>
      </c>
      <c r="E246" s="40">
        <f>Pressure!H246</f>
        <v>221.47275588995251</v>
      </c>
      <c r="F246" s="10">
        <f t="shared" si="26"/>
        <v>8</v>
      </c>
      <c r="G246" s="4">
        <f t="shared" si="25"/>
        <v>124348.1031349187</v>
      </c>
      <c r="H246" s="45">
        <f t="shared" si="27"/>
        <v>9.4211427816382312</v>
      </c>
      <c r="I246" s="10">
        <f t="shared" si="28"/>
        <v>1.3827223504514452</v>
      </c>
      <c r="J246" s="4">
        <f t="shared" si="29"/>
        <v>1889.9389670023679</v>
      </c>
      <c r="K246" s="4">
        <f t="shared" si="30"/>
        <v>424.87724630240723</v>
      </c>
      <c r="L246" s="45">
        <f>Pressure!Q246</f>
        <v>0.54643901285159768</v>
      </c>
      <c r="M246" s="10">
        <f t="shared" si="32"/>
        <v>4.2243814928832588</v>
      </c>
      <c r="N246" s="10">
        <f t="shared" si="31"/>
        <v>2.9545467240956045</v>
      </c>
    </row>
    <row r="247" spans="3:14">
      <c r="C247" s="4">
        <f>Pressure!AB247*1000000</f>
        <v>6173714.3161665704</v>
      </c>
      <c r="D247" s="84">
        <f>Pressure!I247</f>
        <v>2.214727558899525E-4</v>
      </c>
      <c r="E247" s="40">
        <f>Pressure!H247</f>
        <v>221.47275588995251</v>
      </c>
      <c r="F247" s="10">
        <f t="shared" si="26"/>
        <v>8</v>
      </c>
      <c r="G247" s="4">
        <f t="shared" si="25"/>
        <v>124392.21664594964</v>
      </c>
      <c r="H247" s="45">
        <f t="shared" si="27"/>
        <v>9.4237810047677826</v>
      </c>
      <c r="I247" s="10">
        <f t="shared" si="28"/>
        <v>1.3827687803026738</v>
      </c>
      <c r="J247" s="4">
        <f t="shared" si="29"/>
        <v>1890.6729223533757</v>
      </c>
      <c r="K247" s="4">
        <f t="shared" si="30"/>
        <v>425.04224683093742</v>
      </c>
      <c r="L247" s="45">
        <f>Pressure!Q247</f>
        <v>0.54867476172954599</v>
      </c>
      <c r="M247" s="10">
        <f t="shared" si="32"/>
        <v>4.2262493947925668</v>
      </c>
      <c r="N247" s="10">
        <f t="shared" si="31"/>
        <v>2.9545467240956045</v>
      </c>
    </row>
    <row r="248" spans="3:14">
      <c r="C248" s="4">
        <f>Pressure!AB248*1000000</f>
        <v>6175893.2815982364</v>
      </c>
      <c r="D248" s="84">
        <f>Pressure!I248</f>
        <v>2.214727558899525E-4</v>
      </c>
      <c r="E248" s="40">
        <f>Pressure!H248</f>
        <v>221.47275588995251</v>
      </c>
      <c r="F248" s="10">
        <f t="shared" si="26"/>
        <v>8</v>
      </c>
      <c r="G248" s="4">
        <f t="shared" si="25"/>
        <v>124436.11993109681</v>
      </c>
      <c r="H248" s="45">
        <f t="shared" si="27"/>
        <v>9.4264064937713208</v>
      </c>
      <c r="I248" s="10">
        <f t="shared" si="28"/>
        <v>1.3828149562048495</v>
      </c>
      <c r="J248" s="4">
        <f t="shared" si="29"/>
        <v>1891.4033799911276</v>
      </c>
      <c r="K248" s="4">
        <f t="shared" si="30"/>
        <v>425.20646103842626</v>
      </c>
      <c r="L248" s="45">
        <f>Pressure!Q248</f>
        <v>0.55091062805530444</v>
      </c>
      <c r="M248" s="10">
        <f t="shared" si="32"/>
        <v>4.2281085229305564</v>
      </c>
      <c r="N248" s="10">
        <f t="shared" si="31"/>
        <v>2.9545467240956045</v>
      </c>
    </row>
    <row r="249" spans="3:14">
      <c r="C249" s="4">
        <f>Pressure!AB249*1000000</f>
        <v>6178061.8153907536</v>
      </c>
      <c r="D249" s="84">
        <f>Pressure!I249</f>
        <v>2.214727558899525E-4</v>
      </c>
      <c r="E249" s="40">
        <f>Pressure!H249</f>
        <v>221.47275588995251</v>
      </c>
      <c r="F249" s="10">
        <f t="shared" si="26"/>
        <v>8</v>
      </c>
      <c r="G249" s="4">
        <f t="shared" si="25"/>
        <v>124479.81303244691</v>
      </c>
      <c r="H249" s="45">
        <f t="shared" si="27"/>
        <v>9.4290192535491766</v>
      </c>
      <c r="I249" s="10">
        <f t="shared" si="28"/>
        <v>1.3828608787048404</v>
      </c>
      <c r="J249" s="4">
        <f t="shared" si="29"/>
        <v>1892.1303406158563</v>
      </c>
      <c r="K249" s="4">
        <f t="shared" si="30"/>
        <v>425.36988908229313</v>
      </c>
      <c r="L249" s="45">
        <f>Pressure!Q249</f>
        <v>0.55314661123394393</v>
      </c>
      <c r="M249" s="10">
        <f t="shared" si="32"/>
        <v>4.229958877546248</v>
      </c>
      <c r="N249" s="10">
        <f t="shared" si="31"/>
        <v>2.9545467240956045</v>
      </c>
    </row>
    <row r="250" spans="3:14">
      <c r="C250" s="4">
        <f>Pressure!AB250*1000000</f>
        <v>6180219.9196178</v>
      </c>
      <c r="D250" s="84">
        <f>Pressure!I250</f>
        <v>2.214727558899525E-4</v>
      </c>
      <c r="E250" s="40">
        <f>Pressure!H250</f>
        <v>221.47275588995251</v>
      </c>
      <c r="F250" s="10">
        <f t="shared" si="26"/>
        <v>8</v>
      </c>
      <c r="G250" s="4">
        <f t="shared" si="25"/>
        <v>124523.29599178184</v>
      </c>
      <c r="H250" s="45">
        <f t="shared" si="27"/>
        <v>9.4316192889697206</v>
      </c>
      <c r="I250" s="10">
        <f t="shared" si="28"/>
        <v>1.3829065483457963</v>
      </c>
      <c r="J250" s="4">
        <f t="shared" si="29"/>
        <v>1892.8538049227245</v>
      </c>
      <c r="K250" s="4">
        <f t="shared" si="30"/>
        <v>425.53253111881764</v>
      </c>
      <c r="L250" s="45">
        <f>Pressure!Q250</f>
        <v>0.55538271067117484</v>
      </c>
      <c r="M250" s="10">
        <f t="shared" si="32"/>
        <v>4.2318004588833675</v>
      </c>
      <c r="N250" s="10">
        <f t="shared" si="31"/>
        <v>2.9545467240956045</v>
      </c>
    </row>
    <row r="251" spans="3:14">
      <c r="C251" s="4">
        <f>Pressure!AB251*1000000</f>
        <v>6182367.5963383364</v>
      </c>
      <c r="D251" s="84">
        <f>Pressure!I251</f>
        <v>2.214727558899525E-4</v>
      </c>
      <c r="E251" s="40">
        <f>Pressure!H251</f>
        <v>221.47275588995251</v>
      </c>
      <c r="F251" s="10">
        <f t="shared" si="26"/>
        <v>8</v>
      </c>
      <c r="G251" s="4">
        <f t="shared" si="25"/>
        <v>124566.56885058692</v>
      </c>
      <c r="H251" s="45">
        <f t="shared" si="27"/>
        <v>9.4342066048698854</v>
      </c>
      <c r="I251" s="10">
        <f t="shared" si="28"/>
        <v>1.3829519656671754</v>
      </c>
      <c r="J251" s="4">
        <f t="shared" si="29"/>
        <v>1893.5737736019603</v>
      </c>
      <c r="K251" s="4">
        <f t="shared" si="30"/>
        <v>425.69438730316989</v>
      </c>
      <c r="L251" s="45">
        <f>Pressure!Q251</f>
        <v>0.55761892577334293</v>
      </c>
      <c r="M251" s="10">
        <f t="shared" si="32"/>
        <v>4.2336332671813315</v>
      </c>
      <c r="N251" s="10">
        <f t="shared" si="31"/>
        <v>2.9545467240956045</v>
      </c>
    </row>
    <row r="252" spans="3:14">
      <c r="C252" s="4">
        <f>Pressure!AB252*1000000</f>
        <v>6184504.8475984046</v>
      </c>
      <c r="D252" s="84">
        <f>Pressure!I252</f>
        <v>2.214727558899525E-4</v>
      </c>
      <c r="E252" s="40">
        <f>Pressure!H252</f>
        <v>221.47275588995251</v>
      </c>
      <c r="F252" s="10">
        <f t="shared" si="26"/>
        <v>8</v>
      </c>
      <c r="G252" s="4">
        <f t="shared" si="25"/>
        <v>124609.63165008722</v>
      </c>
      <c r="H252" s="45">
        <f t="shared" si="27"/>
        <v>9.4367812060573932</v>
      </c>
      <c r="I252" s="10">
        <f t="shared" si="28"/>
        <v>1.3829971312047977</v>
      </c>
      <c r="J252" s="4">
        <f t="shared" si="29"/>
        <v>1894.2902473394611</v>
      </c>
      <c r="K252" s="4">
        <f t="shared" si="30"/>
        <v>425.85545778954656</v>
      </c>
      <c r="L252" s="45">
        <f>Pressure!Q252</f>
        <v>0.55985525594742569</v>
      </c>
      <c r="M252" s="10">
        <f t="shared" si="32"/>
        <v>4.2354573026768705</v>
      </c>
      <c r="N252" s="10">
        <f t="shared" si="31"/>
        <v>2.9545467240956045</v>
      </c>
    </row>
    <row r="253" spans="3:14">
      <c r="C253" s="4">
        <f>Pressure!AB253*1000000</f>
        <v>6186631.6754305884</v>
      </c>
      <c r="D253" s="84">
        <f>Pressure!I253</f>
        <v>2.214727558899525E-4</v>
      </c>
      <c r="E253" s="40">
        <f>Pressure!H253</f>
        <v>221.47275588995251</v>
      </c>
      <c r="F253" s="10">
        <f t="shared" si="26"/>
        <v>8</v>
      </c>
      <c r="G253" s="4">
        <f t="shared" si="25"/>
        <v>124652.48443123663</v>
      </c>
      <c r="H253" s="45">
        <f t="shared" si="27"/>
        <v>9.4393430973101182</v>
      </c>
      <c r="I253" s="10">
        <f t="shared" si="28"/>
        <v>1.3830420454908521</v>
      </c>
      <c r="J253" s="4">
        <f t="shared" si="29"/>
        <v>1895.0032268166131</v>
      </c>
      <c r="K253" s="4">
        <f t="shared" si="30"/>
        <v>426.01574273113016</v>
      </c>
      <c r="L253" s="45">
        <f>Pressure!Q253</f>
        <v>0.56209170060102798</v>
      </c>
      <c r="M253" s="10">
        <f t="shared" si="32"/>
        <v>4.2372725656031944</v>
      </c>
      <c r="N253" s="10">
        <f t="shared" si="31"/>
        <v>2.9545467240956045</v>
      </c>
    </row>
    <row r="254" spans="3:14">
      <c r="C254" s="4">
        <f>Pressure!AB254*1000000</f>
        <v>6188748.081855461</v>
      </c>
      <c r="D254" s="84">
        <f>Pressure!I254</f>
        <v>2.214727558899525E-4</v>
      </c>
      <c r="E254" s="40">
        <f>Pressure!H254</f>
        <v>221.47275588995251</v>
      </c>
      <c r="F254" s="10">
        <f t="shared" si="26"/>
        <v>8</v>
      </c>
      <c r="G254" s="4">
        <f t="shared" si="25"/>
        <v>124695.12723474702</v>
      </c>
      <c r="H254" s="45">
        <f t="shared" si="27"/>
        <v>9.4418922833779018</v>
      </c>
      <c r="I254" s="10">
        <f t="shared" si="28"/>
        <v>1.3830867090539418</v>
      </c>
      <c r="J254" s="4">
        <f t="shared" si="29"/>
        <v>1895.7127127107753</v>
      </c>
      <c r="K254" s="4">
        <f t="shared" si="30"/>
        <v>426.17524228019766</v>
      </c>
      <c r="L254" s="45">
        <f>Pressure!Q254</f>
        <v>0.56432825914237861</v>
      </c>
      <c r="M254" s="10">
        <f t="shared" si="32"/>
        <v>4.2390790561919802</v>
      </c>
      <c r="N254" s="10">
        <f t="shared" si="31"/>
        <v>2.9545467240956045</v>
      </c>
    </row>
    <row r="255" spans="3:14">
      <c r="C255" s="4">
        <f>Pressure!AB255*1000000</f>
        <v>6190854.0688812016</v>
      </c>
      <c r="D255" s="84">
        <f>Pressure!I255</f>
        <v>2.214727558899525E-4</v>
      </c>
      <c r="E255" s="40">
        <f>Pressure!H255</f>
        <v>221.47275588995251</v>
      </c>
      <c r="F255" s="10">
        <f t="shared" si="26"/>
        <v>8</v>
      </c>
      <c r="G255" s="4">
        <f t="shared" si="25"/>
        <v>124737.56010108058</v>
      </c>
      <c r="H255" s="45">
        <f t="shared" si="27"/>
        <v>9.4444287689820889</v>
      </c>
      <c r="I255" s="10">
        <f t="shared" si="28"/>
        <v>1.3831311224190939</v>
      </c>
      <c r="J255" s="4">
        <f t="shared" si="29"/>
        <v>1896.4187056951532</v>
      </c>
      <c r="K255" s="4">
        <f t="shared" si="30"/>
        <v>426.33395658809252</v>
      </c>
      <c r="L255" s="45">
        <f>Pressure!Q255</f>
        <v>0.56656493098032601</v>
      </c>
      <c r="M255" s="10">
        <f t="shared" si="32"/>
        <v>4.2408767746720368</v>
      </c>
      <c r="N255" s="10">
        <f t="shared" si="31"/>
        <v>2.9545467240956045</v>
      </c>
    </row>
    <row r="256" spans="3:14">
      <c r="C256" s="4">
        <f>Pressure!AB256*1000000</f>
        <v>6192949.6385046653</v>
      </c>
      <c r="D256" s="84">
        <f>Pressure!I256</f>
        <v>2.214727558899525E-4</v>
      </c>
      <c r="E256" s="40">
        <f>Pressure!H256</f>
        <v>221.47275588995251</v>
      </c>
      <c r="F256" s="10">
        <f t="shared" si="26"/>
        <v>8</v>
      </c>
      <c r="G256" s="4">
        <f t="shared" si="25"/>
        <v>124779.78307047131</v>
      </c>
      <c r="H256" s="45">
        <f t="shared" si="27"/>
        <v>9.4469525588168892</v>
      </c>
      <c r="I256" s="10">
        <f t="shared" si="28"/>
        <v>1.3831752861077971</v>
      </c>
      <c r="J256" s="4">
        <f t="shared" si="29"/>
        <v>1897.1212064391552</v>
      </c>
      <c r="K256" s="4">
        <f t="shared" si="30"/>
        <v>426.49188580530443</v>
      </c>
      <c r="L256" s="45">
        <f>Pressure!Q256</f>
        <v>0.56880171552433478</v>
      </c>
      <c r="M256" s="10">
        <f t="shared" si="32"/>
        <v>4.2426657212712122</v>
      </c>
      <c r="N256" s="10">
        <f t="shared" si="31"/>
        <v>2.9545467240956045</v>
      </c>
    </row>
    <row r="257" spans="3:14">
      <c r="C257" s="4">
        <f>Pressure!AB257*1000000</f>
        <v>6195034.7927114256</v>
      </c>
      <c r="D257" s="84">
        <f>Pressure!I257</f>
        <v>2.214727558899525E-4</v>
      </c>
      <c r="E257" s="40">
        <f>Pressure!H257</f>
        <v>221.47275588995251</v>
      </c>
      <c r="F257" s="10">
        <f t="shared" si="26"/>
        <v>8</v>
      </c>
      <c r="G257" s="4">
        <f t="shared" si="25"/>
        <v>124821.79618292589</v>
      </c>
      <c r="H257" s="45">
        <f t="shared" si="27"/>
        <v>9.4494636575494386</v>
      </c>
      <c r="I257" s="10">
        <f t="shared" si="28"/>
        <v>1.3832192006380188</v>
      </c>
      <c r="J257" s="4">
        <f t="shared" si="29"/>
        <v>1897.8202156084069</v>
      </c>
      <c r="K257" s="4">
        <f t="shared" si="30"/>
        <v>426.64903008147269</v>
      </c>
      <c r="L257" s="45">
        <f>Pressure!Q257</f>
        <v>0.57103861218448182</v>
      </c>
      <c r="M257" s="10">
        <f t="shared" si="32"/>
        <v>4.2444458962159182</v>
      </c>
      <c r="N257" s="10">
        <f t="shared" si="31"/>
        <v>2.9545467240956045</v>
      </c>
    </row>
    <row r="258" spans="3:14">
      <c r="C258" s="4">
        <f>Pressure!AB258*1000000</f>
        <v>6197109.5334743597</v>
      </c>
      <c r="D258" s="84">
        <f>Pressure!I258</f>
        <v>2.214727558899525E-4</v>
      </c>
      <c r="E258" s="40">
        <f>Pressure!H258</f>
        <v>221.47275588995251</v>
      </c>
      <c r="F258" s="10">
        <f t="shared" si="26"/>
        <v>8</v>
      </c>
      <c r="G258" s="4">
        <f t="shared" si="25"/>
        <v>124863.5994781952</v>
      </c>
      <c r="H258" s="45">
        <f t="shared" si="27"/>
        <v>9.4519620698181779</v>
      </c>
      <c r="I258" s="10">
        <f t="shared" si="28"/>
        <v>1.3832628665241924</v>
      </c>
      <c r="J258" s="4">
        <f t="shared" si="29"/>
        <v>1898.5157338642798</v>
      </c>
      <c r="K258" s="4">
        <f t="shared" si="30"/>
        <v>426.80538956528028</v>
      </c>
      <c r="L258" s="45">
        <f>Pressure!Q258</f>
        <v>0.57327562037145252</v>
      </c>
      <c r="M258" s="10">
        <f t="shared" si="32"/>
        <v>4.2462172997307954</v>
      </c>
      <c r="N258" s="10">
        <f t="shared" si="31"/>
        <v>2.9545467240956045</v>
      </c>
    </row>
    <row r="259" spans="3:14">
      <c r="C259" s="4">
        <f>Pressure!AB259*1000000</f>
        <v>6199173.8627564451</v>
      </c>
      <c r="D259" s="84">
        <f>Pressure!I259</f>
        <v>2.214727558899525E-4</v>
      </c>
      <c r="E259" s="40">
        <f>Pressure!H259</f>
        <v>221.47275588995251</v>
      </c>
      <c r="F259" s="10">
        <f t="shared" si="26"/>
        <v>8</v>
      </c>
      <c r="G259" s="4">
        <f t="shared" si="25"/>
        <v>124905.19299583066</v>
      </c>
      <c r="H259" s="45">
        <f t="shared" si="27"/>
        <v>9.454447800236176</v>
      </c>
      <c r="I259" s="10">
        <f t="shared" si="28"/>
        <v>1.3833062842772901</v>
      </c>
      <c r="J259" s="4">
        <f t="shared" si="29"/>
        <v>1899.2077618648254</v>
      </c>
      <c r="K259" s="4">
        <f t="shared" si="30"/>
        <v>426.9609644046638</v>
      </c>
      <c r="L259" s="45">
        <f>Pressure!Q259</f>
        <v>0.57551273949653692</v>
      </c>
      <c r="M259" s="10">
        <f t="shared" si="32"/>
        <v>4.2479799320389766</v>
      </c>
      <c r="N259" s="10">
        <f t="shared" si="31"/>
        <v>2.9545467240956045</v>
      </c>
    </row>
    <row r="260" spans="3:14">
      <c r="C260" s="4">
        <f>Pressure!AB260*1000000</f>
        <v>6201227.7825089647</v>
      </c>
      <c r="D260" s="84">
        <f>Pressure!I260</f>
        <v>2.214727558899525E-4</v>
      </c>
      <c r="E260" s="40">
        <f>Pressure!H260</f>
        <v>221.47275588995251</v>
      </c>
      <c r="F260" s="10">
        <f t="shared" si="26"/>
        <v>8</v>
      </c>
      <c r="G260" s="4">
        <f t="shared" si="25"/>
        <v>124946.57677514805</v>
      </c>
      <c r="H260" s="45">
        <f t="shared" si="27"/>
        <v>9.4569208533890823</v>
      </c>
      <c r="I260" s="10">
        <f t="shared" si="28"/>
        <v>1.3833494544048017</v>
      </c>
      <c r="J260" s="4">
        <f t="shared" si="29"/>
        <v>1899.8963002641747</v>
      </c>
      <c r="K260" s="4">
        <f t="shared" si="30"/>
        <v>427.11575474667836</v>
      </c>
      <c r="L260" s="45">
        <f>Pressure!Q260</f>
        <v>0.57774996897162612</v>
      </c>
      <c r="M260" s="10">
        <f t="shared" si="32"/>
        <v>4.2497337933630508</v>
      </c>
      <c r="N260" s="10">
        <f t="shared" si="31"/>
        <v>2.9545467240956045</v>
      </c>
    </row>
    <row r="261" spans="3:14">
      <c r="C261" s="4">
        <f>Pressure!AB261*1000000</f>
        <v>6203271.2946724761</v>
      </c>
      <c r="D261" s="84">
        <f>Pressure!I261</f>
        <v>2.214727558899525E-4</v>
      </c>
      <c r="E261" s="40">
        <f>Pressure!H261</f>
        <v>221.47275588995251</v>
      </c>
      <c r="F261" s="10">
        <f t="shared" si="26"/>
        <v>8</v>
      </c>
      <c r="G261" s="4">
        <f t="shared" si="25"/>
        <v>124987.75085524704</v>
      </c>
      <c r="H261" s="45">
        <f t="shared" si="27"/>
        <v>9.459381233836309</v>
      </c>
      <c r="I261" s="10">
        <f t="shared" si="28"/>
        <v>1.3833923774107704</v>
      </c>
      <c r="J261" s="4">
        <f t="shared" si="29"/>
        <v>1900.5813497128636</v>
      </c>
      <c r="K261" s="4">
        <f t="shared" si="30"/>
        <v>427.26976073757106</v>
      </c>
      <c r="L261" s="45">
        <f>Pressure!Q261</f>
        <v>0.57998730820920863</v>
      </c>
      <c r="M261" s="10">
        <f t="shared" si="32"/>
        <v>4.2514788839245057</v>
      </c>
      <c r="N261" s="10">
        <f t="shared" si="31"/>
        <v>2.9545467240956045</v>
      </c>
    </row>
    <row r="262" spans="3:14">
      <c r="C262" s="4">
        <f>Pressure!AB262*1000000</f>
        <v>6205304.4011762943</v>
      </c>
      <c r="D262" s="84">
        <f>Pressure!I262</f>
        <v>2.214727558899525E-4</v>
      </c>
      <c r="E262" s="40">
        <f>Pressure!H262</f>
        <v>221.47275588995251</v>
      </c>
      <c r="F262" s="10">
        <f t="shared" si="26"/>
        <v>8</v>
      </c>
      <c r="G262" s="4">
        <f t="shared" si="25"/>
        <v>125028.7152750008</v>
      </c>
      <c r="H262" s="45">
        <f t="shared" si="27"/>
        <v>9.4618289461104084</v>
      </c>
      <c r="I262" s="10">
        <f t="shared" si="28"/>
        <v>1.3834350537957971</v>
      </c>
      <c r="J262" s="4">
        <f t="shared" si="29"/>
        <v>1901.2629108576596</v>
      </c>
      <c r="K262" s="4">
        <f t="shared" si="30"/>
        <v>427.42298252274168</v>
      </c>
      <c r="L262" s="45">
        <f>Pressure!Q262</f>
        <v>0.5822247566223665</v>
      </c>
      <c r="M262" s="10">
        <f t="shared" si="32"/>
        <v>4.2532152039434399</v>
      </c>
      <c r="N262" s="10">
        <f t="shared" si="31"/>
        <v>2.9545467240956045</v>
      </c>
    </row>
    <row r="263" spans="3:14">
      <c r="C263" s="4">
        <f>Pressure!AB263*1000000</f>
        <v>6207327.1039390769</v>
      </c>
      <c r="D263" s="84">
        <f>Pressure!I263</f>
        <v>2.214727558899525E-4</v>
      </c>
      <c r="E263" s="40">
        <f>Pressure!H263</f>
        <v>221.47275588995251</v>
      </c>
      <c r="F263" s="10">
        <f t="shared" si="26"/>
        <v>8</v>
      </c>
      <c r="G263" s="4">
        <f t="shared" si="25"/>
        <v>125069.47007306774</v>
      </c>
      <c r="H263" s="45">
        <f t="shared" si="27"/>
        <v>9.4642639947178679</v>
      </c>
      <c r="I263" s="10">
        <f t="shared" si="28"/>
        <v>1.3834774840570678</v>
      </c>
      <c r="J263" s="4">
        <f t="shared" si="29"/>
        <v>1901.9409843417561</v>
      </c>
      <c r="K263" s="4">
        <f t="shared" si="30"/>
        <v>427.57542024678662</v>
      </c>
      <c r="L263" s="45">
        <f>Pressure!Q263</f>
        <v>0.58446231362477163</v>
      </c>
      <c r="M263" s="10">
        <f t="shared" si="32"/>
        <v>4.2549427536389643</v>
      </c>
      <c r="N263" s="10">
        <f t="shared" si="31"/>
        <v>2.9545467240956045</v>
      </c>
    </row>
    <row r="264" spans="3:14">
      <c r="C264" s="4">
        <f>Pressure!AB264*1000000</f>
        <v>6209339.4048684072</v>
      </c>
      <c r="D264" s="84">
        <f>Pressure!I264</f>
        <v>2.214727558899525E-4</v>
      </c>
      <c r="E264" s="40">
        <f>Pressure!H264</f>
        <v>221.47275588995251</v>
      </c>
      <c r="F264" s="10">
        <f t="shared" si="26"/>
        <v>8</v>
      </c>
      <c r="G264" s="4">
        <f t="shared" si="25"/>
        <v>125110.01528788317</v>
      </c>
      <c r="H264" s="45">
        <f t="shared" si="27"/>
        <v>9.4666863841385958</v>
      </c>
      <c r="I264" s="10">
        <f t="shared" si="28"/>
        <v>1.3835196686883606</v>
      </c>
      <c r="J264" s="4">
        <f t="shared" si="29"/>
        <v>1902.6155708046351</v>
      </c>
      <c r="K264" s="4">
        <f t="shared" si="30"/>
        <v>427.72707405346773</v>
      </c>
      <c r="L264" s="45">
        <f>Pressure!Q264</f>
        <v>0.58669997863068235</v>
      </c>
      <c r="M264" s="10">
        <f t="shared" si="32"/>
        <v>4.2566615332296518</v>
      </c>
      <c r="N264" s="10">
        <f t="shared" si="31"/>
        <v>2.9545467240956045</v>
      </c>
    </row>
    <row r="265" spans="3:14">
      <c r="C265" s="4">
        <f>Pressure!AB265*1000000</f>
        <v>6211341.3058615597</v>
      </c>
      <c r="D265" s="84">
        <f>Pressure!I265</f>
        <v>2.214727558899525E-4</v>
      </c>
      <c r="E265" s="40">
        <f>Pressure!H265</f>
        <v>221.47275588995251</v>
      </c>
      <c r="F265" s="10">
        <f t="shared" si="26"/>
        <v>8</v>
      </c>
      <c r="G265" s="4">
        <f t="shared" si="25"/>
        <v>125150.35095767469</v>
      </c>
      <c r="H265" s="45">
        <f t="shared" si="27"/>
        <v>9.4690961188269007</v>
      </c>
      <c r="I265" s="10">
        <f t="shared" si="28"/>
        <v>1.3835616081800755</v>
      </c>
      <c r="J265" s="4">
        <f t="shared" si="29"/>
        <v>1903.2866708823235</v>
      </c>
      <c r="K265" s="4">
        <f t="shared" si="30"/>
        <v>427.87794408577031</v>
      </c>
      <c r="L265" s="45">
        <f>Pressure!Q265</f>
        <v>0.58893775105493962</v>
      </c>
      <c r="M265" s="10">
        <f t="shared" si="32"/>
        <v>4.2583715429329967</v>
      </c>
      <c r="N265" s="10">
        <f t="shared" si="31"/>
        <v>2.9545467240956045</v>
      </c>
    </row>
    <row r="266" spans="3:14">
      <c r="C266" s="4">
        <f>Pressure!AB266*1000000</f>
        <v>6213332.8088044422</v>
      </c>
      <c r="D266" s="84">
        <f>Pressure!I266</f>
        <v>2.214727558899525E-4</v>
      </c>
      <c r="E266" s="40">
        <f>Pressure!H266</f>
        <v>221.47275588995251</v>
      </c>
      <c r="F266" s="10">
        <f t="shared" si="26"/>
        <v>8</v>
      </c>
      <c r="G266" s="4">
        <f t="shared" si="25"/>
        <v>125190.47712044082</v>
      </c>
      <c r="H266" s="45">
        <f t="shared" si="27"/>
        <v>9.4714932032102617</v>
      </c>
      <c r="I266" s="10">
        <f t="shared" si="28"/>
        <v>1.3836033030192276</v>
      </c>
      <c r="J266" s="4">
        <f t="shared" si="29"/>
        <v>1903.9542852070358</v>
      </c>
      <c r="K266" s="4">
        <f t="shared" si="30"/>
        <v>428.02803048582257</v>
      </c>
      <c r="L266" s="45">
        <f>Pressure!Q266</f>
        <v>0.59117563031296327</v>
      </c>
      <c r="M266" s="10">
        <f t="shared" si="32"/>
        <v>4.2600727829652651</v>
      </c>
      <c r="N266" s="10">
        <f t="shared" si="31"/>
        <v>2.9545467240956045</v>
      </c>
    </row>
    <row r="267" spans="3:14">
      <c r="C267" s="4">
        <f>Pressure!AB267*1000000</f>
        <v>6215313.915572946</v>
      </c>
      <c r="D267" s="84">
        <f>Pressure!I267</f>
        <v>2.214727558899525E-4</v>
      </c>
      <c r="E267" s="40">
        <f>Pressure!H267</f>
        <v>221.47275588995251</v>
      </c>
      <c r="F267" s="10">
        <f t="shared" si="26"/>
        <v>8</v>
      </c>
      <c r="G267" s="4">
        <f t="shared" si="25"/>
        <v>125230.39381397831</v>
      </c>
      <c r="H267" s="45">
        <f t="shared" si="27"/>
        <v>9.4738776416909598</v>
      </c>
      <c r="I267" s="10">
        <f t="shared" si="28"/>
        <v>1.3836447536894907</v>
      </c>
      <c r="J267" s="4">
        <f t="shared" si="29"/>
        <v>1904.6184144076299</v>
      </c>
      <c r="K267" s="4">
        <f t="shared" si="30"/>
        <v>428.17733339499796</v>
      </c>
      <c r="L267" s="45">
        <f>Pressure!Q267</f>
        <v>0.59341361582074847</v>
      </c>
      <c r="M267" s="10">
        <f t="shared" si="32"/>
        <v>4.2617652535419905</v>
      </c>
      <c r="N267" s="10">
        <f t="shared" si="31"/>
        <v>2.9545467240956045</v>
      </c>
    </row>
    <row r="268" spans="3:14">
      <c r="C268" s="4">
        <f>Pressure!AB268*1000000</f>
        <v>6217284.6280313153</v>
      </c>
      <c r="D268" s="84">
        <f>Pressure!I268</f>
        <v>2.214727558899525E-4</v>
      </c>
      <c r="E268" s="40">
        <f>Pressure!H268</f>
        <v>221.47275588995251</v>
      </c>
      <c r="F268" s="10">
        <f t="shared" si="26"/>
        <v>8</v>
      </c>
      <c r="G268" s="4">
        <f t="shared" si="25"/>
        <v>125270.10107584923</v>
      </c>
      <c r="H268" s="45">
        <f t="shared" si="27"/>
        <v>9.476249438644178</v>
      </c>
      <c r="I268" s="10">
        <f t="shared" si="28"/>
        <v>1.3836859606711767</v>
      </c>
      <c r="J268" s="4">
        <f t="shared" si="29"/>
        <v>1905.2790591090595</v>
      </c>
      <c r="K268" s="4">
        <f t="shared" si="30"/>
        <v>428.32585295379243</v>
      </c>
      <c r="L268" s="45">
        <f>Pressure!Q268</f>
        <v>0.59565170699486236</v>
      </c>
      <c r="M268" s="10">
        <f t="shared" si="32"/>
        <v>4.2634489548782506</v>
      </c>
      <c r="N268" s="10">
        <f t="shared" si="31"/>
        <v>2.9545467240956045</v>
      </c>
    </row>
    <row r="269" spans="3:14">
      <c r="C269" s="4">
        <f>Pressure!AB269*1000000</f>
        <v>6219244.9480339354</v>
      </c>
      <c r="D269" s="84">
        <f>Pressure!I269</f>
        <v>2.214727558899525E-4</v>
      </c>
      <c r="E269" s="40">
        <f>Pressure!H269</f>
        <v>221.47275588995251</v>
      </c>
      <c r="F269" s="10">
        <f t="shared" si="26"/>
        <v>8</v>
      </c>
      <c r="G269" s="4">
        <f t="shared" si="25"/>
        <v>125309.59894341703</v>
      </c>
      <c r="H269" s="45">
        <f t="shared" si="27"/>
        <v>9.478608598420168</v>
      </c>
      <c r="I269" s="10">
        <f t="shared" si="28"/>
        <v>1.3837269244412882</v>
      </c>
      <c r="J269" s="4">
        <f t="shared" si="29"/>
        <v>1905.9362199329721</v>
      </c>
      <c r="K269" s="4">
        <f t="shared" si="30"/>
        <v>428.47358930195855</v>
      </c>
      <c r="L269" s="45">
        <f>Pressure!Q269</f>
        <v>0.59788990325244007</v>
      </c>
      <c r="M269" s="10">
        <f t="shared" si="32"/>
        <v>4.2651238871874257</v>
      </c>
      <c r="N269" s="10">
        <f t="shared" si="31"/>
        <v>2.9545467240956045</v>
      </c>
    </row>
    <row r="270" spans="3:14">
      <c r="C270" s="4">
        <f>Pressure!AB270*1000000</f>
        <v>6221194.8774243677</v>
      </c>
      <c r="D270" s="84">
        <f>Pressure!I270</f>
        <v>2.214727558899525E-4</v>
      </c>
      <c r="E270" s="40">
        <f>Pressure!H270</f>
        <v>221.47275588995251</v>
      </c>
      <c r="F270" s="10">
        <f t="shared" si="26"/>
        <v>8</v>
      </c>
      <c r="G270" s="4">
        <f t="shared" si="25"/>
        <v>125348.88745382702</v>
      </c>
      <c r="H270" s="45">
        <f t="shared" si="27"/>
        <v>9.4809551253431295</v>
      </c>
      <c r="I270" s="10">
        <f t="shared" si="28"/>
        <v>1.3837676454735122</v>
      </c>
      <c r="J270" s="4">
        <f t="shared" si="29"/>
        <v>1906.5898974973879</v>
      </c>
      <c r="K270" s="4">
        <f t="shared" si="30"/>
        <v>428.62054257843351</v>
      </c>
      <c r="L270" s="45">
        <f>Pressure!Q270</f>
        <v>0.60012820401118128</v>
      </c>
      <c r="M270" s="10">
        <f t="shared" si="32"/>
        <v>4.2667900506825225</v>
      </c>
      <c r="N270" s="10">
        <f t="shared" si="31"/>
        <v>2.9545467240956045</v>
      </c>
    </row>
    <row r="271" spans="3:14">
      <c r="C271" s="4">
        <f>Pressure!AB271*1000000</f>
        <v>6223134.4180356143</v>
      </c>
      <c r="D271" s="84">
        <f>Pressure!I271</f>
        <v>2.214727558899525E-4</v>
      </c>
      <c r="E271" s="40">
        <f>Pressure!H271</f>
        <v>221.47275588995251</v>
      </c>
      <c r="F271" s="10">
        <f t="shared" si="26"/>
        <v>8</v>
      </c>
      <c r="G271" s="4">
        <f t="shared" si="25"/>
        <v>125387.96664401176</v>
      </c>
      <c r="H271" s="45">
        <f t="shared" si="27"/>
        <v>9.4832890237115706</v>
      </c>
      <c r="I271" s="10">
        <f t="shared" si="28"/>
        <v>1.3838081242382401</v>
      </c>
      <c r="J271" s="4">
        <f t="shared" si="29"/>
        <v>1907.2400924167864</v>
      </c>
      <c r="K271" s="4">
        <f t="shared" si="30"/>
        <v>428.76671292135842</v>
      </c>
      <c r="L271" s="45">
        <f>Pressure!Q271</f>
        <v>0.60236660868934655</v>
      </c>
      <c r="M271" s="10">
        <f t="shared" si="32"/>
        <v>4.2684474455754522</v>
      </c>
      <c r="N271" s="10">
        <f t="shared" si="31"/>
        <v>2.9545467240956045</v>
      </c>
    </row>
    <row r="272" spans="3:14">
      <c r="C272" s="4">
        <f>Pressure!AB272*1000000</f>
        <v>6225063.5716899391</v>
      </c>
      <c r="D272" s="84">
        <f>Pressure!I272</f>
        <v>2.214727558899525E-4</v>
      </c>
      <c r="E272" s="40">
        <f>Pressure!H272</f>
        <v>221.47275588995251</v>
      </c>
      <c r="F272" s="10">
        <f t="shared" si="26"/>
        <v>8</v>
      </c>
      <c r="G272" s="4">
        <f t="shared" si="25"/>
        <v>125426.83655068751</v>
      </c>
      <c r="H272" s="45">
        <f t="shared" si="27"/>
        <v>9.4856102977981056</v>
      </c>
      <c r="I272" s="10">
        <f t="shared" si="28"/>
        <v>1.3838483612025774</v>
      </c>
      <c r="J272" s="4">
        <f t="shared" si="29"/>
        <v>1907.8868053020481</v>
      </c>
      <c r="K272" s="4">
        <f t="shared" si="30"/>
        <v>428.91210046806532</v>
      </c>
      <c r="L272" s="45">
        <f>Pressure!Q272</f>
        <v>0.60460511670575412</v>
      </c>
      <c r="M272" s="10">
        <f t="shared" si="32"/>
        <v>4.2700960720778776</v>
      </c>
      <c r="N272" s="10">
        <f t="shared" si="31"/>
        <v>2.9545467240956045</v>
      </c>
    </row>
    <row r="273" spans="3:14">
      <c r="C273" s="4">
        <f>Pressure!AB273*1000000</f>
        <v>6226982.3401990226</v>
      </c>
      <c r="D273" s="84">
        <f>Pressure!I273</f>
        <v>2.214727558899525E-4</v>
      </c>
      <c r="E273" s="40">
        <f>Pressure!H273</f>
        <v>221.47275588995251</v>
      </c>
      <c r="F273" s="10">
        <f t="shared" si="26"/>
        <v>8</v>
      </c>
      <c r="G273" s="4">
        <f t="shared" si="25"/>
        <v>125465.49721035722</v>
      </c>
      <c r="H273" s="45">
        <f t="shared" si="27"/>
        <v>9.4879189518496894</v>
      </c>
      <c r="I273" s="10">
        <f t="shared" si="28"/>
        <v>1.3838883568303619</v>
      </c>
      <c r="J273" s="4">
        <f t="shared" si="29"/>
        <v>1908.5300367605046</v>
      </c>
      <c r="K273" s="4">
        <f t="shared" si="30"/>
        <v>429.05670535508847</v>
      </c>
      <c r="L273" s="45">
        <f>Pressure!Q273</f>
        <v>0.60684372747977589</v>
      </c>
      <c r="M273" s="10">
        <f t="shared" si="32"/>
        <v>4.271735930399676</v>
      </c>
      <c r="N273" s="10">
        <f t="shared" si="31"/>
        <v>2.9545467240956045</v>
      </c>
    </row>
    <row r="274" spans="3:14">
      <c r="C274" s="4">
        <f>Pressure!AB274*1000000</f>
        <v>6228890.7253640573</v>
      </c>
      <c r="D274" s="84">
        <f>Pressure!I274</f>
        <v>2.214727558899525E-4</v>
      </c>
      <c r="E274" s="40">
        <f>Pressure!H274</f>
        <v>221.47275588995251</v>
      </c>
      <c r="F274" s="10">
        <f t="shared" si="26"/>
        <v>8</v>
      </c>
      <c r="G274" s="4">
        <f t="shared" si="25"/>
        <v>125503.94865931256</v>
      </c>
      <c r="H274" s="45">
        <f t="shared" si="27"/>
        <v>9.4902149900877664</v>
      </c>
      <c r="I274" s="10">
        <f t="shared" si="28"/>
        <v>1.3839281115821793</v>
      </c>
      <c r="J274" s="4">
        <f t="shared" si="29"/>
        <v>1909.1697873959729</v>
      </c>
      <c r="K274" s="4">
        <f t="shared" si="30"/>
        <v>429.20052771817205</v>
      </c>
      <c r="L274" s="45">
        <f>Pressure!Q274</f>
        <v>0.60908244043133397</v>
      </c>
      <c r="M274" s="10">
        <f t="shared" si="32"/>
        <v>4.2733670207500669</v>
      </c>
      <c r="N274" s="10">
        <f t="shared" si="31"/>
        <v>2.9545467240956045</v>
      </c>
    </row>
    <row r="275" spans="3:14">
      <c r="C275" s="4">
        <f>Pressure!AB275*1000000</f>
        <v>6230788.7289762115</v>
      </c>
      <c r="D275" s="84">
        <f>Pressure!I275</f>
        <v>2.214727558899525E-4</v>
      </c>
      <c r="E275" s="40">
        <f>Pressure!H275</f>
        <v>221.47275588995251</v>
      </c>
      <c r="F275" s="10">
        <f t="shared" si="26"/>
        <v>8</v>
      </c>
      <c r="G275" s="4">
        <f t="shared" si="25"/>
        <v>125542.1909336432</v>
      </c>
      <c r="H275" s="45">
        <f t="shared" si="27"/>
        <v>9.4924984167088429</v>
      </c>
      <c r="I275" s="10">
        <f t="shared" si="28"/>
        <v>1.3839676259153852</v>
      </c>
      <c r="J275" s="4">
        <f t="shared" si="29"/>
        <v>1909.8060578089082</v>
      </c>
      <c r="K275" s="4">
        <f t="shared" si="30"/>
        <v>429.34356769230436</v>
      </c>
      <c r="L275" s="45">
        <f>Pressure!Q275</f>
        <v>0.61132125498089751</v>
      </c>
      <c r="M275" s="10">
        <f t="shared" si="32"/>
        <v>4.2749893433382011</v>
      </c>
      <c r="N275" s="10">
        <f t="shared" si="31"/>
        <v>2.9545467240956045</v>
      </c>
    </row>
    <row r="276" spans="3:14">
      <c r="C276" s="4">
        <f>Pressure!AB276*1000000</f>
        <v>6232676.3528152434</v>
      </c>
      <c r="D276" s="84">
        <f>Pressure!I276</f>
        <v>2.214727558899525E-4</v>
      </c>
      <c r="E276" s="40">
        <f>Pressure!H276</f>
        <v>221.47275588995251</v>
      </c>
      <c r="F276" s="10">
        <f t="shared" si="26"/>
        <v>8</v>
      </c>
      <c r="G276" s="4">
        <f t="shared" si="25"/>
        <v>125580.22406920894</v>
      </c>
      <c r="H276" s="45">
        <f t="shared" si="27"/>
        <v>9.4947692358828757</v>
      </c>
      <c r="I276" s="10">
        <f t="shared" si="28"/>
        <v>1.3840069002840922</v>
      </c>
      <c r="J276" s="4">
        <f t="shared" si="29"/>
        <v>1910.4388485959419</v>
      </c>
      <c r="K276" s="4">
        <f t="shared" si="30"/>
        <v>429.48582541161409</v>
      </c>
      <c r="L276" s="45">
        <f>Pressure!Q276</f>
        <v>0.61356017054947876</v>
      </c>
      <c r="M276" s="10">
        <f t="shared" si="32"/>
        <v>4.276602898371511</v>
      </c>
      <c r="N276" s="10">
        <f t="shared" si="31"/>
        <v>2.9545467240956045</v>
      </c>
    </row>
    <row r="277" spans="3:14">
      <c r="C277" s="4">
        <f>Pressure!AB277*1000000</f>
        <v>6234553.5986511549</v>
      </c>
      <c r="D277" s="84">
        <f>Pressure!I277</f>
        <v>2.214727558899525E-4</v>
      </c>
      <c r="E277" s="40">
        <f>Pressure!H277</f>
        <v>221.47275588995251</v>
      </c>
      <c r="F277" s="10">
        <f t="shared" si="26"/>
        <v>8</v>
      </c>
      <c r="G277" s="4">
        <f t="shared" si="25"/>
        <v>125618.04810167299</v>
      </c>
      <c r="H277" s="45">
        <f t="shared" si="27"/>
        <v>9.4970274517552831</v>
      </c>
      <c r="I277" s="10">
        <f t="shared" si="28"/>
        <v>1.3840459351392158</v>
      </c>
      <c r="J277" s="4">
        <f t="shared" si="29"/>
        <v>1911.0681603504338</v>
      </c>
      <c r="K277" s="4">
        <f t="shared" si="30"/>
        <v>429.6273010094946</v>
      </c>
      <c r="L277" s="45">
        <f>Pressure!Q277</f>
        <v>0.61579918655862964</v>
      </c>
      <c r="M277" s="10">
        <f t="shared" si="32"/>
        <v>4.278207686056624</v>
      </c>
      <c r="N277" s="10">
        <f t="shared" si="31"/>
        <v>2.9545467240956045</v>
      </c>
    </row>
    <row r="278" spans="3:14">
      <c r="C278" s="4">
        <f>Pressure!AB278*1000000</f>
        <v>6236420.468243381</v>
      </c>
      <c r="D278" s="84">
        <f>Pressure!I278</f>
        <v>2.214727558899525E-4</v>
      </c>
      <c r="E278" s="40">
        <f>Pressure!H278</f>
        <v>221.47275588995251</v>
      </c>
      <c r="F278" s="10">
        <f t="shared" si="26"/>
        <v>8</v>
      </c>
      <c r="G278" s="4">
        <f t="shared" si="25"/>
        <v>125655.66306648563</v>
      </c>
      <c r="H278" s="45">
        <f t="shared" si="27"/>
        <v>9.4992730684460085</v>
      </c>
      <c r="I278" s="10">
        <f t="shared" si="28"/>
        <v>1.3840847309284718</v>
      </c>
      <c r="J278" s="4">
        <f t="shared" si="29"/>
        <v>1911.6939936622018</v>
      </c>
      <c r="K278" s="4">
        <f t="shared" si="30"/>
        <v>429.76799461854273</v>
      </c>
      <c r="L278" s="45">
        <f>Pressure!Q278</f>
        <v>0.61803830243043845</v>
      </c>
      <c r="M278" s="10">
        <f t="shared" si="32"/>
        <v>4.2798037065998553</v>
      </c>
      <c r="N278" s="10">
        <f t="shared" si="31"/>
        <v>2.9545467240956045</v>
      </c>
    </row>
    <row r="279" spans="3:14">
      <c r="C279" s="4">
        <f>Pressure!AB279*1000000</f>
        <v>6238276.963340411</v>
      </c>
      <c r="D279" s="84">
        <f>Pressure!I279</f>
        <v>2.214727558899525E-4</v>
      </c>
      <c r="E279" s="40">
        <f>Pressure!H279</f>
        <v>221.47275588995251</v>
      </c>
      <c r="F279" s="10">
        <f t="shared" si="26"/>
        <v>8</v>
      </c>
      <c r="G279" s="4">
        <f t="shared" si="25"/>
        <v>125693.06899887664</v>
      </c>
      <c r="H279" s="45">
        <f t="shared" si="27"/>
        <v>9.5015060900490624</v>
      </c>
      <c r="I279" s="10">
        <f t="shared" si="28"/>
        <v>1.3841232880963814</v>
      </c>
      <c r="J279" s="4">
        <f t="shared" si="29"/>
        <v>1912.3163491173946</v>
      </c>
      <c r="K279" s="4">
        <f t="shared" si="30"/>
        <v>429.90790637053067</v>
      </c>
      <c r="L279" s="45">
        <f>Pressure!Q279</f>
        <v>0.62027751758752614</v>
      </c>
      <c r="M279" s="10">
        <f t="shared" si="32"/>
        <v>4.281390960206088</v>
      </c>
      <c r="N279" s="10">
        <f t="shared" si="31"/>
        <v>2.9545467240956045</v>
      </c>
    </row>
    <row r="280" spans="3:14">
      <c r="C280" s="4">
        <f>Pressure!AB280*1000000</f>
        <v>6240123.0856807642</v>
      </c>
      <c r="D280" s="84">
        <f>Pressure!I280</f>
        <v>2.214727558899525E-4</v>
      </c>
      <c r="E280" s="40">
        <f>Pressure!H280</f>
        <v>221.47275588995251</v>
      </c>
      <c r="F280" s="10">
        <f t="shared" si="26"/>
        <v>8</v>
      </c>
      <c r="G280" s="4">
        <f t="shared" si="25"/>
        <v>125730.26593387486</v>
      </c>
      <c r="H280" s="45">
        <f t="shared" si="27"/>
        <v>9.5037265206337711</v>
      </c>
      <c r="I280" s="10">
        <f t="shared" si="28"/>
        <v>1.3841616070843055</v>
      </c>
      <c r="J280" s="4">
        <f t="shared" si="29"/>
        <v>1912.9352272988185</v>
      </c>
      <c r="K280" s="4">
        <f t="shared" si="30"/>
        <v>430.04703639647914</v>
      </c>
      <c r="L280" s="45">
        <f>Pressure!Q280</f>
        <v>0.62251683145304293</v>
      </c>
      <c r="M280" s="10">
        <f t="shared" si="32"/>
        <v>4.2829694470793918</v>
      </c>
      <c r="N280" s="10">
        <f t="shared" si="31"/>
        <v>2.9545467240956045</v>
      </c>
    </row>
    <row r="281" spans="3:14">
      <c r="C281" s="4">
        <f>Pressure!AB281*1000000</f>
        <v>6241958.8369927648</v>
      </c>
      <c r="D281" s="84">
        <f>Pressure!I281</f>
        <v>2.214727558899525E-4</v>
      </c>
      <c r="E281" s="40">
        <f>Pressure!H281</f>
        <v>221.47275588995251</v>
      </c>
      <c r="F281" s="10">
        <f t="shared" si="26"/>
        <v>8</v>
      </c>
      <c r="G281" s="4">
        <f t="shared" si="25"/>
        <v>125767.2539063038</v>
      </c>
      <c r="H281" s="45">
        <f t="shared" si="27"/>
        <v>9.5059343642445242</v>
      </c>
      <c r="I281" s="10">
        <f t="shared" si="28"/>
        <v>1.3841996883304513</v>
      </c>
      <c r="J281" s="4">
        <f t="shared" si="29"/>
        <v>1913.5506287858618</v>
      </c>
      <c r="K281" s="4">
        <f t="shared" si="30"/>
        <v>430.18538482664042</v>
      </c>
      <c r="L281" s="45">
        <f>Pressure!Q281</f>
        <v>0.62475624345066483</v>
      </c>
      <c r="M281" s="10">
        <f t="shared" si="32"/>
        <v>4.2845391674232678</v>
      </c>
      <c r="N281" s="10">
        <f t="shared" si="31"/>
        <v>2.9545467240956045</v>
      </c>
    </row>
    <row r="282" spans="3:14">
      <c r="C282" s="4">
        <f>Pressure!AB282*1000000</f>
        <v>6243784.2189937867</v>
      </c>
      <c r="D282" s="84">
        <f>Pressure!I282</f>
        <v>2.214727558899525E-4</v>
      </c>
      <c r="E282" s="40">
        <f>Pressure!H282</f>
        <v>221.47275588995251</v>
      </c>
      <c r="F282" s="10">
        <f t="shared" si="26"/>
        <v>8</v>
      </c>
      <c r="G282" s="4">
        <f t="shared" si="25"/>
        <v>125804.03295076625</v>
      </c>
      <c r="H282" s="45">
        <f t="shared" si="27"/>
        <v>9.5081296248998886</v>
      </c>
      <c r="I282" s="10">
        <f t="shared" si="28"/>
        <v>1.384237532269871</v>
      </c>
      <c r="J282" s="4">
        <f t="shared" si="29"/>
        <v>1914.1625541542421</v>
      </c>
      <c r="K282" s="4">
        <f t="shared" si="30"/>
        <v>430.32295179044155</v>
      </c>
      <c r="L282" s="45">
        <f>Pressure!Q282</f>
        <v>0.62699575300459032</v>
      </c>
      <c r="M282" s="10">
        <f t="shared" si="32"/>
        <v>4.2861001214404544</v>
      </c>
      <c r="N282" s="10">
        <f t="shared" si="31"/>
        <v>2.9545467240956045</v>
      </c>
    </row>
    <row r="283" spans="3:14">
      <c r="C283" s="4">
        <f>Pressure!AB283*1000000</f>
        <v>6245599.233391339</v>
      </c>
      <c r="D283" s="84">
        <f>Pressure!I283</f>
        <v>2.214727558899525E-4</v>
      </c>
      <c r="E283" s="40">
        <f>Pressure!H283</f>
        <v>221.47275588995251</v>
      </c>
      <c r="F283" s="10">
        <f t="shared" si="26"/>
        <v>8</v>
      </c>
      <c r="G283" s="4">
        <f t="shared" si="25"/>
        <v>125840.60310166627</v>
      </c>
      <c r="H283" s="45">
        <f t="shared" si="27"/>
        <v>9.5103123065939492</v>
      </c>
      <c r="I283" s="10">
        <f t="shared" si="28"/>
        <v>1.3842751393344974</v>
      </c>
      <c r="J283" s="4">
        <f t="shared" si="29"/>
        <v>1914.7710039763708</v>
      </c>
      <c r="K283" s="4">
        <f t="shared" si="30"/>
        <v>430.45973741656644</v>
      </c>
      <c r="L283" s="45">
        <f>Pressure!Q283</f>
        <v>0.62923535953953647</v>
      </c>
      <c r="M283" s="10">
        <f t="shared" si="32"/>
        <v>4.2876523093319641</v>
      </c>
      <c r="N283" s="10">
        <f t="shared" si="31"/>
        <v>2.9545467240956045</v>
      </c>
    </row>
    <row r="284" spans="3:14">
      <c r="C284" s="4">
        <f>Pressure!AB284*1000000</f>
        <v>6247403.8818826228</v>
      </c>
      <c r="D284" s="84">
        <f>Pressure!I284</f>
        <v>2.214727558899525E-4</v>
      </c>
      <c r="E284" s="40">
        <f>Pressure!H284</f>
        <v>221.47275588995251</v>
      </c>
      <c r="F284" s="10">
        <f t="shared" si="26"/>
        <v>8</v>
      </c>
      <c r="G284" s="4">
        <f t="shared" ref="G284:G347" si="33">IF(C284/(1+(k-1)/2*N284^2)^(k/(k-1))&lt;patm*1000000,patm*1000000,C284/(1+(k-1)/2*N284^2)^(k/(k-1)))</f>
        <v>125876.96439320024</v>
      </c>
      <c r="H284" s="45">
        <f t="shared" si="27"/>
        <v>9.5124824132957979</v>
      </c>
      <c r="I284" s="10">
        <f t="shared" si="28"/>
        <v>1.3843125099531455</v>
      </c>
      <c r="J284" s="4">
        <f t="shared" si="29"/>
        <v>1915.3759788212019</v>
      </c>
      <c r="K284" s="4">
        <f t="shared" si="30"/>
        <v>430.59574183292159</v>
      </c>
      <c r="L284" s="45">
        <f>Pressure!Q284</f>
        <v>0.63147506248073593</v>
      </c>
      <c r="M284" s="10">
        <f t="shared" si="32"/>
        <v>4.2891957312989835</v>
      </c>
      <c r="N284" s="10">
        <f t="shared" si="31"/>
        <v>2.9545467240956045</v>
      </c>
    </row>
    <row r="285" spans="3:14">
      <c r="C285" s="4">
        <f>Pressure!AB285*1000000</f>
        <v>6249198.1661535241</v>
      </c>
      <c r="D285" s="84">
        <f>Pressure!I285</f>
        <v>2.214727558899525E-4</v>
      </c>
      <c r="E285" s="40">
        <f>Pressure!H285</f>
        <v>221.47275588995251</v>
      </c>
      <c r="F285" s="10">
        <f t="shared" ref="F285:F348" si="34">aexit/E285</f>
        <v>8</v>
      </c>
      <c r="G285" s="4">
        <f t="shared" si="33"/>
        <v>125913.11685933653</v>
      </c>
      <c r="H285" s="45">
        <f t="shared" ref="H285:H348" si="35">1/(((k+1)/2)^(1/(k-1))*(patm*1000000/C285)^(1/k)*SQRT((k+1)/(k-1)*(1-(patm*1000000/C285)^((k-1)/k))))</f>
        <v>9.5146399489483642</v>
      </c>
      <c r="I285" s="10">
        <f t="shared" ref="I285:I348" si="36">etanoz*SQRT(2*k^2/(k-1)*(2/(k+1))^((k+1)/(k-1))*(1-(G285/C285)^((k-1)/k)))+(G285-patm*1000000)/C285*(aexit/E285)</f>
        <v>1.3843496445515064</v>
      </c>
      <c r="J285" s="4">
        <f t="shared" ref="J285:J348" si="37">I285*D285*C285</f>
        <v>1915.9774792538983</v>
      </c>
      <c r="K285" s="4">
        <f t="shared" ref="K285:K348" si="38">J285/4.4482</f>
        <v>430.73096516656136</v>
      </c>
      <c r="L285" s="45">
        <f>Pressure!Q285</f>
        <v>0.6337148612539335</v>
      </c>
      <c r="M285" s="10">
        <f t="shared" si="32"/>
        <v>4.2907303875414513</v>
      </c>
      <c r="N285" s="10">
        <f t="shared" si="31"/>
        <v>2.9545467240956045</v>
      </c>
    </row>
    <row r="286" spans="3:14">
      <c r="C286" s="4">
        <f>Pressure!AB286*1000000</f>
        <v>6250982.0878808815</v>
      </c>
      <c r="D286" s="84">
        <f>Pressure!I286</f>
        <v>2.214727558899525E-4</v>
      </c>
      <c r="E286" s="40">
        <f>Pressure!H286</f>
        <v>221.47275588995251</v>
      </c>
      <c r="F286" s="10">
        <f t="shared" si="34"/>
        <v>8</v>
      </c>
      <c r="G286" s="4">
        <f t="shared" si="33"/>
        <v>125949.06053386125</v>
      </c>
      <c r="H286" s="45">
        <f t="shared" si="35"/>
        <v>9.5167849174711723</v>
      </c>
      <c r="I286" s="10">
        <f t="shared" si="36"/>
        <v>1.3843865435522054</v>
      </c>
      <c r="J286" s="4">
        <f t="shared" si="37"/>
        <v>1916.5755058365885</v>
      </c>
      <c r="K286" s="4">
        <f t="shared" si="38"/>
        <v>430.86540754385788</v>
      </c>
      <c r="L286" s="45">
        <f>Pressure!Q286</f>
        <v>0.63595475528538237</v>
      </c>
      <c r="M286" s="10">
        <f t="shared" si="32"/>
        <v>4.2922562782578533</v>
      </c>
      <c r="N286" s="10">
        <f t="shared" ref="N286:N349" si="39">N285-1/834*(me-mef)</f>
        <v>2.9545467240956045</v>
      </c>
    </row>
    <row r="287" spans="3:14">
      <c r="C287" s="4">
        <f>Pressure!AB287*1000000</f>
        <v>6252755.6487309616</v>
      </c>
      <c r="D287" s="84">
        <f>Pressure!I287</f>
        <v>2.214727558899525E-4</v>
      </c>
      <c r="E287" s="40">
        <f>Pressure!H287</f>
        <v>221.47275588995251</v>
      </c>
      <c r="F287" s="10">
        <f t="shared" si="34"/>
        <v>8</v>
      </c>
      <c r="G287" s="4">
        <f t="shared" si="33"/>
        <v>125984.79545034746</v>
      </c>
      <c r="H287" s="45">
        <f t="shared" si="35"/>
        <v>9.518917322758524</v>
      </c>
      <c r="I287" s="10">
        <f t="shared" si="36"/>
        <v>1.3844232073747831</v>
      </c>
      <c r="J287" s="4">
        <f t="shared" si="37"/>
        <v>1917.1700591278575</v>
      </c>
      <c r="K287" s="4">
        <f t="shared" si="38"/>
        <v>430.99906909038657</v>
      </c>
      <c r="L287" s="45">
        <f>Pressure!Q287</f>
        <v>0.63819474400184095</v>
      </c>
      <c r="M287" s="10">
        <f t="shared" si="32"/>
        <v>4.2937734036467514</v>
      </c>
      <c r="N287" s="10">
        <f t="shared" si="39"/>
        <v>2.9545467240956045</v>
      </c>
    </row>
    <row r="288" spans="3:14">
      <c r="C288" s="4">
        <f>Pressure!AB288*1000000</f>
        <v>6254518.8503590431</v>
      </c>
      <c r="D288" s="84">
        <f>Pressure!I288</f>
        <v>2.214727558899525E-4</v>
      </c>
      <c r="E288" s="40">
        <f>Pressure!H288</f>
        <v>221.47275588995251</v>
      </c>
      <c r="F288" s="10">
        <f t="shared" si="34"/>
        <v>8</v>
      </c>
      <c r="G288" s="4">
        <f t="shared" si="33"/>
        <v>126020.32164214685</v>
      </c>
      <c r="H288" s="45">
        <f t="shared" si="35"/>
        <v>9.5210371686790634</v>
      </c>
      <c r="I288" s="10">
        <f t="shared" si="36"/>
        <v>1.3844596364356994</v>
      </c>
      <c r="J288" s="4">
        <f t="shared" si="37"/>
        <v>1917.7611396826064</v>
      </c>
      <c r="K288" s="4">
        <f t="shared" si="38"/>
        <v>431.13194993089485</v>
      </c>
      <c r="L288" s="45">
        <f>Pressure!Q288</f>
        <v>0.64043482683056951</v>
      </c>
      <c r="M288" s="10">
        <f t="shared" si="32"/>
        <v>4.29528176390538</v>
      </c>
      <c r="N288" s="10">
        <f t="shared" si="39"/>
        <v>2.9545467240956045</v>
      </c>
    </row>
    <row r="289" spans="3:14">
      <c r="C289" s="4">
        <f>Pressure!AB289*1000000</f>
        <v>6256271.6944109425</v>
      </c>
      <c r="D289" s="84">
        <f>Pressure!I289</f>
        <v>2.214727558899525E-4</v>
      </c>
      <c r="E289" s="40">
        <f>Pressure!H289</f>
        <v>221.47275588995251</v>
      </c>
      <c r="F289" s="10">
        <f t="shared" si="34"/>
        <v>8</v>
      </c>
      <c r="G289" s="4">
        <f t="shared" si="33"/>
        <v>126055.63914242046</v>
      </c>
      <c r="H289" s="45">
        <f t="shared" si="35"/>
        <v>9.523144459077578</v>
      </c>
      <c r="I289" s="10">
        <f t="shared" si="36"/>
        <v>1.384495831148377</v>
      </c>
      <c r="J289" s="4">
        <f t="shared" si="37"/>
        <v>1918.3487480525648</v>
      </c>
      <c r="K289" s="4">
        <f t="shared" si="38"/>
        <v>431.26405018941705</v>
      </c>
      <c r="L289" s="45">
        <f>Pressure!Q289</f>
        <v>0.64267500319932658</v>
      </c>
      <c r="M289" s="10">
        <f t="shared" si="32"/>
        <v>4.2967813592298203</v>
      </c>
      <c r="N289" s="10">
        <f t="shared" si="39"/>
        <v>2.9545467240956045</v>
      </c>
    </row>
    <row r="290" spans="3:14">
      <c r="C290" s="4">
        <f>Pressure!AB290*1000000</f>
        <v>6258014.1825215314</v>
      </c>
      <c r="D290" s="84">
        <f>Pressure!I290</f>
        <v>2.214727558899525E-4</v>
      </c>
      <c r="E290" s="40">
        <f>Pressure!H290</f>
        <v>221.47275588995251</v>
      </c>
      <c r="F290" s="10">
        <f t="shared" si="34"/>
        <v>8</v>
      </c>
      <c r="G290" s="4">
        <f t="shared" si="33"/>
        <v>126090.74798410882</v>
      </c>
      <c r="H290" s="45">
        <f t="shared" si="35"/>
        <v>9.5252391977733062</v>
      </c>
      <c r="I290" s="10">
        <f t="shared" si="36"/>
        <v>1.384531791923183</v>
      </c>
      <c r="J290" s="4">
        <f t="shared" si="37"/>
        <v>1918.9328847857935</v>
      </c>
      <c r="K290" s="4">
        <f t="shared" si="38"/>
        <v>431.3953699891627</v>
      </c>
      <c r="L290" s="45">
        <f>Pressure!Q290</f>
        <v>0.64491527253636582</v>
      </c>
      <c r="M290" s="10">
        <f t="shared" si="32"/>
        <v>4.298272189815834</v>
      </c>
      <c r="N290" s="10">
        <f t="shared" si="39"/>
        <v>2.9545467240956045</v>
      </c>
    </row>
    <row r="291" spans="3:14">
      <c r="C291" s="4">
        <f>Pressure!AB291*1000000</f>
        <v>6259746.3163165217</v>
      </c>
      <c r="D291" s="84">
        <f>Pressure!I291</f>
        <v>2.214727558899525E-4</v>
      </c>
      <c r="E291" s="40">
        <f>Pressure!H291</f>
        <v>221.47275588995251</v>
      </c>
      <c r="F291" s="10">
        <f t="shared" si="34"/>
        <v>8</v>
      </c>
      <c r="G291" s="4">
        <f t="shared" si="33"/>
        <v>126125.64819996785</v>
      </c>
      <c r="H291" s="45">
        <f t="shared" si="35"/>
        <v>9.5273213885620773</v>
      </c>
      <c r="I291" s="10">
        <f t="shared" si="36"/>
        <v>1.3845675191674771</v>
      </c>
      <c r="J291" s="4">
        <f t="shared" si="37"/>
        <v>1919.5135504272814</v>
      </c>
      <c r="K291" s="4">
        <f t="shared" si="38"/>
        <v>431.52590945265081</v>
      </c>
      <c r="L291" s="45">
        <f>Pressure!Q291</f>
        <v>0.64715563427043243</v>
      </c>
      <c r="M291" s="10">
        <f t="shared" si="32"/>
        <v>4.2997542558578798</v>
      </c>
      <c r="N291" s="10">
        <f t="shared" si="39"/>
        <v>2.9545467240956045</v>
      </c>
    </row>
    <row r="292" spans="3:14">
      <c r="C292" s="4">
        <f>Pressure!AB292*1000000</f>
        <v>6261468.0974100316</v>
      </c>
      <c r="D292" s="84">
        <f>Pressure!I292</f>
        <v>2.214727558899525E-4</v>
      </c>
      <c r="E292" s="40">
        <f>Pressure!H292</f>
        <v>221.47275588995251</v>
      </c>
      <c r="F292" s="10">
        <f t="shared" si="34"/>
        <v>8</v>
      </c>
      <c r="G292" s="4">
        <f t="shared" si="33"/>
        <v>126160.33982251992</v>
      </c>
      <c r="H292" s="45">
        <f t="shared" si="35"/>
        <v>9.5293910352134343</v>
      </c>
      <c r="I292" s="10">
        <f t="shared" si="36"/>
        <v>1.3846030132855738</v>
      </c>
      <c r="J292" s="4">
        <f t="shared" si="37"/>
        <v>1920.0907455181316</v>
      </c>
      <c r="K292" s="4">
        <f t="shared" si="38"/>
        <v>431.65566870152685</v>
      </c>
      <c r="L292" s="45">
        <f>Pressure!Q292</f>
        <v>0.64939608783075997</v>
      </c>
      <c r="M292" s="10">
        <f t="shared" si="32"/>
        <v>4.3012275575499048</v>
      </c>
      <c r="N292" s="10">
        <f t="shared" si="39"/>
        <v>2.9545467240956045</v>
      </c>
    </row>
    <row r="293" spans="3:14">
      <c r="C293" s="4">
        <f>Pressure!AB293*1000000</f>
        <v>6263179.5274072131</v>
      </c>
      <c r="D293" s="84">
        <f>Pressure!I293</f>
        <v>2.214727558899525E-4</v>
      </c>
      <c r="E293" s="40">
        <f>Pressure!H293</f>
        <v>221.47275588995251</v>
      </c>
      <c r="F293" s="10">
        <f t="shared" si="34"/>
        <v>8</v>
      </c>
      <c r="G293" s="4">
        <f t="shared" si="33"/>
        <v>126194.82288410673</v>
      </c>
      <c r="H293" s="45">
        <f t="shared" si="35"/>
        <v>9.5314481414738044</v>
      </c>
      <c r="I293" s="10">
        <f t="shared" si="36"/>
        <v>1.3846382746788084</v>
      </c>
      <c r="J293" s="4">
        <f t="shared" si="37"/>
        <v>1920.6644705964422</v>
      </c>
      <c r="K293" s="4">
        <f t="shared" si="38"/>
        <v>431.78464785676056</v>
      </c>
      <c r="L293" s="45">
        <f>Pressure!Q293</f>
        <v>0.65163663264706673</v>
      </c>
      <c r="M293" s="10">
        <f t="shared" si="32"/>
        <v>4.3026920950843204</v>
      </c>
      <c r="N293" s="10">
        <f t="shared" si="39"/>
        <v>2.9545467240956045</v>
      </c>
    </row>
    <row r="294" spans="3:14">
      <c r="C294" s="4">
        <f>Pressure!AB294*1000000</f>
        <v>6264880.6079022586</v>
      </c>
      <c r="D294" s="84">
        <f>Pressure!I294</f>
        <v>2.214727558899525E-4</v>
      </c>
      <c r="E294" s="40">
        <f>Pressure!H294</f>
        <v>221.47275588995251</v>
      </c>
      <c r="F294" s="10">
        <f t="shared" si="34"/>
        <v>8</v>
      </c>
      <c r="G294" s="4">
        <f t="shared" si="33"/>
        <v>126229.09741684917</v>
      </c>
      <c r="H294" s="45">
        <f t="shared" si="35"/>
        <v>9.5334927110641274</v>
      </c>
      <c r="I294" s="10">
        <f t="shared" si="36"/>
        <v>1.3846733037455072</v>
      </c>
      <c r="J294" s="4">
        <f t="shared" si="37"/>
        <v>1921.2347261966361</v>
      </c>
      <c r="K294" s="4">
        <f t="shared" si="38"/>
        <v>431.91284703849561</v>
      </c>
      <c r="L294" s="45">
        <f>Pressure!Q294</f>
        <v>0.65387726814955283</v>
      </c>
      <c r="M294" s="10">
        <f t="shared" si="32"/>
        <v>4.3041478686536996</v>
      </c>
      <c r="N294" s="10">
        <f t="shared" si="39"/>
        <v>2.9545467240956045</v>
      </c>
    </row>
    <row r="295" spans="3:14">
      <c r="C295" s="4">
        <f>Pressure!AB295*1000000</f>
        <v>6266571.3404797474</v>
      </c>
      <c r="D295" s="84">
        <f>Pressure!I295</f>
        <v>2.214727558899525E-4</v>
      </c>
      <c r="E295" s="40">
        <f>Pressure!H295</f>
        <v>221.47275588995251</v>
      </c>
      <c r="F295" s="10">
        <f t="shared" si="34"/>
        <v>8</v>
      </c>
      <c r="G295" s="4">
        <f t="shared" si="33"/>
        <v>126263.16345267442</v>
      </c>
      <c r="H295" s="45">
        <f t="shared" si="35"/>
        <v>9.535524747681535</v>
      </c>
      <c r="I295" s="10">
        <f t="shared" si="36"/>
        <v>1.3847081008810269</v>
      </c>
      <c r="J295" s="4">
        <f t="shared" si="37"/>
        <v>1921.8015128499137</v>
      </c>
      <c r="K295" s="4">
        <f t="shared" si="38"/>
        <v>432.04026636615117</v>
      </c>
      <c r="L295" s="45">
        <f>Pressure!Q295</f>
        <v>0.65611799376889635</v>
      </c>
      <c r="M295" s="10">
        <f t="shared" si="32"/>
        <v>4.305594878448586</v>
      </c>
      <c r="N295" s="10">
        <f t="shared" si="39"/>
        <v>2.9545467240956045</v>
      </c>
    </row>
    <row r="296" spans="3:14">
      <c r="C296" s="4">
        <f>Pressure!AB296*1000000</f>
        <v>6268251.7267138045</v>
      </c>
      <c r="D296" s="84">
        <f>Pressure!I296</f>
        <v>2.214727558899525E-4</v>
      </c>
      <c r="E296" s="40">
        <f>Pressure!H296</f>
        <v>221.47275588995251</v>
      </c>
      <c r="F296" s="10">
        <f t="shared" si="34"/>
        <v>8</v>
      </c>
      <c r="G296" s="4">
        <f t="shared" si="33"/>
        <v>126297.02102329902</v>
      </c>
      <c r="H296" s="45">
        <f t="shared" si="35"/>
        <v>9.5375442549983251</v>
      </c>
      <c r="I296" s="10">
        <f t="shared" si="36"/>
        <v>1.3847426664777491</v>
      </c>
      <c r="J296" s="4">
        <f t="shared" si="37"/>
        <v>1922.3648310839721</v>
      </c>
      <c r="K296" s="4">
        <f t="shared" si="38"/>
        <v>432.16690595835894</v>
      </c>
      <c r="L296" s="45">
        <f>Pressure!Q296</f>
        <v>0.65835880893625054</v>
      </c>
      <c r="M296" s="10">
        <f t="shared" ref="M296:M359" si="40">(J296+J295)/2*(L296-L295)</f>
        <v>4.3070331246597835</v>
      </c>
      <c r="N296" s="10">
        <f t="shared" si="39"/>
        <v>2.9545467240956045</v>
      </c>
    </row>
    <row r="297" spans="3:14">
      <c r="C297" s="4">
        <f>Pressure!AB297*1000000</f>
        <v>6269921.7681682566</v>
      </c>
      <c r="D297" s="84">
        <f>Pressure!I297</f>
        <v>2.214727558899525E-4</v>
      </c>
      <c r="E297" s="40">
        <f>Pressure!H297</f>
        <v>221.47275588995251</v>
      </c>
      <c r="F297" s="10">
        <f t="shared" si="34"/>
        <v>8</v>
      </c>
      <c r="G297" s="4">
        <f t="shared" si="33"/>
        <v>126330.67016023201</v>
      </c>
      <c r="H297" s="45">
        <f t="shared" si="35"/>
        <v>9.5395512366622022</v>
      </c>
      <c r="I297" s="10">
        <f t="shared" si="36"/>
        <v>1.3847770009250937</v>
      </c>
      <c r="J297" s="4">
        <f t="shared" si="37"/>
        <v>1922.9246814230542</v>
      </c>
      <c r="K297" s="4">
        <f t="shared" si="38"/>
        <v>432.29276593297385</v>
      </c>
      <c r="L297" s="45">
        <f>Pressure!Q297</f>
        <v>0.66059971308324006</v>
      </c>
      <c r="M297" s="10">
        <f t="shared" si="40"/>
        <v>4.3084626074761516</v>
      </c>
      <c r="N297" s="10">
        <f t="shared" si="39"/>
        <v>2.9545467240956045</v>
      </c>
    </row>
    <row r="298" spans="3:14">
      <c r="C298" s="4">
        <f>Pressure!AB298*1000000</f>
        <v>6271581.4663971635</v>
      </c>
      <c r="D298" s="84">
        <f>Pressure!I298</f>
        <v>2.214727558899525E-4</v>
      </c>
      <c r="E298" s="40">
        <f>Pressure!H298</f>
        <v>221.47275588995251</v>
      </c>
      <c r="F298" s="10">
        <f t="shared" si="34"/>
        <v>8</v>
      </c>
      <c r="G298" s="4">
        <f t="shared" si="33"/>
        <v>126364.11089478568</v>
      </c>
      <c r="H298" s="45">
        <f t="shared" si="35"/>
        <v>9.5415456962969518</v>
      </c>
      <c r="I298" s="10">
        <f t="shared" si="36"/>
        <v>1.3848111046095428</v>
      </c>
      <c r="J298" s="4">
        <f t="shared" si="37"/>
        <v>1923.4810643881301</v>
      </c>
      <c r="K298" s="4">
        <f t="shared" si="38"/>
        <v>432.41784640711529</v>
      </c>
      <c r="L298" s="45">
        <f>Pressure!Q298</f>
        <v>0.66284070564195796</v>
      </c>
      <c r="M298" s="10">
        <f t="shared" si="40"/>
        <v>4.3098833270863235</v>
      </c>
      <c r="N298" s="10">
        <f t="shared" si="39"/>
        <v>2.9545467240956045</v>
      </c>
    </row>
    <row r="299" spans="3:14">
      <c r="C299" s="4">
        <f>Pressure!AB299*1000000</f>
        <v>6273230.8229445424</v>
      </c>
      <c r="D299" s="84">
        <f>Pressure!I299</f>
        <v>2.214727558899525E-4</v>
      </c>
      <c r="E299" s="40">
        <f>Pressure!H299</f>
        <v>221.47275588995251</v>
      </c>
      <c r="F299" s="10">
        <f t="shared" si="34"/>
        <v>8</v>
      </c>
      <c r="G299" s="4">
        <f t="shared" si="33"/>
        <v>126397.34325806992</v>
      </c>
      <c r="H299" s="45">
        <f t="shared" si="35"/>
        <v>9.5435276375020965</v>
      </c>
      <c r="I299" s="10">
        <f t="shared" si="36"/>
        <v>1.3848449779146446</v>
      </c>
      <c r="J299" s="4">
        <f t="shared" si="37"/>
        <v>1924.0339804968021</v>
      </c>
      <c r="K299" s="4">
        <f t="shared" si="38"/>
        <v>432.54214749714538</v>
      </c>
      <c r="L299" s="45">
        <f>Pressure!Q299</f>
        <v>0.66508178604496215</v>
      </c>
      <c r="M299" s="10">
        <f t="shared" si="40"/>
        <v>4.3112952836777074</v>
      </c>
      <c r="N299" s="10">
        <f t="shared" si="39"/>
        <v>2.9545467240956045</v>
      </c>
    </row>
    <row r="300" spans="3:14">
      <c r="C300" s="4">
        <f>Pressure!AB300*1000000</f>
        <v>6274869.8393441634</v>
      </c>
      <c r="D300" s="84">
        <f>Pressure!I300</f>
        <v>2.214727558899525E-4</v>
      </c>
      <c r="E300" s="40">
        <f>Pressure!H300</f>
        <v>221.47275588995251</v>
      </c>
      <c r="F300" s="10">
        <f t="shared" si="34"/>
        <v>8</v>
      </c>
      <c r="G300" s="4">
        <f t="shared" si="33"/>
        <v>126430.3672809882</v>
      </c>
      <c r="H300" s="45">
        <f t="shared" si="35"/>
        <v>9.545497063852725</v>
      </c>
      <c r="I300" s="10">
        <f t="shared" si="36"/>
        <v>1.3848786212210213</v>
      </c>
      <c r="J300" s="4">
        <f t="shared" si="37"/>
        <v>1924.5834302632391</v>
      </c>
      <c r="K300" s="4">
        <f t="shared" si="38"/>
        <v>432.66566931865452</v>
      </c>
      <c r="L300" s="45">
        <f>Pressure!Q300</f>
        <v>0.66732295372527239</v>
      </c>
      <c r="M300" s="10">
        <f t="shared" si="40"/>
        <v>4.3126984774373431</v>
      </c>
      <c r="N300" s="10">
        <f t="shared" si="39"/>
        <v>2.9545467240956045</v>
      </c>
    </row>
    <row r="301" spans="3:14">
      <c r="C301" s="4">
        <f>Pressure!AB301*1000000</f>
        <v>6276498.5171198165</v>
      </c>
      <c r="D301" s="84">
        <f>Pressure!I301</f>
        <v>2.214727558899525E-4</v>
      </c>
      <c r="E301" s="40">
        <f>Pressure!H301</f>
        <v>221.47275588995251</v>
      </c>
      <c r="F301" s="10">
        <f t="shared" si="34"/>
        <v>8</v>
      </c>
      <c r="G301" s="4">
        <f t="shared" si="33"/>
        <v>126463.18299424284</v>
      </c>
      <c r="H301" s="45">
        <f t="shared" si="35"/>
        <v>9.5474539788997905</v>
      </c>
      <c r="I301" s="10">
        <f t="shared" si="36"/>
        <v>1.3849120349063848</v>
      </c>
      <c r="J301" s="4">
        <f t="shared" si="37"/>
        <v>1925.1294141982628</v>
      </c>
      <c r="K301" s="4">
        <f t="shared" si="38"/>
        <v>432.78841198648058</v>
      </c>
      <c r="L301" s="45">
        <f>Pressure!Q301</f>
        <v>0.66956420811636685</v>
      </c>
      <c r="M301" s="10">
        <f t="shared" si="40"/>
        <v>4.3140929085510438</v>
      </c>
      <c r="N301" s="10">
        <f t="shared" si="39"/>
        <v>2.9545467240956045</v>
      </c>
    </row>
    <row r="302" spans="3:14">
      <c r="C302" s="4">
        <f>Pressure!AB302*1000000</f>
        <v>6278116.8577848524</v>
      </c>
      <c r="D302" s="84">
        <f>Pressure!I302</f>
        <v>2.214727558899525E-4</v>
      </c>
      <c r="E302" s="40">
        <f>Pressure!H302</f>
        <v>221.47275588995251</v>
      </c>
      <c r="F302" s="10">
        <f t="shared" si="34"/>
        <v>8</v>
      </c>
      <c r="G302" s="4">
        <f t="shared" si="33"/>
        <v>126495.79042832591</v>
      </c>
      <c r="H302" s="45">
        <f t="shared" si="35"/>
        <v>9.5493983861696456</v>
      </c>
      <c r="I302" s="10">
        <f t="shared" si="36"/>
        <v>1.3849452193455389</v>
      </c>
      <c r="J302" s="4">
        <f t="shared" si="37"/>
        <v>1925.6719328091963</v>
      </c>
      <c r="K302" s="4">
        <f t="shared" si="38"/>
        <v>432.91037561467476</v>
      </c>
      <c r="L302" s="45">
        <f>Pressure!Q302</f>
        <v>0.67180554865217879</v>
      </c>
      <c r="M302" s="10">
        <f t="shared" si="40"/>
        <v>4.3154785772035025</v>
      </c>
      <c r="N302" s="10">
        <f t="shared" si="39"/>
        <v>2.9545467240956045</v>
      </c>
    </row>
    <row r="303" spans="3:14">
      <c r="C303" s="4">
        <f>Pressure!AB303*1000000</f>
        <v>6279724.8628432238</v>
      </c>
      <c r="D303" s="84">
        <f>Pressure!I303</f>
        <v>2.214727558899525E-4</v>
      </c>
      <c r="E303" s="40">
        <f>Pressure!H303</f>
        <v>221.47275588995251</v>
      </c>
      <c r="F303" s="10">
        <f t="shared" si="34"/>
        <v>8</v>
      </c>
      <c r="G303" s="4">
        <f t="shared" si="33"/>
        <v>126528.18961354006</v>
      </c>
      <c r="H303" s="45">
        <f t="shared" si="35"/>
        <v>9.5513302891652678</v>
      </c>
      <c r="I303" s="10">
        <f t="shared" si="36"/>
        <v>1.3849781749104106</v>
      </c>
      <c r="J303" s="4">
        <f t="shared" si="37"/>
        <v>1926.2109866002115</v>
      </c>
      <c r="K303" s="4">
        <f t="shared" si="38"/>
        <v>433.03156031658011</v>
      </c>
      <c r="L303" s="45">
        <f>Pressure!Q303</f>
        <v>0.6740469747670933</v>
      </c>
      <c r="M303" s="10">
        <f t="shared" si="40"/>
        <v>4.316855483578701</v>
      </c>
      <c r="N303" s="10">
        <f t="shared" si="39"/>
        <v>2.9545467240956045</v>
      </c>
    </row>
    <row r="304" spans="3:14">
      <c r="C304" s="4">
        <f>Pressure!AB304*1000000</f>
        <v>6281322.533788342</v>
      </c>
      <c r="D304" s="84">
        <f>Pressure!I304</f>
        <v>2.214727558899525E-4</v>
      </c>
      <c r="E304" s="40">
        <f>Pressure!H304</f>
        <v>221.47275588995251</v>
      </c>
      <c r="F304" s="10">
        <f t="shared" si="34"/>
        <v>8</v>
      </c>
      <c r="G304" s="4">
        <f t="shared" si="33"/>
        <v>126560.38057997556</v>
      </c>
      <c r="H304" s="45">
        <f t="shared" si="35"/>
        <v>9.5532496913649254</v>
      </c>
      <c r="I304" s="10">
        <f t="shared" si="36"/>
        <v>1.3850109019700376</v>
      </c>
      <c r="J304" s="4">
        <f t="shared" si="37"/>
        <v>1926.7465760719472</v>
      </c>
      <c r="K304" s="4">
        <f t="shared" si="38"/>
        <v>433.15196620474512</v>
      </c>
      <c r="L304" s="45">
        <f>Pressure!Q304</f>
        <v>0.67628848589594426</v>
      </c>
      <c r="M304" s="10">
        <f t="shared" si="40"/>
        <v>4.3182236278600561</v>
      </c>
      <c r="N304" s="10">
        <f t="shared" si="39"/>
        <v>2.9545467240956045</v>
      </c>
    </row>
    <row r="305" spans="3:14">
      <c r="C305" s="4">
        <f>Pressure!AB305*1000000</f>
        <v>6282909.8721041856</v>
      </c>
      <c r="D305" s="84">
        <f>Pressure!I305</f>
        <v>2.214727558899525E-4</v>
      </c>
      <c r="E305" s="40">
        <f>Pressure!H305</f>
        <v>221.47275588995251</v>
      </c>
      <c r="F305" s="10">
        <f t="shared" si="34"/>
        <v>8</v>
      </c>
      <c r="G305" s="4">
        <f t="shared" si="33"/>
        <v>126592.36335753262</v>
      </c>
      <c r="H305" s="45">
        <f t="shared" si="35"/>
        <v>9.5551565962235454</v>
      </c>
      <c r="I305" s="10">
        <f t="shared" si="36"/>
        <v>1.3850434008906019</v>
      </c>
      <c r="J305" s="4">
        <f t="shared" si="37"/>
        <v>1927.2787017218784</v>
      </c>
      <c r="K305" s="4">
        <f t="shared" si="38"/>
        <v>433.27159339100723</v>
      </c>
      <c r="L305" s="45">
        <f>Pressure!Q305</f>
        <v>0.67853008147401084</v>
      </c>
      <c r="M305" s="10">
        <f t="shared" si="40"/>
        <v>4.3195830102297306</v>
      </c>
      <c r="N305" s="10">
        <f t="shared" si="39"/>
        <v>2.9545467240956045</v>
      </c>
    </row>
    <row r="306" spans="3:14">
      <c r="C306" s="4">
        <f>Pressure!AB306*1000000</f>
        <v>6284486.8792643044</v>
      </c>
      <c r="D306" s="84">
        <f>Pressure!I306</f>
        <v>2.214727558899525E-4</v>
      </c>
      <c r="E306" s="40">
        <f>Pressure!H306</f>
        <v>221.47275588995251</v>
      </c>
      <c r="F306" s="10">
        <f t="shared" si="34"/>
        <v>8</v>
      </c>
      <c r="G306" s="4">
        <f t="shared" si="33"/>
        <v>126624.13797590135</v>
      </c>
      <c r="H306" s="45">
        <f t="shared" si="35"/>
        <v>9.5570510071715287</v>
      </c>
      <c r="I306" s="10">
        <f t="shared" si="36"/>
        <v>1.3850756720354194</v>
      </c>
      <c r="J306" s="4">
        <f t="shared" si="37"/>
        <v>1927.8073640439866</v>
      </c>
      <c r="K306" s="4">
        <f t="shared" si="38"/>
        <v>433.39044198641847</v>
      </c>
      <c r="L306" s="45">
        <f>Pressure!Q306</f>
        <v>0.6807717609370143</v>
      </c>
      <c r="M306" s="10">
        <f t="shared" si="40"/>
        <v>4.3209336308690833</v>
      </c>
      <c r="N306" s="10">
        <f t="shared" si="39"/>
        <v>2.9545467240956045</v>
      </c>
    </row>
    <row r="307" spans="3:14">
      <c r="C307" s="4">
        <f>Pressure!AB307*1000000</f>
        <v>6286053.5567322569</v>
      </c>
      <c r="D307" s="84">
        <f>Pressure!I307</f>
        <v>2.214727558899525E-4</v>
      </c>
      <c r="E307" s="40">
        <f>Pressure!H307</f>
        <v>221.47275588995251</v>
      </c>
      <c r="F307" s="10">
        <f t="shared" si="34"/>
        <v>8</v>
      </c>
      <c r="G307" s="4">
        <f t="shared" si="33"/>
        <v>126655.7044645705</v>
      </c>
      <c r="H307" s="45">
        <f t="shared" si="35"/>
        <v>9.5589329276153361</v>
      </c>
      <c r="I307" s="10">
        <f t="shared" si="36"/>
        <v>1.3851077157649596</v>
      </c>
      <c r="J307" s="4">
        <f t="shared" si="37"/>
        <v>1928.3325635289018</v>
      </c>
      <c r="K307" s="4">
        <f t="shared" si="38"/>
        <v>433.50851210127735</v>
      </c>
      <c r="L307" s="45">
        <f>Pressure!Q307</f>
        <v>0.68301352372111479</v>
      </c>
      <c r="M307" s="10">
        <f t="shared" si="40"/>
        <v>4.3222754899584244</v>
      </c>
      <c r="N307" s="10">
        <f t="shared" si="39"/>
        <v>2.9545467240956045</v>
      </c>
    </row>
    <row r="308" spans="3:14">
      <c r="C308" s="4">
        <f>Pressure!AB308*1000000</f>
        <v>6287609.9059619317</v>
      </c>
      <c r="D308" s="84">
        <f>Pressure!I308</f>
        <v>2.214727558899525E-4</v>
      </c>
      <c r="E308" s="40">
        <f>Pressure!H308</f>
        <v>221.47275588995251</v>
      </c>
      <c r="F308" s="10">
        <f t="shared" si="34"/>
        <v>8</v>
      </c>
      <c r="G308" s="4">
        <f t="shared" si="33"/>
        <v>126687.06285283403</v>
      </c>
      <c r="H308" s="45">
        <f t="shared" si="35"/>
        <v>9.5608023609378421</v>
      </c>
      <c r="I308" s="10">
        <f t="shared" si="36"/>
        <v>1.3851395324368623</v>
      </c>
      <c r="J308" s="4">
        <f t="shared" si="37"/>
        <v>1928.8543006640134</v>
      </c>
      <c r="K308" s="4">
        <f t="shared" si="38"/>
        <v>433.62580384515388</v>
      </c>
      <c r="L308" s="45">
        <f>Pressure!Q308</f>
        <v>0.68525536926290831</v>
      </c>
      <c r="M308" s="10">
        <f t="shared" si="40"/>
        <v>4.3236085876777048</v>
      </c>
      <c r="N308" s="10">
        <f t="shared" si="39"/>
        <v>2.9545467240956045</v>
      </c>
    </row>
    <row r="309" spans="3:14">
      <c r="C309" s="4">
        <f>Pressure!AB309*1000000</f>
        <v>6289155.9283970799</v>
      </c>
      <c r="D309" s="84">
        <f>Pressure!I309</f>
        <v>2.214727558899525E-4</v>
      </c>
      <c r="E309" s="40">
        <f>Pressure!H309</f>
        <v>221.47275588995251</v>
      </c>
      <c r="F309" s="10">
        <f t="shared" si="34"/>
        <v>8</v>
      </c>
      <c r="G309" s="4">
        <f t="shared" si="33"/>
        <v>126718.21316978162</v>
      </c>
      <c r="H309" s="45">
        <f t="shared" si="35"/>
        <v>9.5626593104978497</v>
      </c>
      <c r="I309" s="10">
        <f t="shared" si="36"/>
        <v>1.385171122405938</v>
      </c>
      <c r="J309" s="4">
        <f t="shared" si="37"/>
        <v>1929.3725759333122</v>
      </c>
      <c r="K309" s="4">
        <f t="shared" si="38"/>
        <v>433.74231732685405</v>
      </c>
      <c r="L309" s="45">
        <f>Pressure!Q309</f>
        <v>0.6874972969994233</v>
      </c>
      <c r="M309" s="10">
        <f t="shared" si="40"/>
        <v>4.3249329242055765</v>
      </c>
      <c r="N309" s="10">
        <f t="shared" si="39"/>
        <v>2.9545467240956045</v>
      </c>
    </row>
    <row r="310" spans="3:14">
      <c r="C310" s="4">
        <f>Pressure!AB310*1000000</f>
        <v>6290691.6254717102</v>
      </c>
      <c r="D310" s="84">
        <f>Pressure!I310</f>
        <v>2.214727558899525E-4</v>
      </c>
      <c r="E310" s="40">
        <f>Pressure!H310</f>
        <v>221.47275588995251</v>
      </c>
      <c r="F310" s="10">
        <f t="shared" si="34"/>
        <v>8</v>
      </c>
      <c r="G310" s="4">
        <f t="shared" si="33"/>
        <v>126749.15544430666</v>
      </c>
      <c r="H310" s="45">
        <f t="shared" si="35"/>
        <v>9.5645037796305434</v>
      </c>
      <c r="I310" s="10">
        <f t="shared" si="36"/>
        <v>1.3852024860241867</v>
      </c>
      <c r="J310" s="4">
        <f t="shared" si="37"/>
        <v>1929.8873898175227</v>
      </c>
      <c r="K310" s="4">
        <f t="shared" si="38"/>
        <v>433.85805265444958</v>
      </c>
      <c r="L310" s="45">
        <f>Pressure!Q310</f>
        <v>0.68973930636811742</v>
      </c>
      <c r="M310" s="10">
        <f t="shared" si="40"/>
        <v>4.3262484997197603</v>
      </c>
      <c r="N310" s="10">
        <f t="shared" si="39"/>
        <v>2.9545467240956045</v>
      </c>
    </row>
    <row r="311" spans="3:14">
      <c r="C311" s="4">
        <f>Pressure!AB311*1000000</f>
        <v>6292216.9986098213</v>
      </c>
      <c r="D311" s="84">
        <f>Pressure!I311</f>
        <v>2.214727558899525E-4</v>
      </c>
      <c r="E311" s="40">
        <f>Pressure!H311</f>
        <v>221.47275588995251</v>
      </c>
      <c r="F311" s="10">
        <f t="shared" si="34"/>
        <v>8</v>
      </c>
      <c r="G311" s="4">
        <f t="shared" si="33"/>
        <v>126779.88970510084</v>
      </c>
      <c r="H311" s="45">
        <f t="shared" si="35"/>
        <v>9.5663357716472444</v>
      </c>
      <c r="I311" s="10">
        <f t="shared" si="36"/>
        <v>1.3852336236408014</v>
      </c>
      <c r="J311" s="4">
        <f t="shared" si="37"/>
        <v>1930.398742794014</v>
      </c>
      <c r="K311" s="4">
        <f t="shared" si="38"/>
        <v>433.97300993525783</v>
      </c>
      <c r="L311" s="45">
        <f>Pressure!Q311</f>
        <v>0.69198139680687443</v>
      </c>
      <c r="M311" s="10">
        <f t="shared" si="40"/>
        <v>4.3275553143972916</v>
      </c>
      <c r="N311" s="10">
        <f t="shared" si="39"/>
        <v>2.9545467240956045</v>
      </c>
    </row>
    <row r="312" spans="3:14">
      <c r="C312" s="4">
        <f>Pressure!AB312*1000000</f>
        <v>6293732.0492251953</v>
      </c>
      <c r="D312" s="84">
        <f>Pressure!I312</f>
        <v>2.214727558899525E-4</v>
      </c>
      <c r="E312" s="40">
        <f>Pressure!H312</f>
        <v>221.47275588995251</v>
      </c>
      <c r="F312" s="10">
        <f t="shared" si="34"/>
        <v>8</v>
      </c>
      <c r="G312" s="4">
        <f t="shared" si="33"/>
        <v>126810.41598065001</v>
      </c>
      <c r="H312" s="45">
        <f t="shared" si="35"/>
        <v>9.5681552898351594</v>
      </c>
      <c r="I312" s="10">
        <f t="shared" si="36"/>
        <v>1.3852645356021751</v>
      </c>
      <c r="J312" s="4">
        <f t="shared" si="37"/>
        <v>1930.9066353367307</v>
      </c>
      <c r="K312" s="4">
        <f t="shared" si="38"/>
        <v>434.08718927582635</v>
      </c>
      <c r="L312" s="45">
        <f>Pressure!Q312</f>
        <v>0.69422356775400107</v>
      </c>
      <c r="M312" s="10">
        <f t="shared" si="40"/>
        <v>4.3288533684143049</v>
      </c>
      <c r="N312" s="10">
        <f t="shared" si="39"/>
        <v>2.9545467240956045</v>
      </c>
    </row>
    <row r="313" spans="3:14">
      <c r="C313" s="4">
        <f>Pressure!AB313*1000000</f>
        <v>6295236.7787223328</v>
      </c>
      <c r="D313" s="84">
        <f>Pressure!I313</f>
        <v>2.214727558899525E-4</v>
      </c>
      <c r="E313" s="40">
        <f>Pressure!H313</f>
        <v>221.47275588995251</v>
      </c>
      <c r="F313" s="10">
        <f t="shared" si="34"/>
        <v>8</v>
      </c>
      <c r="G313" s="4">
        <f t="shared" si="33"/>
        <v>126840.73429925302</v>
      </c>
      <c r="H313" s="45">
        <f t="shared" si="35"/>
        <v>9.5699623374585041</v>
      </c>
      <c r="I313" s="10">
        <f t="shared" si="36"/>
        <v>1.3852952222519286</v>
      </c>
      <c r="J313" s="4">
        <f t="shared" si="37"/>
        <v>1931.4110679165049</v>
      </c>
      <c r="K313" s="4">
        <f t="shared" si="38"/>
        <v>434.20059078200279</v>
      </c>
      <c r="L313" s="45">
        <f>Pressure!Q313</f>
        <v>0.69646581864822354</v>
      </c>
      <c r="M313" s="10">
        <f t="shared" si="40"/>
        <v>4.3301426619454322</v>
      </c>
      <c r="N313" s="10">
        <f t="shared" si="39"/>
        <v>2.9545467240956045</v>
      </c>
    </row>
    <row r="314" spans="3:14">
      <c r="C314" s="4">
        <f>Pressure!AB314*1000000</f>
        <v>6296731.1884955838</v>
      </c>
      <c r="D314" s="84">
        <f>Pressure!I314</f>
        <v>2.214727558899525E-4</v>
      </c>
      <c r="E314" s="40">
        <f>Pressure!H314</f>
        <v>221.47275588995251</v>
      </c>
      <c r="F314" s="10">
        <f t="shared" si="34"/>
        <v>8</v>
      </c>
      <c r="G314" s="4">
        <f t="shared" si="33"/>
        <v>126870.84468900418</v>
      </c>
      <c r="H314" s="45">
        <f t="shared" si="35"/>
        <v>9.5717569177575363</v>
      </c>
      <c r="I314" s="10">
        <f t="shared" si="36"/>
        <v>1.3853256839309025</v>
      </c>
      <c r="J314" s="4">
        <f t="shared" si="37"/>
        <v>1931.9120410007665</v>
      </c>
      <c r="K314" s="4">
        <f t="shared" si="38"/>
        <v>434.31321455887024</v>
      </c>
      <c r="L314" s="45">
        <f>Pressure!Q314</f>
        <v>0.69870814892868494</v>
      </c>
      <c r="M314" s="10">
        <f t="shared" si="40"/>
        <v>4.3314231951657192</v>
      </c>
      <c r="N314" s="10">
        <f t="shared" si="39"/>
        <v>2.9545467240956045</v>
      </c>
    </row>
    <row r="315" spans="3:14">
      <c r="C315" s="4">
        <f>Pressure!AB315*1000000</f>
        <v>6298215.2799293725</v>
      </c>
      <c r="D315" s="84">
        <f>Pressure!I315</f>
        <v>2.214727558899525E-4</v>
      </c>
      <c r="E315" s="40">
        <f>Pressure!H315</f>
        <v>221.47275588995251</v>
      </c>
      <c r="F315" s="10">
        <f t="shared" si="34"/>
        <v>8</v>
      </c>
      <c r="G315" s="4">
        <f t="shared" si="33"/>
        <v>126900.74717779781</v>
      </c>
      <c r="H315" s="45">
        <f t="shared" si="35"/>
        <v>9.5735390339488013</v>
      </c>
      <c r="I315" s="10">
        <f t="shared" si="36"/>
        <v>1.3853559209771729</v>
      </c>
      <c r="J315" s="4">
        <f t="shared" si="37"/>
        <v>1932.4095550536185</v>
      </c>
      <c r="K315" s="4">
        <f t="shared" si="38"/>
        <v>434.4250607107636</v>
      </c>
      <c r="L315" s="45">
        <f>Pressure!Q315</f>
        <v>0.70095055803494144</v>
      </c>
      <c r="M315" s="10">
        <f t="shared" si="40"/>
        <v>4.3326949682480107</v>
      </c>
      <c r="N315" s="10">
        <f t="shared" si="39"/>
        <v>2.9545467240956045</v>
      </c>
    </row>
    <row r="316" spans="3:14">
      <c r="C316" s="4">
        <f>Pressure!AB316*1000000</f>
        <v>6299689.0543984221</v>
      </c>
      <c r="D316" s="84">
        <f>Pressure!I316</f>
        <v>2.214727558899525E-4</v>
      </c>
      <c r="E316" s="40">
        <f>Pressure!H316</f>
        <v>221.47275588995251</v>
      </c>
      <c r="F316" s="10">
        <f t="shared" si="34"/>
        <v>8</v>
      </c>
      <c r="G316" s="4">
        <f t="shared" si="33"/>
        <v>126930.44179333278</v>
      </c>
      <c r="H316" s="45">
        <f t="shared" si="35"/>
        <v>9.5753086892254569</v>
      </c>
      <c r="I316" s="10">
        <f t="shared" si="36"/>
        <v>1.3853859337260634</v>
      </c>
      <c r="J316" s="4">
        <f t="shared" si="37"/>
        <v>1932.9036105359112</v>
      </c>
      <c r="K316" s="4">
        <f t="shared" si="38"/>
        <v>434.53612934128665</v>
      </c>
      <c r="L316" s="45">
        <f>Pressure!Q316</f>
        <v>0.70319304540695948</v>
      </c>
      <c r="M316" s="10">
        <f t="shared" si="40"/>
        <v>4.3339579813648026</v>
      </c>
      <c r="N316" s="10">
        <f t="shared" si="39"/>
        <v>2.9545467240956045</v>
      </c>
    </row>
    <row r="317" spans="3:14">
      <c r="C317" s="4">
        <f>Pressure!AB317*1000000</f>
        <v>6301152.5132674258</v>
      </c>
      <c r="D317" s="84">
        <f>Pressure!I317</f>
        <v>2.214727558899525E-4</v>
      </c>
      <c r="E317" s="40">
        <f>Pressure!H317</f>
        <v>221.47275588995251</v>
      </c>
      <c r="F317" s="10">
        <f t="shared" si="34"/>
        <v>8</v>
      </c>
      <c r="G317" s="4">
        <f t="shared" si="33"/>
        <v>126959.92856310584</v>
      </c>
      <c r="H317" s="45">
        <f t="shared" si="35"/>
        <v>9.5770658867568805</v>
      </c>
      <c r="I317" s="10">
        <f t="shared" si="36"/>
        <v>1.3854157225101498</v>
      </c>
      <c r="J317" s="4">
        <f t="shared" si="37"/>
        <v>1933.3942079051324</v>
      </c>
      <c r="K317" s="4">
        <f t="shared" si="38"/>
        <v>434.64642055328727</v>
      </c>
      <c r="L317" s="45">
        <f>Pressure!Q317</f>
        <v>0.70543561048511272</v>
      </c>
      <c r="M317" s="10">
        <f t="shared" si="40"/>
        <v>4.3352122346879618</v>
      </c>
      <c r="N317" s="10">
        <f t="shared" si="39"/>
        <v>2.9545467240956045</v>
      </c>
    </row>
    <row r="318" spans="3:14">
      <c r="C318" s="4">
        <f>Pressure!AB318*1000000</f>
        <v>6302605.6578917056</v>
      </c>
      <c r="D318" s="84">
        <f>Pressure!I318</f>
        <v>2.214727558899525E-4</v>
      </c>
      <c r="E318" s="40">
        <f>Pressure!H318</f>
        <v>221.47275588995251</v>
      </c>
      <c r="F318" s="10">
        <f t="shared" si="34"/>
        <v>8</v>
      </c>
      <c r="G318" s="4">
        <f t="shared" si="33"/>
        <v>126989.20751442498</v>
      </c>
      <c r="H318" s="45">
        <f t="shared" si="35"/>
        <v>9.5788106296895119</v>
      </c>
      <c r="I318" s="10">
        <f t="shared" si="36"/>
        <v>1.3854452876592811</v>
      </c>
      <c r="J318" s="4">
        <f t="shared" si="37"/>
        <v>1933.8813476156288</v>
      </c>
      <c r="K318" s="4">
        <f t="shared" si="38"/>
        <v>434.75593444890717</v>
      </c>
      <c r="L318" s="45">
        <f>Pressure!Q318</f>
        <v>0.7076782527101787</v>
      </c>
      <c r="M318" s="10">
        <f t="shared" si="40"/>
        <v>4.336457728388182</v>
      </c>
      <c r="N318" s="10">
        <f t="shared" si="39"/>
        <v>2.9545467240956045</v>
      </c>
    </row>
    <row r="319" spans="3:14">
      <c r="C319" s="4">
        <f>Pressure!AB319*1000000</f>
        <v>6304048.4896162553</v>
      </c>
      <c r="D319" s="84">
        <f>Pressure!I319</f>
        <v>2.214727558899525E-4</v>
      </c>
      <c r="E319" s="40">
        <f>Pressure!H319</f>
        <v>221.47275588995251</v>
      </c>
      <c r="F319" s="10">
        <f t="shared" si="34"/>
        <v>8</v>
      </c>
      <c r="G319" s="4">
        <f t="shared" si="33"/>
        <v>127018.27867439004</v>
      </c>
      <c r="H319" s="45">
        <f t="shared" si="35"/>
        <v>9.5805429211456747</v>
      </c>
      <c r="I319" s="10">
        <f t="shared" si="36"/>
        <v>1.3854746295005707</v>
      </c>
      <c r="J319" s="4">
        <f t="shared" si="37"/>
        <v>1934.3650301182836</v>
      </c>
      <c r="K319" s="4">
        <f t="shared" si="38"/>
        <v>434.86467112950936</v>
      </c>
      <c r="L319" s="45">
        <f>Pressure!Q319</f>
        <v>0.70992097152333566</v>
      </c>
      <c r="M319" s="10">
        <f t="shared" si="40"/>
        <v>4.3376944626350609</v>
      </c>
      <c r="N319" s="10">
        <f t="shared" si="39"/>
        <v>2.9545467240956045</v>
      </c>
    </row>
    <row r="320" spans="3:14">
      <c r="C320" s="4">
        <f>Pressure!AB320*1000000</f>
        <v>6305481.0097766593</v>
      </c>
      <c r="D320" s="84">
        <f>Pressure!I320</f>
        <v>2.214727558899525E-4</v>
      </c>
      <c r="E320" s="40">
        <f>Pressure!H320</f>
        <v>221.47275588995251</v>
      </c>
      <c r="F320" s="10">
        <f t="shared" si="34"/>
        <v>8</v>
      </c>
      <c r="G320" s="4">
        <f t="shared" si="33"/>
        <v>127047.14206991128</v>
      </c>
      <c r="H320" s="45">
        <f t="shared" si="35"/>
        <v>9.5822627642247831</v>
      </c>
      <c r="I320" s="10">
        <f t="shared" si="36"/>
        <v>1.3855037483584238</v>
      </c>
      <c r="J320" s="4">
        <f t="shared" si="37"/>
        <v>1934.8452558608278</v>
      </c>
      <c r="K320" s="4">
        <f t="shared" si="38"/>
        <v>434.97263069574836</v>
      </c>
      <c r="L320" s="45">
        <f>Pressure!Q320</f>
        <v>0.71216376636615952</v>
      </c>
      <c r="M320" s="10">
        <f t="shared" si="40"/>
        <v>4.3389224375974891</v>
      </c>
      <c r="N320" s="10">
        <f t="shared" si="39"/>
        <v>2.9545467240956045</v>
      </c>
    </row>
    <row r="321" spans="3:14">
      <c r="C321" s="4">
        <f>Pressure!AB321*1000000</f>
        <v>6306903.2196985828</v>
      </c>
      <c r="D321" s="84">
        <f>Pressure!I321</f>
        <v>2.214727558899525E-4</v>
      </c>
      <c r="E321" s="40">
        <f>Pressure!H321</f>
        <v>221.47275588995251</v>
      </c>
      <c r="F321" s="10">
        <f t="shared" si="34"/>
        <v>8</v>
      </c>
      <c r="G321" s="4">
        <f t="shared" si="33"/>
        <v>127075.79772769912</v>
      </c>
      <c r="H321" s="45">
        <f t="shared" si="35"/>
        <v>9.5839701620026592</v>
      </c>
      <c r="I321" s="10">
        <f t="shared" si="36"/>
        <v>1.3855326445545364</v>
      </c>
      <c r="J321" s="4">
        <f t="shared" si="37"/>
        <v>1935.3220252876661</v>
      </c>
      <c r="K321" s="4">
        <f t="shared" si="38"/>
        <v>435.07981324753069</v>
      </c>
      <c r="L321" s="45">
        <f>Pressure!Q321</f>
        <v>0.71440663668062088</v>
      </c>
      <c r="M321" s="10">
        <f t="shared" si="40"/>
        <v>4.3401416534437827</v>
      </c>
      <c r="N321" s="10">
        <f t="shared" si="39"/>
        <v>2.9545467240956045</v>
      </c>
    </row>
    <row r="322" spans="3:14">
      <c r="C322" s="4">
        <f>Pressure!AB322*1000000</f>
        <v>6308315.1206979658</v>
      </c>
      <c r="D322" s="84">
        <f>Pressure!I322</f>
        <v>2.214727558899525E-4</v>
      </c>
      <c r="E322" s="40">
        <f>Pressure!H322</f>
        <v>221.47275588995251</v>
      </c>
      <c r="F322" s="10">
        <f t="shared" si="34"/>
        <v>8</v>
      </c>
      <c r="G322" s="4">
        <f t="shared" si="33"/>
        <v>127104.24567426801</v>
      </c>
      <c r="H322" s="45">
        <f t="shared" si="35"/>
        <v>9.585665117531871</v>
      </c>
      <c r="I322" s="10">
        <f t="shared" si="36"/>
        <v>1.385561318407907</v>
      </c>
      <c r="J322" s="4">
        <f t="shared" si="37"/>
        <v>1935.7953388399419</v>
      </c>
      <c r="K322" s="4">
        <f t="shared" si="38"/>
        <v>435.18621888402993</v>
      </c>
      <c r="L322" s="45">
        <f>Pressure!Q322</f>
        <v>0.71664958190908157</v>
      </c>
      <c r="M322" s="10">
        <f t="shared" si="40"/>
        <v>4.3413521103406731</v>
      </c>
      <c r="N322" s="10">
        <f t="shared" si="39"/>
        <v>2.9545467240956045</v>
      </c>
    </row>
    <row r="323" spans="3:14">
      <c r="C323" s="4">
        <f>Pressure!AB323*1000000</f>
        <v>6309716.7140809447</v>
      </c>
      <c r="D323" s="84">
        <f>Pressure!I323</f>
        <v>2.214727558899525E-4</v>
      </c>
      <c r="E323" s="40">
        <f>Pressure!H323</f>
        <v>221.47275588995251</v>
      </c>
      <c r="F323" s="10">
        <f t="shared" si="34"/>
        <v>8</v>
      </c>
      <c r="G323" s="4">
        <f t="shared" si="33"/>
        <v>127132.48593593488</v>
      </c>
      <c r="H323" s="45">
        <f t="shared" si="35"/>
        <v>9.5873476338415902</v>
      </c>
      <c r="I323" s="10">
        <f t="shared" si="36"/>
        <v>1.3855897702348463</v>
      </c>
      <c r="J323" s="4">
        <f t="shared" si="37"/>
        <v>1936.2651969555138</v>
      </c>
      <c r="K323" s="4">
        <f t="shared" si="38"/>
        <v>435.29184770368101</v>
      </c>
      <c r="L323" s="45">
        <f>Pressure!Q323</f>
        <v>0.71889260149429191</v>
      </c>
      <c r="M323" s="10">
        <f t="shared" si="40"/>
        <v>4.3425538084546194</v>
      </c>
      <c r="N323" s="10">
        <f t="shared" si="39"/>
        <v>2.9545467240956045</v>
      </c>
    </row>
    <row r="324" spans="3:14">
      <c r="C324" s="4">
        <f>Pressure!AB324*1000000</f>
        <v>6311108.0011441149</v>
      </c>
      <c r="D324" s="84">
        <f>Pressure!I324</f>
        <v>2.214727558899525E-4</v>
      </c>
      <c r="E324" s="40">
        <f>Pressure!H324</f>
        <v>221.47275588995251</v>
      </c>
      <c r="F324" s="10">
        <f t="shared" si="34"/>
        <v>8</v>
      </c>
      <c r="G324" s="4">
        <f t="shared" si="33"/>
        <v>127160.51853882441</v>
      </c>
      <c r="H324" s="45">
        <f t="shared" si="35"/>
        <v>9.589017713938004</v>
      </c>
      <c r="I324" s="10">
        <f t="shared" si="36"/>
        <v>1.3856180003489889</v>
      </c>
      <c r="J324" s="4">
        <f t="shared" si="37"/>
        <v>1936.7316000690416</v>
      </c>
      <c r="K324" s="4">
        <f t="shared" si="38"/>
        <v>435.39669980419984</v>
      </c>
      <c r="L324" s="45">
        <f>Pressure!Q324</f>
        <v>0.72113569487938733</v>
      </c>
      <c r="M324" s="10">
        <f t="shared" si="40"/>
        <v>4.3437467479507825</v>
      </c>
      <c r="N324" s="10">
        <f t="shared" si="39"/>
        <v>2.9545467240956045</v>
      </c>
    </row>
    <row r="325" spans="3:14">
      <c r="C325" s="4">
        <f>Pressure!AB325*1000000</f>
        <v>6312488.9831741601</v>
      </c>
      <c r="D325" s="84">
        <f>Pressure!I325</f>
        <v>2.214727558899525E-4</v>
      </c>
      <c r="E325" s="40">
        <f>Pressure!H325</f>
        <v>221.47275588995251</v>
      </c>
      <c r="F325" s="10">
        <f t="shared" si="34"/>
        <v>8</v>
      </c>
      <c r="G325" s="4">
        <f t="shared" si="33"/>
        <v>127188.34350886161</v>
      </c>
      <c r="H325" s="45">
        <f t="shared" si="35"/>
        <v>9.5906753608038162</v>
      </c>
      <c r="I325" s="10">
        <f t="shared" si="36"/>
        <v>1.3856460090612961</v>
      </c>
      <c r="J325" s="4">
        <f t="shared" si="37"/>
        <v>1937.1945486118609</v>
      </c>
      <c r="K325" s="4">
        <f t="shared" si="38"/>
        <v>435.50077528255497</v>
      </c>
      <c r="L325" s="45">
        <f>Pressure!Q325</f>
        <v>0.72337886150788555</v>
      </c>
      <c r="M325" s="10">
        <f t="shared" si="40"/>
        <v>4.3449309289938105</v>
      </c>
      <c r="N325" s="10">
        <f t="shared" si="39"/>
        <v>2.9545467240956045</v>
      </c>
    </row>
    <row r="326" spans="3:14">
      <c r="C326" s="4">
        <f>Pressure!AB326*1000000</f>
        <v>6313859.6614482161</v>
      </c>
      <c r="D326" s="84">
        <f>Pressure!I326</f>
        <v>2.214727558899525E-4</v>
      </c>
      <c r="E326" s="40">
        <f>Pressure!H326</f>
        <v>221.47275588995251</v>
      </c>
      <c r="F326" s="10">
        <f t="shared" si="34"/>
        <v>8</v>
      </c>
      <c r="G326" s="4">
        <f t="shared" si="33"/>
        <v>127215.96087177907</v>
      </c>
      <c r="H326" s="45">
        <f t="shared" si="35"/>
        <v>9.5923205773987554</v>
      </c>
      <c r="I326" s="10">
        <f t="shared" si="36"/>
        <v>1.3856737966800721</v>
      </c>
      <c r="J326" s="4">
        <f t="shared" si="37"/>
        <v>1937.654043012109</v>
      </c>
      <c r="K326" s="4">
        <f t="shared" si="38"/>
        <v>435.60407423499595</v>
      </c>
      <c r="L326" s="45">
        <f>Pressure!Q326</f>
        <v>0.72562210082368328</v>
      </c>
      <c r="M326" s="10">
        <f t="shared" si="40"/>
        <v>4.3461063517471743</v>
      </c>
      <c r="N326" s="10">
        <f t="shared" si="39"/>
        <v>2.9545467240956045</v>
      </c>
    </row>
    <row r="327" spans="3:14">
      <c r="C327" s="4">
        <f>Pressure!AB327*1000000</f>
        <v>6315220.0372334141</v>
      </c>
      <c r="D327" s="84">
        <f>Pressure!I327</f>
        <v>2.214727558899525E-4</v>
      </c>
      <c r="E327" s="40">
        <f>Pressure!H327</f>
        <v>221.47275588995251</v>
      </c>
      <c r="F327" s="10">
        <f t="shared" si="34"/>
        <v>8</v>
      </c>
      <c r="G327" s="4">
        <f t="shared" si="33"/>
        <v>127243.37065310782</v>
      </c>
      <c r="H327" s="45">
        <f t="shared" si="35"/>
        <v>9.5939533666590275</v>
      </c>
      <c r="I327" s="10">
        <f t="shared" si="36"/>
        <v>1.3857013635109616</v>
      </c>
      <c r="J327" s="4">
        <f t="shared" si="37"/>
        <v>1938.1100836945673</v>
      </c>
      <c r="K327" s="4">
        <f t="shared" si="38"/>
        <v>435.70659675701796</v>
      </c>
      <c r="L327" s="45">
        <f>Pressure!Q327</f>
        <v>0.72786541227105317</v>
      </c>
      <c r="M327" s="10">
        <f t="shared" si="40"/>
        <v>4.3472730163733244</v>
      </c>
      <c r="N327" s="10">
        <f t="shared" si="39"/>
        <v>2.9545467240956045</v>
      </c>
    </row>
    <row r="328" spans="3:14">
      <c r="C328" s="4">
        <f>Pressure!AB328*1000000</f>
        <v>6316570.1117877178</v>
      </c>
      <c r="D328" s="84">
        <f>Pressure!I328</f>
        <v>2.214727558899525E-4</v>
      </c>
      <c r="E328" s="40">
        <f>Pressure!H328</f>
        <v>221.47275588995251</v>
      </c>
      <c r="F328" s="10">
        <f t="shared" si="34"/>
        <v>8</v>
      </c>
      <c r="G328" s="4">
        <f t="shared" si="33"/>
        <v>127270.57287819416</v>
      </c>
      <c r="H328" s="45">
        <f t="shared" si="35"/>
        <v>9.5955737314983551</v>
      </c>
      <c r="I328" s="10">
        <f t="shared" si="36"/>
        <v>1.3857287098569777</v>
      </c>
      <c r="J328" s="4">
        <f t="shared" si="37"/>
        <v>1938.5626710809452</v>
      </c>
      <c r="K328" s="4">
        <f t="shared" si="38"/>
        <v>435.80834294342549</v>
      </c>
      <c r="L328" s="45">
        <f>Pressure!Q328</f>
        <v>0.73010879529464079</v>
      </c>
      <c r="M328" s="10">
        <f t="shared" si="40"/>
        <v>4.3484309230340177</v>
      </c>
      <c r="N328" s="10">
        <f t="shared" si="39"/>
        <v>2.9545467240956045</v>
      </c>
    </row>
    <row r="329" spans="3:14">
      <c r="C329" s="4">
        <f>Pressure!AB329*1000000</f>
        <v>6317909.8863591403</v>
      </c>
      <c r="D329" s="84">
        <f>Pressure!I329</f>
        <v>2.214727558899525E-4</v>
      </c>
      <c r="E329" s="40">
        <f>Pressure!H329</f>
        <v>221.47275588995251</v>
      </c>
      <c r="F329" s="10">
        <f t="shared" si="34"/>
        <v>8</v>
      </c>
      <c r="G329" s="4">
        <f t="shared" si="33"/>
        <v>127297.56757218391</v>
      </c>
      <c r="H329" s="45">
        <f t="shared" si="35"/>
        <v>9.597181674807052</v>
      </c>
      <c r="I329" s="10">
        <f t="shared" si="36"/>
        <v>1.3857558360184925</v>
      </c>
      <c r="J329" s="4">
        <f t="shared" si="37"/>
        <v>1939.0118055896155</v>
      </c>
      <c r="K329" s="4">
        <f t="shared" si="38"/>
        <v>435.90931288827289</v>
      </c>
      <c r="L329" s="45">
        <f>Pressure!Q329</f>
        <v>0.73235224933946164</v>
      </c>
      <c r="M329" s="10">
        <f t="shared" si="40"/>
        <v>4.3495800718903244</v>
      </c>
      <c r="N329" s="10">
        <f t="shared" si="39"/>
        <v>2.9545467240956045</v>
      </c>
    </row>
    <row r="330" spans="3:14">
      <c r="C330" s="4">
        <f>Pressure!AB330*1000000</f>
        <v>6319239.3621860296</v>
      </c>
      <c r="D330" s="84">
        <f>Pressure!I330</f>
        <v>2.214727558899525E-4</v>
      </c>
      <c r="E330" s="40">
        <f>Pressure!H330</f>
        <v>221.47275588995251</v>
      </c>
      <c r="F330" s="10">
        <f t="shared" si="34"/>
        <v>8</v>
      </c>
      <c r="G330" s="4">
        <f t="shared" si="33"/>
        <v>127324.35476002817</v>
      </c>
      <c r="H330" s="45">
        <f t="shared" si="35"/>
        <v>9.5987771994523854</v>
      </c>
      <c r="I330" s="10">
        <f t="shared" si="36"/>
        <v>1.385782742293252</v>
      </c>
      <c r="J330" s="4">
        <f t="shared" si="37"/>
        <v>1939.4574876357115</v>
      </c>
      <c r="K330" s="4">
        <f t="shared" si="38"/>
        <v>436.00950668488633</v>
      </c>
      <c r="L330" s="45">
        <f>Pressure!Q330</f>
        <v>0.73459577385089792</v>
      </c>
      <c r="M330" s="10">
        <f t="shared" si="40"/>
        <v>4.3507204631019807</v>
      </c>
      <c r="N330" s="10">
        <f t="shared" si="39"/>
        <v>2.9545467240956045</v>
      </c>
    </row>
    <row r="331" spans="3:14">
      <c r="C331" s="4">
        <f>Pressure!AB331*1000000</f>
        <v>6320558.5404970646</v>
      </c>
      <c r="D331" s="84">
        <f>Pressure!I331</f>
        <v>2.214727558899525E-4</v>
      </c>
      <c r="E331" s="40">
        <f>Pressure!H331</f>
        <v>221.47275588995251</v>
      </c>
      <c r="F331" s="10">
        <f t="shared" si="34"/>
        <v>8</v>
      </c>
      <c r="G331" s="4">
        <f t="shared" si="33"/>
        <v>127350.9344664832</v>
      </c>
      <c r="H331" s="45">
        <f t="shared" si="35"/>
        <v>9.6003603082785798</v>
      </c>
      <c r="I331" s="10">
        <f t="shared" si="36"/>
        <v>1.3858094289763845</v>
      </c>
      <c r="J331" s="4">
        <f t="shared" si="37"/>
        <v>1939.8997176311248</v>
      </c>
      <c r="K331" s="4">
        <f t="shared" si="38"/>
        <v>436.10892442586322</v>
      </c>
      <c r="L331" s="45">
        <f>Pressure!Q331</f>
        <v>0.73683936827469565</v>
      </c>
      <c r="M331" s="10">
        <f t="shared" si="40"/>
        <v>4.351852096828118</v>
      </c>
      <c r="N331" s="10">
        <f t="shared" si="39"/>
        <v>2.9545467240956045</v>
      </c>
    </row>
    <row r="332" spans="3:14">
      <c r="C332" s="4">
        <f>Pressure!AB332*1000000</f>
        <v>6321867.4225113075</v>
      </c>
      <c r="D332" s="84">
        <f>Pressure!I332</f>
        <v>2.214727558899525E-4</v>
      </c>
      <c r="E332" s="40">
        <f>Pressure!H332</f>
        <v>221.47275588995251</v>
      </c>
      <c r="F332" s="10">
        <f t="shared" si="34"/>
        <v>8</v>
      </c>
      <c r="G332" s="4">
        <f t="shared" si="33"/>
        <v>127377.30671611149</v>
      </c>
      <c r="H332" s="45">
        <f t="shared" si="35"/>
        <v>9.6019310041069392</v>
      </c>
      <c r="I332" s="10">
        <f t="shared" si="36"/>
        <v>1.3858358963604098</v>
      </c>
      <c r="J332" s="4">
        <f t="shared" si="37"/>
        <v>1940.3384959845239</v>
      </c>
      <c r="K332" s="4">
        <f t="shared" si="38"/>
        <v>436.20756620307628</v>
      </c>
      <c r="L332" s="45">
        <f>Pressure!Q332</f>
        <v>0.73908303205696158</v>
      </c>
      <c r="M332" s="10">
        <f t="shared" si="40"/>
        <v>4.3529749732268321</v>
      </c>
      <c r="N332" s="10">
        <f t="shared" si="39"/>
        <v>2.9545467240956045</v>
      </c>
    </row>
    <row r="333" spans="3:14">
      <c r="C333" s="4">
        <f>Pressure!AB333*1000000</f>
        <v>6323166.0094383825</v>
      </c>
      <c r="D333" s="84">
        <f>Pressure!I333</f>
        <v>2.214727558899525E-4</v>
      </c>
      <c r="E333" s="40">
        <f>Pressure!H333</f>
        <v>221.47275588995251</v>
      </c>
      <c r="F333" s="10">
        <f t="shared" si="34"/>
        <v>8</v>
      </c>
      <c r="G333" s="4">
        <f t="shared" si="33"/>
        <v>127403.47153328538</v>
      </c>
      <c r="H333" s="45">
        <f t="shared" si="35"/>
        <v>9.6034892897360145</v>
      </c>
      <c r="I333" s="10">
        <f t="shared" si="36"/>
        <v>1.3858621447352502</v>
      </c>
      <c r="J333" s="4">
        <f t="shared" si="37"/>
        <v>1940.7738231014118</v>
      </c>
      <c r="K333" s="4">
        <f t="shared" si="38"/>
        <v>436.30543210768667</v>
      </c>
      <c r="L333" s="45">
        <f>Pressure!Q333</f>
        <v>0.74132676464416003</v>
      </c>
      <c r="M333" s="10">
        <f t="shared" si="40"/>
        <v>4.3540890924552409</v>
      </c>
      <c r="N333" s="10">
        <f t="shared" si="39"/>
        <v>2.9545467240956045</v>
      </c>
    </row>
    <row r="334" spans="3:14">
      <c r="C334" s="4">
        <f>Pressure!AB334*1000000</f>
        <v>6324454.3024781765</v>
      </c>
      <c r="D334" s="84">
        <f>Pressure!I334</f>
        <v>2.214727558899525E-4</v>
      </c>
      <c r="E334" s="40">
        <f>Pressure!H334</f>
        <v>221.47275588995251</v>
      </c>
      <c r="F334" s="10">
        <f t="shared" si="34"/>
        <v>8</v>
      </c>
      <c r="G334" s="4">
        <f t="shared" si="33"/>
        <v>127429.42894218101</v>
      </c>
      <c r="H334" s="45">
        <f t="shared" si="35"/>
        <v>9.6050351679413577</v>
      </c>
      <c r="I334" s="10">
        <f t="shared" si="36"/>
        <v>1.3858881743882334</v>
      </c>
      <c r="J334" s="4">
        <f t="shared" si="37"/>
        <v>1941.2056993840292</v>
      </c>
      <c r="K334" s="4">
        <f t="shared" si="38"/>
        <v>436.40252223012214</v>
      </c>
      <c r="L334" s="45">
        <f>Pressure!Q334</f>
        <v>0.74357056548310996</v>
      </c>
      <c r="M334" s="10">
        <f t="shared" si="40"/>
        <v>4.3551944546696362</v>
      </c>
      <c r="N334" s="10">
        <f t="shared" si="39"/>
        <v>2.9545467240956045</v>
      </c>
    </row>
    <row r="335" spans="3:14">
      <c r="C335" s="4">
        <f>Pressure!AB335*1000000</f>
        <v>6325732.3028208977</v>
      </c>
      <c r="D335" s="84">
        <f>Pressure!I335</f>
        <v>2.214727558899525E-4</v>
      </c>
      <c r="E335" s="40">
        <f>Pressure!H335</f>
        <v>221.47275588995251</v>
      </c>
      <c r="F335" s="10">
        <f t="shared" si="34"/>
        <v>8</v>
      </c>
      <c r="G335" s="4">
        <f t="shared" si="33"/>
        <v>127455.17896677951</v>
      </c>
      <c r="H335" s="45">
        <f t="shared" si="35"/>
        <v>9.6065686414755209</v>
      </c>
      <c r="I335" s="10">
        <f t="shared" si="36"/>
        <v>1.3859139856041016</v>
      </c>
      <c r="J335" s="4">
        <f t="shared" si="37"/>
        <v>1941.6341252313712</v>
      </c>
      <c r="K335" s="4">
        <f t="shared" si="38"/>
        <v>436.49883666008077</v>
      </c>
      <c r="L335" s="45">
        <f>Pressure!Q335</f>
        <v>0.74581443402098213</v>
      </c>
      <c r="M335" s="10">
        <f t="shared" si="40"/>
        <v>4.3562910600258018</v>
      </c>
      <c r="N335" s="10">
        <f t="shared" si="39"/>
        <v>2.9545467240956045</v>
      </c>
    </row>
    <row r="336" spans="3:14">
      <c r="C336" s="4">
        <f>Pressure!AB336*1000000</f>
        <v>6327000.0116475495</v>
      </c>
      <c r="D336" s="84">
        <f>Pressure!I336</f>
        <v>2.214727558899525E-4</v>
      </c>
      <c r="E336" s="40">
        <f>Pressure!H336</f>
        <v>221.47275588995251</v>
      </c>
      <c r="F336" s="10">
        <f t="shared" si="34"/>
        <v>8</v>
      </c>
      <c r="G336" s="4">
        <f t="shared" si="33"/>
        <v>127480.72163087653</v>
      </c>
      <c r="H336" s="45">
        <f t="shared" si="35"/>
        <v>9.6080897130687006</v>
      </c>
      <c r="I336" s="10">
        <f t="shared" si="36"/>
        <v>1.3859395786650277</v>
      </c>
      <c r="J336" s="4">
        <f t="shared" si="37"/>
        <v>1942.0591010393464</v>
      </c>
      <c r="K336" s="4">
        <f t="shared" si="38"/>
        <v>436.59437548656678</v>
      </c>
      <c r="L336" s="45">
        <f>Pressure!Q336</f>
        <v>0.74805836970529571</v>
      </c>
      <c r="M336" s="10">
        <f t="shared" si="40"/>
        <v>4.3573789086778998</v>
      </c>
      <c r="N336" s="10">
        <f t="shared" si="39"/>
        <v>2.9545467240956045</v>
      </c>
    </row>
    <row r="337" spans="3:14">
      <c r="C337" s="4">
        <f>Pressure!AB337*1000000</f>
        <v>6328257.4301288854</v>
      </c>
      <c r="D337" s="84">
        <f>Pressure!I337</f>
        <v>2.214727558899525E-4</v>
      </c>
      <c r="E337" s="40">
        <f>Pressure!H337</f>
        <v>221.47275588995251</v>
      </c>
      <c r="F337" s="10">
        <f t="shared" si="34"/>
        <v>8</v>
      </c>
      <c r="G337" s="4">
        <f t="shared" si="33"/>
        <v>127506.05695806124</v>
      </c>
      <c r="H337" s="45">
        <f t="shared" si="35"/>
        <v>9.6095983854274838</v>
      </c>
      <c r="I337" s="10">
        <f t="shared" si="36"/>
        <v>1.3859649538506036</v>
      </c>
      <c r="J337" s="4">
        <f t="shared" si="37"/>
        <v>1942.4806272004289</v>
      </c>
      <c r="K337" s="4">
        <f t="shared" si="38"/>
        <v>436.68913879781235</v>
      </c>
      <c r="L337" s="45">
        <f>Pressure!Q337</f>
        <v>0.75030237198391558</v>
      </c>
      <c r="M337" s="10">
        <f t="shared" si="40"/>
        <v>4.3584580007797369</v>
      </c>
      <c r="N337" s="10">
        <f t="shared" si="39"/>
        <v>2.9545467240956045</v>
      </c>
    </row>
    <row r="338" spans="3:14">
      <c r="C338" s="4">
        <f>Pressure!AB338*1000000</f>
        <v>6329504.5594269987</v>
      </c>
      <c r="D338" s="84">
        <f>Pressure!I338</f>
        <v>2.214727558899525E-4</v>
      </c>
      <c r="E338" s="40">
        <f>Pressure!H338</f>
        <v>221.47275588995251</v>
      </c>
      <c r="F338" s="10">
        <f t="shared" si="34"/>
        <v>8</v>
      </c>
      <c r="G338" s="4">
        <f t="shared" si="33"/>
        <v>127531.18497174825</v>
      </c>
      <c r="H338" s="45">
        <f t="shared" si="35"/>
        <v>9.6110946612367698</v>
      </c>
      <c r="I338" s="10">
        <f t="shared" si="36"/>
        <v>1.3859901114378792</v>
      </c>
      <c r="J338" s="4">
        <f t="shared" si="37"/>
        <v>1942.8987041041889</v>
      </c>
      <c r="K338" s="4">
        <f t="shared" si="38"/>
        <v>436.78312668139671</v>
      </c>
      <c r="L338" s="45">
        <f>Pressure!Q338</f>
        <v>0.75254644030504914</v>
      </c>
      <c r="M338" s="10">
        <f t="shared" si="40"/>
        <v>4.3595283364838791</v>
      </c>
      <c r="N338" s="10">
        <f t="shared" si="39"/>
        <v>2.9545467240956045</v>
      </c>
    </row>
    <row r="339" spans="3:14">
      <c r="C339" s="4">
        <f>Pressure!AB339*1000000</f>
        <v>6330741.4006936988</v>
      </c>
      <c r="D339" s="84">
        <f>Pressure!I339</f>
        <v>2.214727558899525E-4</v>
      </c>
      <c r="E339" s="40">
        <f>Pressure!H339</f>
        <v>221.47275588995251</v>
      </c>
      <c r="F339" s="10">
        <f t="shared" si="34"/>
        <v>8</v>
      </c>
      <c r="G339" s="4">
        <f t="shared" si="33"/>
        <v>127556.10569514506</v>
      </c>
      <c r="H339" s="45">
        <f t="shared" si="35"/>
        <v>9.6125785431578699</v>
      </c>
      <c r="I339" s="10">
        <f t="shared" si="36"/>
        <v>1.3860150517013372</v>
      </c>
      <c r="J339" s="4">
        <f t="shared" si="37"/>
        <v>1943.3133321367488</v>
      </c>
      <c r="K339" s="4">
        <f t="shared" si="38"/>
        <v>436.87633922412414</v>
      </c>
      <c r="L339" s="45">
        <f>Pressure!Q339</f>
        <v>0.75479057411724337</v>
      </c>
      <c r="M339" s="10">
        <f t="shared" si="40"/>
        <v>4.3605899159422536</v>
      </c>
      <c r="N339" s="10">
        <f t="shared" si="39"/>
        <v>2.9545467240956045</v>
      </c>
    </row>
    <row r="340" spans="3:14">
      <c r="C340" s="4">
        <f>Pressure!AB340*1000000</f>
        <v>6331967.9550713822</v>
      </c>
      <c r="D340" s="84">
        <f>Pressure!I340</f>
        <v>2.214727558899525E-4</v>
      </c>
      <c r="E340" s="40">
        <f>Pressure!H340</f>
        <v>221.47275588995251</v>
      </c>
      <c r="F340" s="10">
        <f t="shared" si="34"/>
        <v>8</v>
      </c>
      <c r="G340" s="4">
        <f t="shared" si="33"/>
        <v>127580.8191512694</v>
      </c>
      <c r="H340" s="45">
        <f t="shared" si="35"/>
        <v>9.6140500338295407</v>
      </c>
      <c r="I340" s="10">
        <f t="shared" si="36"/>
        <v>1.3860397749129183</v>
      </c>
      <c r="J340" s="4">
        <f t="shared" si="37"/>
        <v>1943.7245116810755</v>
      </c>
      <c r="K340" s="4">
        <f t="shared" si="38"/>
        <v>436.96877651208928</v>
      </c>
      <c r="L340" s="45">
        <f>Pressure!Q340</f>
        <v>0.75703477286938203</v>
      </c>
      <c r="M340" s="10">
        <f t="shared" si="40"/>
        <v>4.3616427393058537</v>
      </c>
      <c r="N340" s="10">
        <f t="shared" si="39"/>
        <v>2.9545467240956045</v>
      </c>
    </row>
    <row r="341" spans="3:14">
      <c r="C341" s="4">
        <f>Pressure!AB341*1000000</f>
        <v>6333184.2236935114</v>
      </c>
      <c r="D341" s="84">
        <f>Pressure!I341</f>
        <v>2.214727558899525E-4</v>
      </c>
      <c r="E341" s="40">
        <f>Pressure!H341</f>
        <v>221.47275588995251</v>
      </c>
      <c r="F341" s="10">
        <f t="shared" si="34"/>
        <v>8</v>
      </c>
      <c r="G341" s="4">
        <f t="shared" si="33"/>
        <v>127605.32536295908</v>
      </c>
      <c r="H341" s="45">
        <f t="shared" si="35"/>
        <v>9.6155091358685763</v>
      </c>
      <c r="I341" s="10">
        <f t="shared" si="36"/>
        <v>1.3860642813420392</v>
      </c>
      <c r="J341" s="4">
        <f t="shared" si="37"/>
        <v>1944.1322431171418</v>
      </c>
      <c r="K341" s="4">
        <f t="shared" si="38"/>
        <v>437.06043863071397</v>
      </c>
      <c r="L341" s="45">
        <f>Pressure!Q341</f>
        <v>0.75927903601068225</v>
      </c>
      <c r="M341" s="10">
        <f t="shared" si="40"/>
        <v>4.3626868067243594</v>
      </c>
      <c r="N341" s="10">
        <f t="shared" si="39"/>
        <v>2.9545467240956045</v>
      </c>
    </row>
    <row r="342" spans="3:14">
      <c r="C342" s="4">
        <f>Pressure!AB342*1000000</f>
        <v>6334390.2076833509</v>
      </c>
      <c r="D342" s="84">
        <f>Pressure!I342</f>
        <v>2.214727558899525E-4</v>
      </c>
      <c r="E342" s="40">
        <f>Pressure!H342</f>
        <v>221.47275588995251</v>
      </c>
      <c r="F342" s="10">
        <f t="shared" si="34"/>
        <v>8</v>
      </c>
      <c r="G342" s="4">
        <f t="shared" si="33"/>
        <v>127629.62435284638</v>
      </c>
      <c r="H342" s="45">
        <f t="shared" si="35"/>
        <v>9.6169558518683456</v>
      </c>
      <c r="I342" s="10">
        <f t="shared" si="36"/>
        <v>1.3860885712555724</v>
      </c>
      <c r="J342" s="4">
        <f t="shared" si="37"/>
        <v>1944.5365268215007</v>
      </c>
      <c r="K342" s="4">
        <f t="shared" si="38"/>
        <v>437.15132566465104</v>
      </c>
      <c r="L342" s="45">
        <f>Pressure!Q342</f>
        <v>0.76152336299069201</v>
      </c>
      <c r="M342" s="10">
        <f t="shared" si="40"/>
        <v>4.3637221183473285</v>
      </c>
      <c r="N342" s="10">
        <f t="shared" si="39"/>
        <v>2.9545467240956045</v>
      </c>
    </row>
    <row r="343" spans="3:14">
      <c r="C343" s="4">
        <f>Pressure!AB343*1000000</f>
        <v>6335585.9081547391</v>
      </c>
      <c r="D343" s="84">
        <f>Pressure!I343</f>
        <v>2.214727558899525E-4</v>
      </c>
      <c r="E343" s="40">
        <f>Pressure!H343</f>
        <v>221.47275588995251</v>
      </c>
      <c r="F343" s="10">
        <f t="shared" si="34"/>
        <v>8</v>
      </c>
      <c r="G343" s="4">
        <f t="shared" si="33"/>
        <v>127653.71614337371</v>
      </c>
      <c r="H343" s="45">
        <f t="shared" si="35"/>
        <v>9.61839018439969</v>
      </c>
      <c r="I343" s="10">
        <f t="shared" si="36"/>
        <v>1.386112644917872</v>
      </c>
      <c r="J343" s="4">
        <f t="shared" si="37"/>
        <v>1944.9373631675467</v>
      </c>
      <c r="K343" s="4">
        <f t="shared" si="38"/>
        <v>437.24143769784331</v>
      </c>
      <c r="L343" s="45">
        <f>Pressure!Q343</f>
        <v>0.76376775325928692</v>
      </c>
      <c r="M343" s="10">
        <f t="shared" si="40"/>
        <v>4.3647486743227013</v>
      </c>
      <c r="N343" s="10">
        <f t="shared" si="39"/>
        <v>2.9545467240956045</v>
      </c>
    </row>
    <row r="344" spans="3:14">
      <c r="C344" s="4">
        <f>Pressure!AB344*1000000</f>
        <v>6336771.3262125459</v>
      </c>
      <c r="D344" s="84">
        <f>Pressure!I344</f>
        <v>2.214727558899525E-4</v>
      </c>
      <c r="E344" s="40">
        <f>Pressure!H344</f>
        <v>221.47275588995251</v>
      </c>
      <c r="F344" s="10">
        <f t="shared" si="34"/>
        <v>8</v>
      </c>
      <c r="G344" s="4">
        <f t="shared" si="33"/>
        <v>127677.6007568027</v>
      </c>
      <c r="H344" s="45">
        <f t="shared" si="35"/>
        <v>9.6198121360115181</v>
      </c>
      <c r="I344" s="10">
        <f t="shared" si="36"/>
        <v>1.3861365025907872</v>
      </c>
      <c r="J344" s="4">
        <f t="shared" si="37"/>
        <v>1945.3347525256654</v>
      </c>
      <c r="K344" s="4">
        <f t="shared" si="38"/>
        <v>437.33077481355724</v>
      </c>
      <c r="L344" s="45">
        <f>Pressure!Q344</f>
        <v>0.76601220626666722</v>
      </c>
      <c r="M344" s="10">
        <f t="shared" si="40"/>
        <v>4.365766474797673</v>
      </c>
      <c r="N344" s="10">
        <f t="shared" si="39"/>
        <v>2.9545467240956045</v>
      </c>
    </row>
    <row r="345" spans="3:14">
      <c r="C345" s="4">
        <f>Pressure!AB345*1000000</f>
        <v>6337946.4629515447</v>
      </c>
      <c r="D345" s="84">
        <f>Pressure!I345</f>
        <v>2.214727558899525E-4</v>
      </c>
      <c r="E345" s="40">
        <f>Pressure!H345</f>
        <v>221.47275588995251</v>
      </c>
      <c r="F345" s="10">
        <f t="shared" si="34"/>
        <v>8</v>
      </c>
      <c r="G345" s="4">
        <f t="shared" si="33"/>
        <v>127701.27821519163</v>
      </c>
      <c r="H345" s="45">
        <f t="shared" si="35"/>
        <v>9.6212217092294914</v>
      </c>
      <c r="I345" s="10">
        <f t="shared" si="36"/>
        <v>1.3861601445336493</v>
      </c>
      <c r="J345" s="4">
        <f t="shared" si="37"/>
        <v>1945.7286952628608</v>
      </c>
      <c r="K345" s="4">
        <f t="shared" si="38"/>
        <v>437.41933709429901</v>
      </c>
      <c r="L345" s="45">
        <f>Pressure!Q345</f>
        <v>0.768256721463355</v>
      </c>
      <c r="M345" s="10">
        <f t="shared" si="40"/>
        <v>4.3667755199188472</v>
      </c>
      <c r="N345" s="10">
        <f t="shared" si="39"/>
        <v>2.9545467240956045</v>
      </c>
    </row>
    <row r="346" spans="3:14">
      <c r="C346" s="4">
        <f>Pressure!AB346*1000000</f>
        <v>6339111.3194575701</v>
      </c>
      <c r="D346" s="84">
        <f>Pressure!I346</f>
        <v>2.214727558899525E-4</v>
      </c>
      <c r="E346" s="40">
        <f>Pressure!H346</f>
        <v>221.47275588995251</v>
      </c>
      <c r="F346" s="10">
        <f t="shared" si="34"/>
        <v>8</v>
      </c>
      <c r="G346" s="4">
        <f t="shared" si="33"/>
        <v>127724.74854041862</v>
      </c>
      <c r="H346" s="45">
        <f t="shared" si="35"/>
        <v>9.6226189065573813</v>
      </c>
      <c r="I346" s="10">
        <f t="shared" si="36"/>
        <v>1.3861835710033004</v>
      </c>
      <c r="J346" s="4">
        <f t="shared" si="37"/>
        <v>1946.1191917431377</v>
      </c>
      <c r="K346" s="4">
        <f t="shared" si="38"/>
        <v>437.50712462190046</v>
      </c>
      <c r="L346" s="45">
        <f>Pressure!Q346</f>
        <v>0.7705012983001911</v>
      </c>
      <c r="M346" s="10">
        <f t="shared" si="40"/>
        <v>4.3677758098315893</v>
      </c>
      <c r="N346" s="10">
        <f t="shared" si="39"/>
        <v>2.9545467240956045</v>
      </c>
    </row>
    <row r="347" spans="3:14">
      <c r="C347" s="4">
        <f>Pressure!AB347*1000000</f>
        <v>6340265.8968066163</v>
      </c>
      <c r="D347" s="84">
        <f>Pressure!I347</f>
        <v>2.214727558899525E-4</v>
      </c>
      <c r="E347" s="40">
        <f>Pressure!H347</f>
        <v>221.47275588995251</v>
      </c>
      <c r="F347" s="10">
        <f t="shared" si="34"/>
        <v>8</v>
      </c>
      <c r="G347" s="4">
        <f t="shared" si="33"/>
        <v>127748.01175416354</v>
      </c>
      <c r="H347" s="45">
        <f t="shared" si="35"/>
        <v>9.6240037304760371</v>
      </c>
      <c r="I347" s="10">
        <f t="shared" si="36"/>
        <v>1.3862067822540829</v>
      </c>
      <c r="J347" s="4">
        <f t="shared" si="37"/>
        <v>1946.5062423272036</v>
      </c>
      <c r="K347" s="4">
        <f t="shared" si="38"/>
        <v>437.59413747745236</v>
      </c>
      <c r="L347" s="45">
        <f>Pressure!Q347</f>
        <v>0.7727459362283321</v>
      </c>
      <c r="M347" s="10">
        <f t="shared" si="40"/>
        <v>4.3687673446803101</v>
      </c>
      <c r="N347" s="10">
        <f t="shared" si="39"/>
        <v>2.9545467240956045</v>
      </c>
    </row>
    <row r="348" spans="3:14">
      <c r="C348" s="4">
        <f>Pressure!AB348*1000000</f>
        <v>6341410.1960654464</v>
      </c>
      <c r="D348" s="84">
        <f>Pressure!I348</f>
        <v>2.214727558899525E-4</v>
      </c>
      <c r="E348" s="40">
        <f>Pressure!H348</f>
        <v>221.47275588995251</v>
      </c>
      <c r="F348" s="10">
        <f t="shared" si="34"/>
        <v>8</v>
      </c>
      <c r="G348" s="4">
        <f t="shared" ref="G348:G411" si="41">IF(C348/(1+(k-1)/2*N348^2)^(k/(k-1))&lt;patm*1000000,patm*1000000,C348/(1+(k-1)/2*N348^2)^(k/(k-1)))</f>
        <v>127771.06787792026</v>
      </c>
      <c r="H348" s="45">
        <f t="shared" si="35"/>
        <v>9.6253761834441285</v>
      </c>
      <c r="I348" s="10">
        <f t="shared" si="36"/>
        <v>1.3862297785378588</v>
      </c>
      <c r="J348" s="4">
        <f t="shared" si="37"/>
        <v>1946.8898473726711</v>
      </c>
      <c r="K348" s="4">
        <f t="shared" si="38"/>
        <v>437.68037574134956</v>
      </c>
      <c r="L348" s="45">
        <f>Pressure!Q348</f>
        <v>0.77499063469924767</v>
      </c>
      <c r="M348" s="10">
        <f t="shared" si="40"/>
        <v>4.3697501246089914</v>
      </c>
      <c r="N348" s="10">
        <f t="shared" si="39"/>
        <v>2.9545467240956045</v>
      </c>
    </row>
    <row r="349" spans="3:14">
      <c r="C349" s="4">
        <f>Pressure!AB349*1000000</f>
        <v>6342544.2182914186</v>
      </c>
      <c r="D349" s="84">
        <f>Pressure!I349</f>
        <v>2.214727558899525E-4</v>
      </c>
      <c r="E349" s="40">
        <f>Pressure!H349</f>
        <v>221.47275588995251</v>
      </c>
      <c r="F349" s="10">
        <f t="shared" ref="F349:F412" si="42">aexit/E349</f>
        <v>8</v>
      </c>
      <c r="G349" s="4">
        <f t="shared" si="41"/>
        <v>127793.91693299316</v>
      </c>
      <c r="H349" s="45">
        <f t="shared" ref="H349:H412" si="43">1/(((k+1)/2)^(1/(k-1))*(patm*1000000/C349)^(1/k)*SQRT((k+1)/(k-1)*(1-(patm*1000000/C349)^((k-1)/k))))</f>
        <v>9.6267362678979502</v>
      </c>
      <c r="I349" s="10">
        <f t="shared" ref="I349:I412" si="44">etanoz*SQRT(2*k^2/(k-1)*(2/(k+1))^((k+1)/(k-1))*(1-(G349/C349)^((k-1)/k)))+(G349-patm*1000000)/C349*(aexit/E349)</f>
        <v>1.3862525601040128</v>
      </c>
      <c r="J349" s="4">
        <f t="shared" ref="J349:J412" si="45">I349*D349*C349</f>
        <v>1947.2700072339994</v>
      </c>
      <c r="K349" s="4">
        <f t="shared" ref="K349:K412" si="46">J349/4.4482</f>
        <v>437.76583949327807</v>
      </c>
      <c r="L349" s="45">
        <f>Pressure!Q349</f>
        <v>0.77723539316471735</v>
      </c>
      <c r="M349" s="10">
        <f t="shared" si="40"/>
        <v>4.3707241497602434</v>
      </c>
      <c r="N349" s="10">
        <f t="shared" si="39"/>
        <v>2.9545467240956045</v>
      </c>
    </row>
    <row r="350" spans="3:14">
      <c r="C350" s="4">
        <f>Pressure!AB350*1000000</f>
        <v>6343667.9645320531</v>
      </c>
      <c r="D350" s="84">
        <f>Pressure!I350</f>
        <v>2.214727558899525E-4</v>
      </c>
      <c r="E350" s="40">
        <f>Pressure!H350</f>
        <v>221.47275588995251</v>
      </c>
      <c r="F350" s="10">
        <f t="shared" si="42"/>
        <v>8</v>
      </c>
      <c r="G350" s="4">
        <f t="shared" si="41"/>
        <v>127816.55894048839</v>
      </c>
      <c r="H350" s="45">
        <f t="shared" si="43"/>
        <v>9.6280839862509335</v>
      </c>
      <c r="I350" s="10">
        <f t="shared" si="44"/>
        <v>1.3862751271994507</v>
      </c>
      <c r="J350" s="4">
        <f t="shared" si="45"/>
        <v>1947.6467222623503</v>
      </c>
      <c r="K350" s="4">
        <f t="shared" si="46"/>
        <v>437.85052881218252</v>
      </c>
      <c r="L350" s="45">
        <f>Pressure!Q350</f>
        <v>0.77948021107682774</v>
      </c>
      <c r="M350" s="10">
        <f t="shared" si="40"/>
        <v>4.3716894202759269</v>
      </c>
      <c r="N350" s="10">
        <f t="shared" ref="N350:N413" si="47">N349-1/834*(me-mef)</f>
        <v>2.9545467240956045</v>
      </c>
    </row>
    <row r="351" spans="3:14">
      <c r="C351" s="4">
        <f>Pressure!AB351*1000000</f>
        <v>6344781.4358262131</v>
      </c>
      <c r="D351" s="84">
        <f>Pressure!I351</f>
        <v>2.214727558899525E-4</v>
      </c>
      <c r="E351" s="40">
        <f>Pressure!H351</f>
        <v>221.47275588995251</v>
      </c>
      <c r="F351" s="10">
        <f t="shared" si="42"/>
        <v>8</v>
      </c>
      <c r="G351" s="4">
        <f t="shared" si="41"/>
        <v>127838.99392133769</v>
      </c>
      <c r="H351" s="45">
        <f t="shared" si="43"/>
        <v>9.6294193408950637</v>
      </c>
      <c r="I351" s="10">
        <f t="shared" si="44"/>
        <v>1.3862974800686296</v>
      </c>
      <c r="J351" s="4">
        <f t="shared" si="45"/>
        <v>1948.0199928059837</v>
      </c>
      <c r="K351" s="4">
        <f t="shared" si="46"/>
        <v>437.93444377635535</v>
      </c>
      <c r="L351" s="45">
        <f>Pressure!Q351</f>
        <v>0.78172508788796946</v>
      </c>
      <c r="M351" s="10">
        <f t="shared" si="40"/>
        <v>4.3726459362967631</v>
      </c>
      <c r="N351" s="10">
        <f t="shared" si="47"/>
        <v>2.9545467240956045</v>
      </c>
    </row>
    <row r="352" spans="3:14">
      <c r="C352" s="4">
        <f>Pressure!AB352*1000000</f>
        <v>6345884.6332026105</v>
      </c>
      <c r="D352" s="84">
        <f>Pressure!I352</f>
        <v>2.214727558899525E-4</v>
      </c>
      <c r="E352" s="40">
        <f>Pressure!H352</f>
        <v>221.47275588995251</v>
      </c>
      <c r="F352" s="10">
        <f t="shared" si="42"/>
        <v>8</v>
      </c>
      <c r="G352" s="4">
        <f t="shared" si="41"/>
        <v>127861.22189626824</v>
      </c>
      <c r="H352" s="45">
        <f t="shared" si="43"/>
        <v>9.6307423341991107</v>
      </c>
      <c r="I352" s="10">
        <f t="shared" si="44"/>
        <v>1.3863196189535352</v>
      </c>
      <c r="J352" s="4">
        <f t="shared" si="45"/>
        <v>1948.3898192097563</v>
      </c>
      <c r="K352" s="4">
        <f t="shared" si="46"/>
        <v>438.01758446332366</v>
      </c>
      <c r="L352" s="45">
        <f>Pressure!Q352</f>
        <v>0.78397002305083452</v>
      </c>
      <c r="M352" s="10">
        <f t="shared" si="40"/>
        <v>4.3735936979632832</v>
      </c>
      <c r="N352" s="10">
        <f t="shared" si="47"/>
        <v>2.9545467240956045</v>
      </c>
    </row>
    <row r="353" spans="3:14">
      <c r="C353" s="4">
        <f>Pressure!AB353*1000000</f>
        <v>6346977.5576811451</v>
      </c>
      <c r="D353" s="84">
        <f>Pressure!I353</f>
        <v>2.214727558899525E-4</v>
      </c>
      <c r="E353" s="40">
        <f>Pressure!H353</f>
        <v>221.47275588995251</v>
      </c>
      <c r="F353" s="10">
        <f t="shared" si="42"/>
        <v>8</v>
      </c>
      <c r="G353" s="4">
        <f t="shared" si="41"/>
        <v>127883.24288582966</v>
      </c>
      <c r="H353" s="45">
        <f t="shared" si="43"/>
        <v>9.6320529685102603</v>
      </c>
      <c r="I353" s="10">
        <f t="shared" si="44"/>
        <v>1.3863415440937135</v>
      </c>
      <c r="J353" s="4">
        <f t="shared" si="45"/>
        <v>1948.7562018155693</v>
      </c>
      <c r="K353" s="4">
        <f t="shared" si="46"/>
        <v>438.09995094995037</v>
      </c>
      <c r="L353" s="45">
        <f>Pressure!Q353</f>
        <v>0.78621501601841304</v>
      </c>
      <c r="M353" s="10">
        <f t="shared" si="40"/>
        <v>4.3745327054142304</v>
      </c>
      <c r="N353" s="10">
        <f t="shared" si="47"/>
        <v>2.9545467240956045</v>
      </c>
    </row>
    <row r="354" spans="3:14">
      <c r="C354" s="4">
        <f>Pressure!AB354*1000000</f>
        <v>6348060.210271826</v>
      </c>
      <c r="D354" s="84">
        <f>Pressure!I354</f>
        <v>2.214727558899525E-4</v>
      </c>
      <c r="E354" s="40">
        <f>Pressure!H354</f>
        <v>221.47275588995251</v>
      </c>
      <c r="F354" s="10">
        <f t="shared" si="42"/>
        <v>8</v>
      </c>
      <c r="G354" s="4">
        <f t="shared" si="41"/>
        <v>127905.05691037232</v>
      </c>
      <c r="H354" s="45">
        <f t="shared" si="43"/>
        <v>9.6333512461528166</v>
      </c>
      <c r="I354" s="10">
        <f t="shared" si="44"/>
        <v>1.3863632557262582</v>
      </c>
      <c r="J354" s="4">
        <f t="shared" si="45"/>
        <v>1949.1191409620108</v>
      </c>
      <c r="K354" s="4">
        <f t="shared" si="46"/>
        <v>438.18154331235348</v>
      </c>
      <c r="L354" s="45">
        <f>Pressure!Q354</f>
        <v>0.78846006624399056</v>
      </c>
      <c r="M354" s="10">
        <f t="shared" si="40"/>
        <v>4.3754629587879439</v>
      </c>
      <c r="N354" s="10">
        <f t="shared" si="47"/>
        <v>2.9545467240956045</v>
      </c>
    </row>
    <row r="355" spans="3:14">
      <c r="C355" s="4">
        <f>Pressure!AB355*1000000</f>
        <v>6349132.5919757923</v>
      </c>
      <c r="D355" s="84">
        <f>Pressure!I355</f>
        <v>2.214727558899525E-4</v>
      </c>
      <c r="E355" s="40">
        <f>Pressure!H355</f>
        <v>221.47275588995251</v>
      </c>
      <c r="F355" s="10">
        <f t="shared" si="42"/>
        <v>8</v>
      </c>
      <c r="G355" s="4">
        <f t="shared" si="41"/>
        <v>127926.66399006787</v>
      </c>
      <c r="H355" s="45">
        <f t="shared" si="43"/>
        <v>9.6346371694294675</v>
      </c>
      <c r="I355" s="10">
        <f t="shared" si="44"/>
        <v>1.3863847540858358</v>
      </c>
      <c r="J355" s="4">
        <f t="shared" si="45"/>
        <v>1949.4786369846938</v>
      </c>
      <c r="K355" s="4">
        <f t="shared" si="46"/>
        <v>438.26236162598218</v>
      </c>
      <c r="L355" s="45">
        <f>Pressure!Q355</f>
        <v>0.79070517318114508</v>
      </c>
      <c r="M355" s="10">
        <f t="shared" si="40"/>
        <v>4.3763844582216667</v>
      </c>
      <c r="N355" s="10">
        <f t="shared" si="47"/>
        <v>2.9545467240956045</v>
      </c>
    </row>
    <row r="356" spans="3:14">
      <c r="C356" s="4">
        <f>Pressure!AB356*1000000</f>
        <v>6350194.7037844099</v>
      </c>
      <c r="D356" s="84">
        <f>Pressure!I356</f>
        <v>2.214727558899525E-4</v>
      </c>
      <c r="E356" s="40">
        <f>Pressure!H356</f>
        <v>221.47275588995251</v>
      </c>
      <c r="F356" s="10">
        <f t="shared" si="42"/>
        <v>8</v>
      </c>
      <c r="G356" s="4">
        <f t="shared" si="41"/>
        <v>127948.064144891</v>
      </c>
      <c r="H356" s="45">
        <f t="shared" si="43"/>
        <v>9.6359107406201918</v>
      </c>
      <c r="I356" s="10">
        <f t="shared" si="44"/>
        <v>1.386406039404674</v>
      </c>
      <c r="J356" s="4">
        <f t="shared" si="45"/>
        <v>1949.8346902159549</v>
      </c>
      <c r="K356" s="4">
        <f t="shared" si="46"/>
        <v>438.34240596554895</v>
      </c>
      <c r="L356" s="45">
        <f>Pressure!Q356</f>
        <v>0.79295033628374412</v>
      </c>
      <c r="M356" s="10">
        <f t="shared" si="40"/>
        <v>4.3772972038517874</v>
      </c>
      <c r="N356" s="10">
        <f t="shared" si="47"/>
        <v>2.9545467240956045</v>
      </c>
    </row>
    <row r="357" spans="3:14">
      <c r="C357" s="4">
        <f>Pressure!AB357*1000000</f>
        <v>6351246.546679996</v>
      </c>
      <c r="D357" s="84">
        <f>Pressure!I357</f>
        <v>2.214727558899525E-4</v>
      </c>
      <c r="E357" s="40">
        <f>Pressure!H357</f>
        <v>221.47275588995251</v>
      </c>
      <c r="F357" s="10">
        <f t="shared" si="42"/>
        <v>8</v>
      </c>
      <c r="G357" s="4">
        <f t="shared" si="41"/>
        <v>127969.25739463413</v>
      </c>
      <c r="H357" s="45">
        <f t="shared" si="43"/>
        <v>9.6371719619831762</v>
      </c>
      <c r="I357" s="10">
        <f t="shared" si="44"/>
        <v>1.3864271119125835</v>
      </c>
      <c r="J357" s="4">
        <f t="shared" si="45"/>
        <v>1950.1873009850976</v>
      </c>
      <c r="K357" s="4">
        <f t="shared" si="46"/>
        <v>438.42167640508467</v>
      </c>
      <c r="L357" s="45">
        <f>Pressure!Q357</f>
        <v>0.79519555500594197</v>
      </c>
      <c r="M357" s="10">
        <f t="shared" si="40"/>
        <v>4.3782011958139719</v>
      </c>
      <c r="N357" s="10">
        <f t="shared" si="47"/>
        <v>2.9545467240956045</v>
      </c>
    </row>
    <row r="358" spans="3:14">
      <c r="C358" s="4">
        <f>Pressure!AB358*1000000</f>
        <v>6352288.1216353225</v>
      </c>
      <c r="D358" s="84">
        <f>Pressure!I358</f>
        <v>2.214727558899525E-4</v>
      </c>
      <c r="E358" s="40">
        <f>Pressure!H358</f>
        <v>221.47275588995251</v>
      </c>
      <c r="F358" s="10">
        <f t="shared" si="42"/>
        <v>8</v>
      </c>
      <c r="G358" s="4">
        <f t="shared" si="41"/>
        <v>127990.24375889733</v>
      </c>
      <c r="H358" s="45">
        <f t="shared" si="43"/>
        <v>9.6384208357541983</v>
      </c>
      <c r="I358" s="10">
        <f t="shared" si="44"/>
        <v>1.3864479718369533</v>
      </c>
      <c r="J358" s="4">
        <f t="shared" si="45"/>
        <v>1950.536469618226</v>
      </c>
      <c r="K358" s="4">
        <f t="shared" si="46"/>
        <v>438.50017301790075</v>
      </c>
      <c r="L358" s="45">
        <f>Pressure!Q358</f>
        <v>0.7974408288021767</v>
      </c>
      <c r="M358" s="10">
        <f t="shared" si="40"/>
        <v>4.3790964342428005</v>
      </c>
      <c r="N358" s="10">
        <f t="shared" si="47"/>
        <v>2.9545467240956045</v>
      </c>
    </row>
    <row r="359" spans="3:14">
      <c r="C359" s="4">
        <f>Pressure!AB359*1000000</f>
        <v>6353319.4296137225</v>
      </c>
      <c r="D359" s="84">
        <f>Pressure!I359</f>
        <v>2.214727558899525E-4</v>
      </c>
      <c r="E359" s="40">
        <f>Pressure!H359</f>
        <v>221.47275588995251</v>
      </c>
      <c r="F359" s="10">
        <f t="shared" si="42"/>
        <v>8</v>
      </c>
      <c r="G359" s="4">
        <f t="shared" si="41"/>
        <v>128011.02325709048</v>
      </c>
      <c r="H359" s="45">
        <f t="shared" si="43"/>
        <v>9.6396573641468102</v>
      </c>
      <c r="I359" s="10">
        <f t="shared" si="44"/>
        <v>1.3864686194027598</v>
      </c>
      <c r="J359" s="4">
        <f t="shared" si="45"/>
        <v>1950.8821964382798</v>
      </c>
      <c r="K359" s="4">
        <f t="shared" si="46"/>
        <v>438.57789587659727</v>
      </c>
      <c r="L359" s="45">
        <f>Pressure!Q359</f>
        <v>0.79968615712716729</v>
      </c>
      <c r="M359" s="10">
        <f t="shared" si="40"/>
        <v>4.3799829192718205</v>
      </c>
      <c r="N359" s="10">
        <f t="shared" si="47"/>
        <v>2.9545467240956045</v>
      </c>
    </row>
    <row r="360" spans="3:14">
      <c r="C360" s="4">
        <f>Pressure!AB360*1000000</f>
        <v>6354340.4715697356</v>
      </c>
      <c r="D360" s="84">
        <f>Pressure!I360</f>
        <v>2.214727558899525E-4</v>
      </c>
      <c r="E360" s="40">
        <f>Pressure!H360</f>
        <v>221.47275588995251</v>
      </c>
      <c r="F360" s="10">
        <f t="shared" si="42"/>
        <v>8</v>
      </c>
      <c r="G360" s="4">
        <f t="shared" si="41"/>
        <v>128031.59590844631</v>
      </c>
      <c r="H360" s="45">
        <f t="shared" si="43"/>
        <v>9.6408815493530895</v>
      </c>
      <c r="I360" s="10">
        <f t="shared" si="44"/>
        <v>1.3864890548325846</v>
      </c>
      <c r="J360" s="4">
        <f t="shared" si="45"/>
        <v>1951.2244817652502</v>
      </c>
      <c r="K360" s="4">
        <f t="shared" si="46"/>
        <v>438.65484505311144</v>
      </c>
      <c r="L360" s="45">
        <f>Pressure!Q360</f>
        <v>0.80193153943591056</v>
      </c>
      <c r="M360" s="10">
        <f t="shared" ref="M360:M423" si="48">(J360+J359)/2*(L360-L359)</f>
        <v>4.380860651033589</v>
      </c>
      <c r="N360" s="10">
        <f t="shared" si="47"/>
        <v>2.9545467240956045</v>
      </c>
    </row>
    <row r="361" spans="3:14">
      <c r="C361" s="4">
        <f>Pressure!AB361*1000000</f>
        <v>6355351.2484479547</v>
      </c>
      <c r="D361" s="84">
        <f>Pressure!I361</f>
        <v>2.214727558899525E-4</v>
      </c>
      <c r="E361" s="40">
        <f>Pressure!H361</f>
        <v>221.47275588995251</v>
      </c>
      <c r="F361" s="10">
        <f t="shared" si="42"/>
        <v>8</v>
      </c>
      <c r="G361" s="4">
        <f t="shared" si="41"/>
        <v>128051.96173199711</v>
      </c>
      <c r="H361" s="45">
        <f t="shared" si="43"/>
        <v>9.6420933935422912</v>
      </c>
      <c r="I361" s="10">
        <f t="shared" si="44"/>
        <v>1.3865092783465987</v>
      </c>
      <c r="J361" s="4">
        <f t="shared" si="45"/>
        <v>1951.5633259157939</v>
      </c>
      <c r="K361" s="4">
        <f t="shared" si="46"/>
        <v>438.73102061863091</v>
      </c>
      <c r="L361" s="45">
        <f>Pressure!Q361</f>
        <v>0.8041769751836787</v>
      </c>
      <c r="M361" s="10">
        <f t="shared" si="48"/>
        <v>4.3817296296603381</v>
      </c>
      <c r="N361" s="10">
        <f t="shared" si="47"/>
        <v>2.9545467240956045</v>
      </c>
    </row>
    <row r="362" spans="3:14">
      <c r="C362" s="4">
        <f>Pressure!AB362*1000000</f>
        <v>6356351.761184236</v>
      </c>
      <c r="D362" s="84">
        <f>Pressure!I362</f>
        <v>2.214727558899525E-4</v>
      </c>
      <c r="E362" s="40">
        <f>Pressure!H362</f>
        <v>221.47275588995251</v>
      </c>
      <c r="F362" s="10">
        <f t="shared" si="42"/>
        <v>8</v>
      </c>
      <c r="G362" s="4">
        <f t="shared" si="41"/>
        <v>128072.12074659918</v>
      </c>
      <c r="H362" s="45">
        <f t="shared" si="43"/>
        <v>9.6432928988623203</v>
      </c>
      <c r="I362" s="10">
        <f t="shared" si="44"/>
        <v>1.3865292901625921</v>
      </c>
      <c r="J362" s="4">
        <f t="shared" si="45"/>
        <v>1951.8987292036406</v>
      </c>
      <c r="K362" s="4">
        <f t="shared" si="46"/>
        <v>438.80642264368521</v>
      </c>
      <c r="L362" s="45">
        <f>Pressure!Q362</f>
        <v>0.80642246382601612</v>
      </c>
      <c r="M362" s="10">
        <f t="shared" si="48"/>
        <v>4.3825898552828937</v>
      </c>
      <c r="N362" s="10">
        <f t="shared" si="47"/>
        <v>2.9545467240956045</v>
      </c>
    </row>
    <row r="363" spans="3:14">
      <c r="C363" s="4">
        <f>Pressure!AB363*1000000</f>
        <v>6357342.0107045174</v>
      </c>
      <c r="D363" s="84">
        <f>Pressure!I363</f>
        <v>2.214727558899525E-4</v>
      </c>
      <c r="E363" s="40">
        <f>Pressure!H363</f>
        <v>221.47275588995251</v>
      </c>
      <c r="F363" s="10">
        <f t="shared" si="42"/>
        <v>8</v>
      </c>
      <c r="G363" s="4">
        <f t="shared" si="41"/>
        <v>128092.07297090892</v>
      </c>
      <c r="H363" s="45">
        <f t="shared" si="43"/>
        <v>9.6444800674383284</v>
      </c>
      <c r="I363" s="10">
        <f t="shared" si="44"/>
        <v>1.3865490904959563</v>
      </c>
      <c r="J363" s="4">
        <f t="shared" si="45"/>
        <v>1952.2306919391924</v>
      </c>
      <c r="K363" s="4">
        <f t="shared" si="46"/>
        <v>438.88105119805596</v>
      </c>
      <c r="L363" s="45">
        <f>Pressure!Q363</f>
        <v>0.80866800481873657</v>
      </c>
      <c r="M363" s="10">
        <f t="shared" si="48"/>
        <v>4.3834413280310995</v>
      </c>
      <c r="N363" s="10">
        <f t="shared" si="47"/>
        <v>2.9545467240956045</v>
      </c>
    </row>
    <row r="364" spans="3:14">
      <c r="C364" s="4">
        <f>Pressure!AB364*1000000</f>
        <v>6358321.9979260126</v>
      </c>
      <c r="D364" s="84">
        <f>Pressure!I364</f>
        <v>2.214727558899525E-4</v>
      </c>
      <c r="E364" s="40">
        <f>Pressure!H364</f>
        <v>221.47275588995251</v>
      </c>
      <c r="F364" s="10">
        <f t="shared" si="42"/>
        <v>8</v>
      </c>
      <c r="G364" s="4">
        <f t="shared" si="41"/>
        <v>128111.81842340698</v>
      </c>
      <c r="H364" s="45">
        <f t="shared" si="43"/>
        <v>9.6456549013741313</v>
      </c>
      <c r="I364" s="10">
        <f t="shared" si="44"/>
        <v>1.3865686795597134</v>
      </c>
      <c r="J364" s="4">
        <f t="shared" si="45"/>
        <v>1952.5592144299292</v>
      </c>
      <c r="K364" s="4">
        <f t="shared" si="46"/>
        <v>438.95490635086759</v>
      </c>
      <c r="L364" s="45">
        <f>Pressure!Q364</f>
        <v>0.81091359761792048</v>
      </c>
      <c r="M364" s="10">
        <f t="shared" si="48"/>
        <v>4.3842840480342451</v>
      </c>
      <c r="N364" s="10">
        <f t="shared" si="47"/>
        <v>2.9545467240956045</v>
      </c>
    </row>
    <row r="365" spans="3:14">
      <c r="C365" s="4">
        <f>Pressure!AB365*1000000</f>
        <v>6359291.7237564567</v>
      </c>
      <c r="D365" s="84">
        <f>Pressure!I365</f>
        <v>2.214727558899525E-4</v>
      </c>
      <c r="E365" s="40">
        <f>Pressure!H365</f>
        <v>221.47275588995251</v>
      </c>
      <c r="F365" s="10">
        <f t="shared" si="42"/>
        <v>8</v>
      </c>
      <c r="G365" s="4">
        <f t="shared" si="41"/>
        <v>128131.35712238304</v>
      </c>
      <c r="H365" s="45">
        <f t="shared" si="43"/>
        <v>9.6468174027513491</v>
      </c>
      <c r="I365" s="10">
        <f t="shared" si="44"/>
        <v>1.3865880575645075</v>
      </c>
      <c r="J365" s="4">
        <f t="shared" si="45"/>
        <v>1952.8842969801519</v>
      </c>
      <c r="K365" s="4">
        <f t="shared" si="46"/>
        <v>439.02798817053008</v>
      </c>
      <c r="L365" s="45">
        <f>Pressure!Q365</f>
        <v>0.81315924167991194</v>
      </c>
      <c r="M365" s="10">
        <f t="shared" si="48"/>
        <v>4.3851180154205602</v>
      </c>
      <c r="N365" s="10">
        <f t="shared" si="47"/>
        <v>2.9545467240956045</v>
      </c>
    </row>
    <row r="366" spans="3:14">
      <c r="C366" s="4">
        <f>Pressure!AB366*1000000</f>
        <v>6360251.1890941728</v>
      </c>
      <c r="D366" s="84">
        <f>Pressure!I366</f>
        <v>2.214727558899525E-4</v>
      </c>
      <c r="E366" s="40">
        <f>Pressure!H366</f>
        <v>221.47275588995251</v>
      </c>
      <c r="F366" s="10">
        <f t="shared" si="42"/>
        <v>8</v>
      </c>
      <c r="G366" s="4">
        <f t="shared" si="41"/>
        <v>128150.68908593712</v>
      </c>
      <c r="H366" s="45">
        <f t="shared" si="43"/>
        <v>9.647967573629515</v>
      </c>
      <c r="I366" s="10">
        <f t="shared" si="44"/>
        <v>1.386607224718611</v>
      </c>
      <c r="J366" s="4">
        <f t="shared" si="45"/>
        <v>1953.2059398910064</v>
      </c>
      <c r="K366" s="4">
        <f t="shared" si="46"/>
        <v>439.10029672474406</v>
      </c>
      <c r="L366" s="45">
        <f>Pressure!Q366</f>
        <v>0.81540493646131595</v>
      </c>
      <c r="M366" s="10">
        <f t="shared" si="48"/>
        <v>4.3859432303173715</v>
      </c>
      <c r="N366" s="10">
        <f t="shared" si="47"/>
        <v>2.9545467240956045</v>
      </c>
    </row>
    <row r="367" spans="3:14">
      <c r="C367" s="4">
        <f>Pressure!AB367*1000000</f>
        <v>6361200.3948285636</v>
      </c>
      <c r="D367" s="84">
        <f>Pressure!I367</f>
        <v>2.214727558899525E-4</v>
      </c>
      <c r="E367" s="40">
        <f>Pressure!H367</f>
        <v>221.47275588995251</v>
      </c>
      <c r="F367" s="10">
        <f t="shared" si="42"/>
        <v>8</v>
      </c>
      <c r="G367" s="4">
        <f t="shared" si="41"/>
        <v>128169.81433198953</v>
      </c>
      <c r="H367" s="45">
        <f t="shared" si="43"/>
        <v>9.6491054160466287</v>
      </c>
      <c r="I367" s="10">
        <f t="shared" si="44"/>
        <v>1.3866261812279406</v>
      </c>
      <c r="J367" s="4">
        <f t="shared" si="45"/>
        <v>1953.5241434606487</v>
      </c>
      <c r="K367" s="4">
        <f t="shared" si="46"/>
        <v>439.17183208053791</v>
      </c>
      <c r="L367" s="45">
        <f>Pressure!Q367</f>
        <v>0.81765068141899555</v>
      </c>
      <c r="M367" s="10">
        <f t="shared" si="48"/>
        <v>4.3867596928510846</v>
      </c>
      <c r="N367" s="10">
        <f t="shared" si="47"/>
        <v>2.9545467240956045</v>
      </c>
    </row>
    <row r="368" spans="3:14">
      <c r="C368" s="4">
        <f>Pressure!AB368*1000000</f>
        <v>6362139.341839321</v>
      </c>
      <c r="D368" s="84">
        <f>Pressure!I368</f>
        <v>2.214727558899525E-4</v>
      </c>
      <c r="E368" s="40">
        <f>Pressure!H368</f>
        <v>221.47275588995251</v>
      </c>
      <c r="F368" s="10">
        <f t="shared" si="42"/>
        <v>8</v>
      </c>
      <c r="G368" s="4">
        <f t="shared" si="41"/>
        <v>128188.73287826488</v>
      </c>
      <c r="H368" s="45">
        <f t="shared" si="43"/>
        <v>9.6502309320182729</v>
      </c>
      <c r="I368" s="10">
        <f t="shared" si="44"/>
        <v>1.3866449272960468</v>
      </c>
      <c r="J368" s="4">
        <f t="shared" si="45"/>
        <v>1953.8389079839792</v>
      </c>
      <c r="K368" s="4">
        <f t="shared" si="46"/>
        <v>439.2425943042083</v>
      </c>
      <c r="L368" s="45">
        <f>Pressure!Q368</f>
        <v>0.81989647601006876</v>
      </c>
      <c r="M368" s="10">
        <f t="shared" si="48"/>
        <v>4.3875674031468357</v>
      </c>
      <c r="N368" s="10">
        <f t="shared" si="47"/>
        <v>2.9545467240956045</v>
      </c>
    </row>
    <row r="369" spans="3:14">
      <c r="C369" s="4">
        <f>Pressure!AB369*1000000</f>
        <v>6363068.030997212</v>
      </c>
      <c r="D369" s="84">
        <f>Pressure!I369</f>
        <v>2.214727558899525E-4</v>
      </c>
      <c r="E369" s="40">
        <f>Pressure!H369</f>
        <v>221.47275588995251</v>
      </c>
      <c r="F369" s="10">
        <f t="shared" si="42"/>
        <v>8</v>
      </c>
      <c r="G369" s="4">
        <f t="shared" si="41"/>
        <v>128207.444742308</v>
      </c>
      <c r="H369" s="45">
        <f t="shared" si="43"/>
        <v>9.6513441235385322</v>
      </c>
      <c r="I369" s="10">
        <f t="shared" si="44"/>
        <v>1.3866634631241352</v>
      </c>
      <c r="J369" s="4">
        <f t="shared" si="45"/>
        <v>1954.1502337529064</v>
      </c>
      <c r="K369" s="4">
        <f t="shared" si="46"/>
        <v>439.31258346137906</v>
      </c>
      <c r="L369" s="45">
        <f>Pressure!Q369</f>
        <v>0.82214231969190621</v>
      </c>
      <c r="M369" s="10">
        <f t="shared" si="48"/>
        <v>4.3883663613295614</v>
      </c>
      <c r="N369" s="10">
        <f t="shared" si="47"/>
        <v>2.9545467240956045</v>
      </c>
    </row>
    <row r="370" spans="3:14">
      <c r="C370" s="4">
        <f>Pressure!AB370*1000000</f>
        <v>6363986.46316397</v>
      </c>
      <c r="D370" s="84">
        <f>Pressure!I370</f>
        <v>2.214727558899525E-4</v>
      </c>
      <c r="E370" s="40">
        <f>Pressure!H370</f>
        <v>221.47275588995251</v>
      </c>
      <c r="F370" s="10">
        <f t="shared" si="42"/>
        <v>8</v>
      </c>
      <c r="G370" s="4">
        <f t="shared" si="41"/>
        <v>128225.94994148165</v>
      </c>
      <c r="H370" s="45">
        <f t="shared" si="43"/>
        <v>9.6524449925799036</v>
      </c>
      <c r="I370" s="10">
        <f t="shared" si="44"/>
        <v>1.3866817889110692</v>
      </c>
      <c r="J370" s="4">
        <f t="shared" si="45"/>
        <v>1954.4581210563097</v>
      </c>
      <c r="K370" s="4">
        <f t="shared" si="46"/>
        <v>439.38179961699331</v>
      </c>
      <c r="L370" s="45">
        <f>Pressure!Q370</f>
        <v>0.82438821192212797</v>
      </c>
      <c r="M370" s="10">
        <f t="shared" si="48"/>
        <v>4.3891565675229325</v>
      </c>
      <c r="N370" s="10">
        <f t="shared" si="47"/>
        <v>2.9545467240956045</v>
      </c>
    </row>
    <row r="371" spans="3:14">
      <c r="C371" s="4">
        <f>Pressure!AB371*1000000</f>
        <v>6364894.6391914962</v>
      </c>
      <c r="D371" s="84">
        <f>Pressure!I371</f>
        <v>2.214727558899525E-4</v>
      </c>
      <c r="E371" s="40">
        <f>Pressure!H371</f>
        <v>221.47275588995251</v>
      </c>
      <c r="F371" s="10">
        <f t="shared" si="42"/>
        <v>8</v>
      </c>
      <c r="G371" s="4">
        <f t="shared" si="41"/>
        <v>128244.24849295056</v>
      </c>
      <c r="H371" s="45">
        <f t="shared" si="43"/>
        <v>9.6535335410923331</v>
      </c>
      <c r="I371" s="10">
        <f t="shared" si="44"/>
        <v>1.3866999048533601</v>
      </c>
      <c r="J371" s="4">
        <f t="shared" si="45"/>
        <v>1954.7625701797735</v>
      </c>
      <c r="K371" s="4">
        <f t="shared" si="46"/>
        <v>439.45024283525328</v>
      </c>
      <c r="L371" s="45">
        <f>Pressure!Q371</f>
        <v>0.8266341521586007</v>
      </c>
      <c r="M371" s="10">
        <f t="shared" si="48"/>
        <v>4.3899380218494333</v>
      </c>
      <c r="N371" s="10">
        <f t="shared" si="47"/>
        <v>2.9545467240956045</v>
      </c>
    </row>
    <row r="372" spans="3:14">
      <c r="C372" s="4">
        <f>Pressure!AB372*1000000</f>
        <v>6365792.559923064</v>
      </c>
      <c r="D372" s="84">
        <f>Pressure!I372</f>
        <v>2.214727558899525E-4</v>
      </c>
      <c r="E372" s="40">
        <f>Pressure!H372</f>
        <v>221.47275588995251</v>
      </c>
      <c r="F372" s="10">
        <f t="shared" si="42"/>
        <v>8</v>
      </c>
      <c r="G372" s="4">
        <f t="shared" si="41"/>
        <v>128262.34041370556</v>
      </c>
      <c r="H372" s="45">
        <f t="shared" si="43"/>
        <v>9.6546097710047061</v>
      </c>
      <c r="I372" s="10">
        <f t="shared" si="44"/>
        <v>1.3867178111451965</v>
      </c>
      <c r="J372" s="4">
        <f t="shared" si="45"/>
        <v>1955.0635814059904</v>
      </c>
      <c r="K372" s="4">
        <f t="shared" si="46"/>
        <v>439.517913179711</v>
      </c>
      <c r="L372" s="45">
        <f>Pressure!Q372</f>
        <v>0.82888013985943498</v>
      </c>
      <c r="M372" s="10">
        <f t="shared" si="48"/>
        <v>4.3907107244309342</v>
      </c>
      <c r="N372" s="10">
        <f t="shared" si="47"/>
        <v>2.9545467240956045</v>
      </c>
    </row>
    <row r="373" spans="3:14">
      <c r="C373" s="4">
        <f>Pressure!AB373*1000000</f>
        <v>6366680.2261924241</v>
      </c>
      <c r="D373" s="84">
        <f>Pressure!I373</f>
        <v>2.214727558899525E-4</v>
      </c>
      <c r="E373" s="40">
        <f>Pressure!H373</f>
        <v>221.47275588995251</v>
      </c>
      <c r="F373" s="10">
        <f t="shared" si="42"/>
        <v>8</v>
      </c>
      <c r="G373" s="4">
        <f t="shared" si="41"/>
        <v>128280.22572054563</v>
      </c>
      <c r="H373" s="45">
        <f t="shared" si="43"/>
        <v>9.6556736842237214</v>
      </c>
      <c r="I373" s="10">
        <f t="shared" si="44"/>
        <v>1.3867355079784307</v>
      </c>
      <c r="J373" s="4">
        <f t="shared" si="45"/>
        <v>1955.3611550144587</v>
      </c>
      <c r="K373" s="4">
        <f t="shared" si="46"/>
        <v>439.58481071320057</v>
      </c>
      <c r="L373" s="45">
        <f>Pressure!Q373</f>
        <v>0.83112617448298254</v>
      </c>
      <c r="M373" s="10">
        <f t="shared" si="48"/>
        <v>4.3914746753885749</v>
      </c>
      <c r="N373" s="10">
        <f t="shared" si="47"/>
        <v>2.9545467240956045</v>
      </c>
    </row>
    <row r="374" spans="3:14">
      <c r="C374" s="4">
        <f>Pressure!AB374*1000000</f>
        <v>6367557.6388241835</v>
      </c>
      <c r="D374" s="84">
        <f>Pressure!I374</f>
        <v>2.214727558899525E-4</v>
      </c>
      <c r="E374" s="40">
        <f>Pressure!H374</f>
        <v>221.47275588995251</v>
      </c>
      <c r="F374" s="10">
        <f t="shared" si="42"/>
        <v>8</v>
      </c>
      <c r="G374" s="4">
        <f t="shared" si="41"/>
        <v>128297.9044300855</v>
      </c>
      <c r="H374" s="45">
        <f t="shared" si="43"/>
        <v>9.6567252826344454</v>
      </c>
      <c r="I374" s="10">
        <f t="shared" si="44"/>
        <v>1.3867529955425919</v>
      </c>
      <c r="J374" s="4">
        <f t="shared" si="45"/>
        <v>1955.6552912816128</v>
      </c>
      <c r="K374" s="4">
        <f t="shared" si="46"/>
        <v>439.65093549786718</v>
      </c>
      <c r="L374" s="45">
        <f>Pressure!Q374</f>
        <v>0.83337225548783322</v>
      </c>
      <c r="M374" s="10">
        <f t="shared" si="48"/>
        <v>4.39222987484212</v>
      </c>
      <c r="N374" s="10">
        <f t="shared" si="47"/>
        <v>2.9545467240956045</v>
      </c>
    </row>
    <row r="375" spans="3:14">
      <c r="C375" s="4">
        <f>Pressure!AB375*1000000</f>
        <v>6368424.7986338055</v>
      </c>
      <c r="D375" s="84">
        <f>Pressure!I375</f>
        <v>2.214727558899525E-4</v>
      </c>
      <c r="E375" s="40">
        <f>Pressure!H375</f>
        <v>221.47275588995251</v>
      </c>
      <c r="F375" s="10">
        <f t="shared" si="42"/>
        <v>8</v>
      </c>
      <c r="G375" s="4">
        <f t="shared" si="41"/>
        <v>128315.37655875571</v>
      </c>
      <c r="H375" s="45">
        <f t="shared" si="43"/>
        <v>9.6577645681002533</v>
      </c>
      <c r="I375" s="10">
        <f t="shared" si="44"/>
        <v>1.3867702740248917</v>
      </c>
      <c r="J375" s="4">
        <f t="shared" si="45"/>
        <v>1955.9459904808218</v>
      </c>
      <c r="K375" s="4">
        <f t="shared" si="46"/>
        <v>439.71628759516699</v>
      </c>
      <c r="L375" s="45">
        <f>Pressure!Q375</f>
        <v>0.83561838233281238</v>
      </c>
      <c r="M375" s="10">
        <f t="shared" si="48"/>
        <v>4.3929763229107426</v>
      </c>
      <c r="N375" s="10">
        <f t="shared" si="47"/>
        <v>2.9545467240956045</v>
      </c>
    </row>
    <row r="376" spans="3:14">
      <c r="C376" s="4">
        <f>Pressure!AB376*1000000</f>
        <v>6369281.7064275248</v>
      </c>
      <c r="D376" s="84">
        <f>Pressure!I376</f>
        <v>2.214727558899525E-4</v>
      </c>
      <c r="E376" s="40">
        <f>Pressure!H376</f>
        <v>221.47275588995251</v>
      </c>
      <c r="F376" s="10">
        <f t="shared" si="42"/>
        <v>8</v>
      </c>
      <c r="G376" s="4">
        <f t="shared" si="41"/>
        <v>128332.64212280081</v>
      </c>
      <c r="H376" s="45">
        <f t="shared" si="43"/>
        <v>9.6587915424627866</v>
      </c>
      <c r="I376" s="10">
        <f t="shared" si="44"/>
        <v>1.3867873436102269</v>
      </c>
      <c r="J376" s="4">
        <f t="shared" si="45"/>
        <v>1956.2332528823611</v>
      </c>
      <c r="K376" s="4">
        <f t="shared" si="46"/>
        <v>439.7808670658606</v>
      </c>
      <c r="L376" s="45">
        <f>Pressure!Q376</f>
        <v>0.83786455447697794</v>
      </c>
      <c r="M376" s="10">
        <f t="shared" si="48"/>
        <v>4.3937140197125375</v>
      </c>
      <c r="N376" s="10">
        <f t="shared" si="47"/>
        <v>2.9545467240956045</v>
      </c>
    </row>
    <row r="377" spans="3:14">
      <c r="C377" s="4">
        <f>Pressure!AB377*1000000</f>
        <v>6370128.3630024837</v>
      </c>
      <c r="D377" s="84">
        <f>Pressure!I377</f>
        <v>2.214727558899525E-4</v>
      </c>
      <c r="E377" s="40">
        <f>Pressure!H377</f>
        <v>221.47275588995251</v>
      </c>
      <c r="F377" s="10">
        <f t="shared" si="42"/>
        <v>8</v>
      </c>
      <c r="G377" s="4">
        <f t="shared" si="41"/>
        <v>128349.70113828218</v>
      </c>
      <c r="H377" s="45">
        <f t="shared" si="43"/>
        <v>9.6598062075420987</v>
      </c>
      <c r="I377" s="10">
        <f t="shared" si="44"/>
        <v>1.3868042044811875</v>
      </c>
      <c r="J377" s="4">
        <f t="shared" si="45"/>
        <v>1956.5170787534571</v>
      </c>
      <c r="K377" s="4">
        <f t="shared" si="46"/>
        <v>439.84467397002317</v>
      </c>
      <c r="L377" s="45">
        <f>Pressure!Q377</f>
        <v>0.84011077137961776</v>
      </c>
      <c r="M377" s="10">
        <f t="shared" si="48"/>
        <v>4.3944429653649664</v>
      </c>
      <c r="N377" s="10">
        <f t="shared" si="47"/>
        <v>2.9545467240956045</v>
      </c>
    </row>
    <row r="378" spans="3:14">
      <c r="C378" s="4">
        <f>Pressure!AB378*1000000</f>
        <v>6370964.7691465896</v>
      </c>
      <c r="D378" s="84">
        <f>Pressure!I378</f>
        <v>2.214727558899525E-4</v>
      </c>
      <c r="E378" s="40">
        <f>Pressure!H378</f>
        <v>221.47275588995251</v>
      </c>
      <c r="F378" s="10">
        <f t="shared" si="42"/>
        <v>8</v>
      </c>
      <c r="G378" s="4">
        <f t="shared" si="41"/>
        <v>128366.5536210751</v>
      </c>
      <c r="H378" s="45">
        <f t="shared" si="43"/>
        <v>9.6608085651365094</v>
      </c>
      <c r="I378" s="10">
        <f t="shared" si="44"/>
        <v>1.386820856818058</v>
      </c>
      <c r="J378" s="4">
        <f t="shared" si="45"/>
        <v>1956.7974683582422</v>
      </c>
      <c r="K378" s="4">
        <f t="shared" si="46"/>
        <v>439.90770836703439</v>
      </c>
      <c r="L378" s="45">
        <f>Pressure!Q378</f>
        <v>0.84235703250024674</v>
      </c>
      <c r="M378" s="10">
        <f t="shared" si="48"/>
        <v>4.3951631599844045</v>
      </c>
      <c r="N378" s="10">
        <f t="shared" si="47"/>
        <v>2.9545467240956045</v>
      </c>
    </row>
    <row r="379" spans="3:14">
      <c r="C379" s="4">
        <f>Pressure!AB379*1000000</f>
        <v>6371790.925638509</v>
      </c>
      <c r="D379" s="84">
        <f>Pressure!I379</f>
        <v>2.214727558899525E-4</v>
      </c>
      <c r="E379" s="40">
        <f>Pressure!H379</f>
        <v>221.47275588995251</v>
      </c>
      <c r="F379" s="10">
        <f t="shared" si="42"/>
        <v>8</v>
      </c>
      <c r="G379" s="4">
        <f t="shared" si="41"/>
        <v>128383.19958686869</v>
      </c>
      <c r="H379" s="45">
        <f t="shared" si="43"/>
        <v>9.661798617022626</v>
      </c>
      <c r="I379" s="10">
        <f t="shared" si="44"/>
        <v>1.3868373007988231</v>
      </c>
      <c r="J379" s="4">
        <f t="shared" si="45"/>
        <v>1957.0744219577489</v>
      </c>
      <c r="K379" s="4">
        <f t="shared" si="46"/>
        <v>439.96997031557686</v>
      </c>
      <c r="L379" s="45">
        <f>Pressure!Q379</f>
        <v>0.84460333729860393</v>
      </c>
      <c r="M379" s="10">
        <f t="shared" si="48"/>
        <v>4.3958746036860692</v>
      </c>
      <c r="N379" s="10">
        <f t="shared" si="47"/>
        <v>2.9545467240956045</v>
      </c>
    </row>
    <row r="380" spans="3:14">
      <c r="C380" s="4">
        <f>Pressure!AB380*1000000</f>
        <v>6372606.8332478227</v>
      </c>
      <c r="D380" s="84">
        <f>Pressure!I380</f>
        <v>2.214727558899525E-4</v>
      </c>
      <c r="E380" s="40">
        <f>Pressure!H380</f>
        <v>221.47275588995251</v>
      </c>
      <c r="F380" s="10">
        <f t="shared" si="42"/>
        <v>8</v>
      </c>
      <c r="G380" s="4">
        <f t="shared" si="41"/>
        <v>128399.63905116898</v>
      </c>
      <c r="H380" s="45">
        <f t="shared" si="43"/>
        <v>9.6627763649554996</v>
      </c>
      <c r="I380" s="10">
        <f t="shared" si="44"/>
        <v>1.3868535365991748</v>
      </c>
      <c r="J380" s="4">
        <f t="shared" si="45"/>
        <v>1957.3479398099651</v>
      </c>
      <c r="K380" s="4">
        <f t="shared" si="46"/>
        <v>440.03145987364888</v>
      </c>
      <c r="L380" s="45">
        <f>Pressure!Q380</f>
        <v>0.84684968523464987</v>
      </c>
      <c r="M380" s="10">
        <f t="shared" si="48"/>
        <v>4.3965772965844989</v>
      </c>
      <c r="N380" s="10">
        <f t="shared" si="47"/>
        <v>2.9545467240956045</v>
      </c>
    </row>
    <row r="381" spans="3:14">
      <c r="C381" s="4">
        <f>Pressure!AB381*1000000</f>
        <v>6373412.492735194</v>
      </c>
      <c r="D381" s="84">
        <f>Pressure!I381</f>
        <v>2.214727558899525E-4</v>
      </c>
      <c r="E381" s="40">
        <f>Pressure!H381</f>
        <v>221.47275588995251</v>
      </c>
      <c r="F381" s="10">
        <f t="shared" si="42"/>
        <v>8</v>
      </c>
      <c r="G381" s="4">
        <f t="shared" si="41"/>
        <v>128415.87202930235</v>
      </c>
      <c r="H381" s="45">
        <f t="shared" si="43"/>
        <v>9.663741810668883</v>
      </c>
      <c r="I381" s="10">
        <f t="shared" si="44"/>
        <v>1.3868695643925211</v>
      </c>
      <c r="J381" s="4">
        <f t="shared" si="45"/>
        <v>1957.6180221698892</v>
      </c>
      <c r="K381" s="4">
        <f t="shared" si="46"/>
        <v>440.09217709857677</v>
      </c>
      <c r="L381" s="45">
        <f>Pressure!Q381</f>
        <v>0.84909607576856383</v>
      </c>
      <c r="M381" s="10">
        <f t="shared" si="48"/>
        <v>4.3972712387934436</v>
      </c>
      <c r="N381" s="10">
        <f t="shared" si="47"/>
        <v>2.9545467240956045</v>
      </c>
    </row>
    <row r="382" spans="3:14">
      <c r="C382" s="4">
        <f>Pressure!AB382*1000000</f>
        <v>6374207.9048518473</v>
      </c>
      <c r="D382" s="84">
        <f>Pressure!I382</f>
        <v>2.214727558899525E-4</v>
      </c>
      <c r="E382" s="40">
        <f>Pressure!H382</f>
        <v>221.47275588995251</v>
      </c>
      <c r="F382" s="10">
        <f t="shared" si="42"/>
        <v>8</v>
      </c>
      <c r="G382" s="4">
        <f t="shared" si="41"/>
        <v>128431.89853640496</v>
      </c>
      <c r="H382" s="45">
        <f t="shared" si="43"/>
        <v>9.6646949558746016</v>
      </c>
      <c r="I382" s="10">
        <f t="shared" si="44"/>
        <v>1.3868853843499791</v>
      </c>
      <c r="J382" s="4">
        <f t="shared" si="45"/>
        <v>1957.8846692893551</v>
      </c>
      <c r="K382" s="4">
        <f t="shared" si="46"/>
        <v>440.15212204697519</v>
      </c>
      <c r="L382" s="45">
        <f>Pressure!Q382</f>
        <v>0.85134250836074088</v>
      </c>
      <c r="M382" s="10">
        <f t="shared" si="48"/>
        <v>4.397956430425503</v>
      </c>
      <c r="N382" s="10">
        <f t="shared" si="47"/>
        <v>2.9545467240956045</v>
      </c>
    </row>
    <row r="383" spans="3:14">
      <c r="C383" s="4">
        <f>Pressure!AB383*1000000</f>
        <v>6374993.070339933</v>
      </c>
      <c r="D383" s="84">
        <f>Pressure!I383</f>
        <v>2.214727558899525E-4</v>
      </c>
      <c r="E383" s="40">
        <f>Pressure!H383</f>
        <v>221.47275588995251</v>
      </c>
      <c r="F383" s="10">
        <f t="shared" si="42"/>
        <v>8</v>
      </c>
      <c r="G383" s="4">
        <f t="shared" si="41"/>
        <v>128447.71858743018</v>
      </c>
      <c r="H383" s="45">
        <f t="shared" si="43"/>
        <v>9.6656358022629849</v>
      </c>
      <c r="I383" s="10">
        <f t="shared" si="44"/>
        <v>1.3869009966403882</v>
      </c>
      <c r="J383" s="4">
        <f t="shared" si="45"/>
        <v>1958.1478814171551</v>
      </c>
      <c r="K383" s="4">
        <f t="shared" si="46"/>
        <v>440.21129477477524</v>
      </c>
      <c r="L383" s="45">
        <f>Pressure!Q383</f>
        <v>0.85358898247178927</v>
      </c>
      <c r="M383" s="10">
        <f t="shared" si="48"/>
        <v>4.3986328715924854</v>
      </c>
      <c r="N383" s="10">
        <f t="shared" si="47"/>
        <v>2.9545467240956045</v>
      </c>
    </row>
    <row r="384" spans="3:14">
      <c r="C384" s="4">
        <f>Pressure!AB384*1000000</f>
        <v>6375767.9899325417</v>
      </c>
      <c r="D384" s="84">
        <f>Pressure!I384</f>
        <v>2.214727558899525E-4</v>
      </c>
      <c r="E384" s="40">
        <f>Pressure!H384</f>
        <v>221.47275588995251</v>
      </c>
      <c r="F384" s="10">
        <f t="shared" si="42"/>
        <v>8</v>
      </c>
      <c r="G384" s="4">
        <f t="shared" si="41"/>
        <v>128463.33219714882</v>
      </c>
      <c r="H384" s="45">
        <f t="shared" si="43"/>
        <v>9.6665643515029274</v>
      </c>
      <c r="I384" s="10">
        <f t="shared" si="44"/>
        <v>1.3869164014303139</v>
      </c>
      <c r="J384" s="4">
        <f t="shared" si="45"/>
        <v>1958.4076587990435</v>
      </c>
      <c r="K384" s="4">
        <f t="shared" si="46"/>
        <v>440.26969533722485</v>
      </c>
      <c r="L384" s="45">
        <f>Pressure!Q384</f>
        <v>0.85583549756252764</v>
      </c>
      <c r="M384" s="10">
        <f t="shared" si="48"/>
        <v>4.3993005624053207</v>
      </c>
      <c r="N384" s="10">
        <f t="shared" si="47"/>
        <v>2.9545467240956045</v>
      </c>
    </row>
    <row r="385" spans="3:14">
      <c r="C385" s="4">
        <f>Pressure!AB385*1000000</f>
        <v>6376532.6643535001</v>
      </c>
      <c r="D385" s="84">
        <f>Pressure!I385</f>
        <v>2.214727558899525E-4</v>
      </c>
      <c r="E385" s="40">
        <f>Pressure!H385</f>
        <v>221.47275588995251</v>
      </c>
      <c r="F385" s="10">
        <f t="shared" si="42"/>
        <v>8</v>
      </c>
      <c r="G385" s="4">
        <f t="shared" si="41"/>
        <v>128478.73938014502</v>
      </c>
      <c r="H385" s="45">
        <f t="shared" si="43"/>
        <v>9.6674806052416251</v>
      </c>
      <c r="I385" s="10">
        <f t="shared" si="44"/>
        <v>1.3869315988840487</v>
      </c>
      <c r="J385" s="4">
        <f t="shared" si="45"/>
        <v>1958.6640016776705</v>
      </c>
      <c r="K385" s="4">
        <f t="shared" si="46"/>
        <v>440.32732378887425</v>
      </c>
      <c r="L385" s="45">
        <f>Pressure!Q385</f>
        <v>0.85808205309398222</v>
      </c>
      <c r="M385" s="10">
        <f t="shared" si="48"/>
        <v>4.3999595029739806</v>
      </c>
      <c r="N385" s="10">
        <f t="shared" si="47"/>
        <v>2.9545467240956045</v>
      </c>
    </row>
    <row r="386" spans="3:14">
      <c r="C386" s="4">
        <f>Pressure!AB386*1000000</f>
        <v>6377287.0943180211</v>
      </c>
      <c r="D386" s="84">
        <f>Pressure!I386</f>
        <v>2.214727558899525E-4</v>
      </c>
      <c r="E386" s="40">
        <f>Pressure!H386</f>
        <v>221.47275588995251</v>
      </c>
      <c r="F386" s="10">
        <f t="shared" si="42"/>
        <v>8</v>
      </c>
      <c r="G386" s="4">
        <f t="shared" si="41"/>
        <v>128493.9401508294</v>
      </c>
      <c r="H386" s="45">
        <f t="shared" si="43"/>
        <v>9.6683845651053897</v>
      </c>
      <c r="I386" s="10">
        <f t="shared" si="44"/>
        <v>1.386946589163629</v>
      </c>
      <c r="J386" s="4">
        <f t="shared" si="45"/>
        <v>1958.9169102927983</v>
      </c>
      <c r="K386" s="4">
        <f t="shared" si="46"/>
        <v>440.38418018362449</v>
      </c>
      <c r="L386" s="45">
        <f>Pressure!Q386</f>
        <v>0.860328648527384</v>
      </c>
      <c r="M386" s="10">
        <f t="shared" si="48"/>
        <v>4.4006096934074117</v>
      </c>
      <c r="N386" s="10">
        <f t="shared" si="47"/>
        <v>2.9545467240956045</v>
      </c>
    </row>
    <row r="387" spans="3:14">
      <c r="C387" s="4">
        <f>Pressure!AB387*1000000</f>
        <v>6378031.2805314921</v>
      </c>
      <c r="D387" s="84">
        <f>Pressure!I387</f>
        <v>2.214727558899525E-4</v>
      </c>
      <c r="E387" s="40">
        <f>Pressure!H387</f>
        <v>221.47275588995251</v>
      </c>
      <c r="F387" s="10">
        <f t="shared" si="42"/>
        <v>8</v>
      </c>
      <c r="G387" s="4">
        <f t="shared" si="41"/>
        <v>128508.93452341456</v>
      </c>
      <c r="H387" s="45">
        <f t="shared" si="43"/>
        <v>9.6692762326981967</v>
      </c>
      <c r="I387" s="10">
        <f t="shared" si="44"/>
        <v>1.3869613724288155</v>
      </c>
      <c r="J387" s="4">
        <f t="shared" si="45"/>
        <v>1959.1663848808937</v>
      </c>
      <c r="K387" s="4">
        <f t="shared" si="46"/>
        <v>440.44026457463553</v>
      </c>
      <c r="L387" s="45">
        <f>Pressure!Q387</f>
        <v>0.862575283324166</v>
      </c>
      <c r="M387" s="10">
        <f t="shared" si="48"/>
        <v>4.4012511338137461</v>
      </c>
      <c r="N387" s="10">
        <f t="shared" si="47"/>
        <v>2.9545467240956045</v>
      </c>
    </row>
    <row r="388" spans="3:14">
      <c r="C388" s="4">
        <f>Pressure!AB388*1000000</f>
        <v>6378765.2236908711</v>
      </c>
      <c r="D388" s="84">
        <f>Pressure!I388</f>
        <v>2.214727558899525E-4</v>
      </c>
      <c r="E388" s="40">
        <f>Pressure!H388</f>
        <v>221.47275588995251</v>
      </c>
      <c r="F388" s="10">
        <f t="shared" si="42"/>
        <v>8</v>
      </c>
      <c r="G388" s="4">
        <f t="shared" si="41"/>
        <v>128523.72251194333</v>
      </c>
      <c r="H388" s="45">
        <f t="shared" si="43"/>
        <v>9.6701556096033716</v>
      </c>
      <c r="I388" s="10">
        <f t="shared" si="44"/>
        <v>1.3869759488371249</v>
      </c>
      <c r="J388" s="4">
        <f t="shared" si="45"/>
        <v>1959.4124256755997</v>
      </c>
      <c r="K388" s="4">
        <f t="shared" si="46"/>
        <v>440.49557701443274</v>
      </c>
      <c r="L388" s="45">
        <f>Pressure!Q388</f>
        <v>0.86482195694596053</v>
      </c>
      <c r="M388" s="10">
        <f t="shared" si="48"/>
        <v>4.4018838243001435</v>
      </c>
      <c r="N388" s="10">
        <f t="shared" si="47"/>
        <v>2.9545467240956045</v>
      </c>
    </row>
    <row r="389" spans="3:14">
      <c r="C389" s="4">
        <f>Pressure!AB389*1000000</f>
        <v>6379488.9244833663</v>
      </c>
      <c r="D389" s="84">
        <f>Pressure!I389</f>
        <v>2.214727558899525E-4</v>
      </c>
      <c r="E389" s="40">
        <f>Pressure!H389</f>
        <v>221.47275588995251</v>
      </c>
      <c r="F389" s="10">
        <f t="shared" si="42"/>
        <v>8</v>
      </c>
      <c r="G389" s="4">
        <f t="shared" si="41"/>
        <v>128538.304130262</v>
      </c>
      <c r="H389" s="45">
        <f t="shared" si="43"/>
        <v>9.6710226973820053</v>
      </c>
      <c r="I389" s="10">
        <f t="shared" si="44"/>
        <v>1.3869903185438088</v>
      </c>
      <c r="J389" s="4">
        <f t="shared" si="45"/>
        <v>1959.65503290729</v>
      </c>
      <c r="K389" s="4">
        <f t="shared" si="46"/>
        <v>440.55011755480643</v>
      </c>
      <c r="L389" s="45">
        <f>Pressure!Q389</f>
        <v>0.86706866885459666</v>
      </c>
      <c r="M389" s="10">
        <f t="shared" si="48"/>
        <v>4.402507764973242</v>
      </c>
      <c r="N389" s="10">
        <f t="shared" si="47"/>
        <v>2.9545467240956045</v>
      </c>
    </row>
    <row r="390" spans="3:14">
      <c r="C390" s="4">
        <f>Pressure!AB390*1000000</f>
        <v>6380202.3835878344</v>
      </c>
      <c r="D390" s="84">
        <f>Pressure!I390</f>
        <v>2.214727558899525E-4</v>
      </c>
      <c r="E390" s="40">
        <f>Pressure!H390</f>
        <v>221.47275588995251</v>
      </c>
      <c r="F390" s="10">
        <f t="shared" si="42"/>
        <v>8</v>
      </c>
      <c r="G390" s="4">
        <f t="shared" si="41"/>
        <v>128552.67939204867</v>
      </c>
      <c r="H390" s="45">
        <f t="shared" si="43"/>
        <v>9.6718774975746644</v>
      </c>
      <c r="I390" s="10">
        <f t="shared" si="44"/>
        <v>1.3870044817018845</v>
      </c>
      <c r="J390" s="4">
        <f t="shared" si="45"/>
        <v>1959.8942068035383</v>
      </c>
      <c r="K390" s="4">
        <f t="shared" si="46"/>
        <v>440.60388624691745</v>
      </c>
      <c r="L390" s="45">
        <f>Pressure!Q390</f>
        <v>0.86931541851209704</v>
      </c>
      <c r="M390" s="10">
        <f t="shared" si="48"/>
        <v>4.4031229559380884</v>
      </c>
      <c r="N390" s="10">
        <f t="shared" si="47"/>
        <v>2.9545467240956045</v>
      </c>
    </row>
    <row r="391" spans="3:14">
      <c r="C391" s="4">
        <f>Pressure!AB391*1000000</f>
        <v>6380905.6016733972</v>
      </c>
      <c r="D391" s="84">
        <f>Pressure!I391</f>
        <v>2.214727558899525E-4</v>
      </c>
      <c r="E391" s="40">
        <f>Pressure!H391</f>
        <v>221.47275588995251</v>
      </c>
      <c r="F391" s="10">
        <f t="shared" si="42"/>
        <v>8</v>
      </c>
      <c r="G391" s="4">
        <f t="shared" si="41"/>
        <v>128566.84831078527</v>
      </c>
      <c r="H391" s="45">
        <f t="shared" si="43"/>
        <v>9.6727200116997398</v>
      </c>
      <c r="I391" s="10">
        <f t="shared" si="44"/>
        <v>1.3870184384621116</v>
      </c>
      <c r="J391" s="4">
        <f t="shared" si="45"/>
        <v>1960.1299475886556</v>
      </c>
      <c r="K391" s="4">
        <f t="shared" si="46"/>
        <v>440.65688314119319</v>
      </c>
      <c r="L391" s="45">
        <f>Pressure!Q391</f>
        <v>0.87156220538067541</v>
      </c>
      <c r="M391" s="10">
        <f t="shared" si="48"/>
        <v>4.4037293972992178</v>
      </c>
      <c r="N391" s="10">
        <f t="shared" si="47"/>
        <v>2.9545467240956045</v>
      </c>
    </row>
    <row r="392" spans="3:14">
      <c r="C392" s="4">
        <f>Pressure!AB392*1000000</f>
        <v>6381598.579400464</v>
      </c>
      <c r="D392" s="84">
        <f>Pressure!I392</f>
        <v>2.214727558899525E-4</v>
      </c>
      <c r="E392" s="40">
        <f>Pressure!H392</f>
        <v>221.47275588995251</v>
      </c>
      <c r="F392" s="10">
        <f t="shared" si="42"/>
        <v>8</v>
      </c>
      <c r="G392" s="4">
        <f t="shared" si="41"/>
        <v>128580.81089977814</v>
      </c>
      <c r="H392" s="45">
        <f t="shared" si="43"/>
        <v>9.6735502412546506</v>
      </c>
      <c r="I392" s="10">
        <f t="shared" si="44"/>
        <v>1.3870321889730175</v>
      </c>
      <c r="J392" s="4">
        <f t="shared" si="45"/>
        <v>1960.3622554840317</v>
      </c>
      <c r="K392" s="4">
        <f t="shared" si="46"/>
        <v>440.70910828740426</v>
      </c>
      <c r="L392" s="45">
        <f>Pressure!Q392</f>
        <v>0.87380902892273382</v>
      </c>
      <c r="M392" s="10">
        <f t="shared" si="48"/>
        <v>4.4043270891600717</v>
      </c>
      <c r="N392" s="10">
        <f t="shared" si="47"/>
        <v>2.9545467240956045</v>
      </c>
    </row>
    <row r="393" spans="3:14">
      <c r="C393" s="4">
        <f>Pressure!AB393*1000000</f>
        <v>6382281.3174205888</v>
      </c>
      <c r="D393" s="84">
        <f>Pressure!I393</f>
        <v>2.214727558899525E-4</v>
      </c>
      <c r="E393" s="40">
        <f>Pressure!H393</f>
        <v>221.47275588995251</v>
      </c>
      <c r="F393" s="10">
        <f t="shared" si="42"/>
        <v>8</v>
      </c>
      <c r="G393" s="4">
        <f t="shared" si="41"/>
        <v>128594.56717215528</v>
      </c>
      <c r="H393" s="45">
        <f t="shared" si="43"/>
        <v>9.6743681877157357</v>
      </c>
      <c r="I393" s="10">
        <f t="shared" si="44"/>
        <v>1.387045733380897</v>
      </c>
      <c r="J393" s="4">
        <f t="shared" si="45"/>
        <v>1960.591130708088</v>
      </c>
      <c r="K393" s="4">
        <f t="shared" si="46"/>
        <v>440.760561734654</v>
      </c>
      <c r="L393" s="45">
        <f>Pressure!Q393</f>
        <v>0.87605588860086003</v>
      </c>
      <c r="M393" s="10">
        <f t="shared" si="48"/>
        <v>4.4049160316237534</v>
      </c>
      <c r="N393" s="10">
        <f t="shared" si="47"/>
        <v>2.9545467240956045</v>
      </c>
    </row>
    <row r="394" spans="3:14">
      <c r="C394" s="4">
        <f>Pressure!AB394*1000000</f>
        <v>6382953.8163756132</v>
      </c>
      <c r="D394" s="84">
        <f>Pressure!I394</f>
        <v>2.214727558899525E-4</v>
      </c>
      <c r="E394" s="40">
        <f>Pressure!H394</f>
        <v>221.47275588995251</v>
      </c>
      <c r="F394" s="10">
        <f t="shared" si="42"/>
        <v>8</v>
      </c>
      <c r="G394" s="4">
        <f t="shared" si="41"/>
        <v>128608.11714084892</v>
      </c>
      <c r="H394" s="45">
        <f t="shared" si="43"/>
        <v>9.6751738525371813</v>
      </c>
      <c r="I394" s="10">
        <f t="shared" si="44"/>
        <v>1.3870590718298001</v>
      </c>
      <c r="J394" s="4">
        <f t="shared" si="45"/>
        <v>1960.8165734759898</v>
      </c>
      <c r="K394" s="4">
        <f t="shared" si="46"/>
        <v>440.81124353131378</v>
      </c>
      <c r="L394" s="45">
        <f>Pressure!Q394</f>
        <v>0.87830278387782446</v>
      </c>
      <c r="M394" s="10">
        <f t="shared" si="48"/>
        <v>4.4054962247915519</v>
      </c>
      <c r="N394" s="10">
        <f t="shared" si="47"/>
        <v>2.9545467240956045</v>
      </c>
    </row>
    <row r="395" spans="3:14">
      <c r="C395" s="4">
        <f>Pressure!AB395*1000000</f>
        <v>6383616.0768990004</v>
      </c>
      <c r="D395" s="84">
        <f>Pressure!I395</f>
        <v>2.214727558899525E-4</v>
      </c>
      <c r="E395" s="40">
        <f>Pressure!H395</f>
        <v>221.47275588995251</v>
      </c>
      <c r="F395" s="10">
        <f t="shared" si="42"/>
        <v>8</v>
      </c>
      <c r="G395" s="4">
        <f t="shared" si="41"/>
        <v>128621.46081862254</v>
      </c>
      <c r="H395" s="45">
        <f t="shared" si="43"/>
        <v>9.6759672371526815</v>
      </c>
      <c r="I395" s="10">
        <f t="shared" si="44"/>
        <v>1.3870722044615622</v>
      </c>
      <c r="J395" s="4">
        <f t="shared" si="45"/>
        <v>1961.0385840000943</v>
      </c>
      <c r="K395" s="4">
        <f t="shared" si="46"/>
        <v>440.86115372512347</v>
      </c>
      <c r="L395" s="45">
        <f>Pressure!Q395</f>
        <v>0.88054971421657768</v>
      </c>
      <c r="M395" s="10">
        <f t="shared" si="48"/>
        <v>4.4060676687644156</v>
      </c>
      <c r="N395" s="10">
        <f t="shared" si="47"/>
        <v>2.9545467240956045</v>
      </c>
    </row>
    <row r="396" spans="3:14">
      <c r="C396" s="4">
        <f>Pressure!AB396*1000000</f>
        <v>6384268.0996146873</v>
      </c>
      <c r="D396" s="84">
        <f>Pressure!I396</f>
        <v>2.214727558899525E-4</v>
      </c>
      <c r="E396" s="40">
        <f>Pressure!H396</f>
        <v>221.47275588995251</v>
      </c>
      <c r="F396" s="10">
        <f t="shared" si="42"/>
        <v>8</v>
      </c>
      <c r="G396" s="4">
        <f t="shared" si="41"/>
        <v>128634.59821804761</v>
      </c>
      <c r="H396" s="45">
        <f t="shared" si="43"/>
        <v>9.6767483429740349</v>
      </c>
      <c r="I396" s="10">
        <f t="shared" si="44"/>
        <v>1.3870851314157844</v>
      </c>
      <c r="J396" s="4">
        <f t="shared" si="45"/>
        <v>1961.2571624895643</v>
      </c>
      <c r="K396" s="4">
        <f t="shared" si="46"/>
        <v>440.91029236310516</v>
      </c>
      <c r="L396" s="45">
        <f>Pressure!Q396</f>
        <v>0.88279667908024761</v>
      </c>
      <c r="M396" s="10">
        <f t="shared" si="48"/>
        <v>4.4066303636421438</v>
      </c>
      <c r="N396" s="10">
        <f t="shared" si="47"/>
        <v>2.9545467240956045</v>
      </c>
    </row>
    <row r="397" spans="3:14">
      <c r="C397" s="4">
        <f>Pressure!AB397*1000000</f>
        <v>6384909.8851380348</v>
      </c>
      <c r="D397" s="84">
        <f>Pressure!I397</f>
        <v>2.214727558899525E-4</v>
      </c>
      <c r="E397" s="40">
        <f>Pressure!H397</f>
        <v>221.47275588995251</v>
      </c>
      <c r="F397" s="10">
        <f t="shared" si="42"/>
        <v>8</v>
      </c>
      <c r="G397" s="4">
        <f t="shared" si="41"/>
        <v>128647.52935152287</v>
      </c>
      <c r="H397" s="45">
        <f t="shared" si="43"/>
        <v>9.6775171713923083</v>
      </c>
      <c r="I397" s="10">
        <f t="shared" si="44"/>
        <v>1.387097852829857</v>
      </c>
      <c r="J397" s="4">
        <f t="shared" si="45"/>
        <v>1961.4723091506885</v>
      </c>
      <c r="K397" s="4">
        <f t="shared" si="46"/>
        <v>440.95865949163448</v>
      </c>
      <c r="L397" s="45">
        <f>Pressure!Q397</f>
        <v>0.8850436779321369</v>
      </c>
      <c r="M397" s="10">
        <f t="shared" si="48"/>
        <v>4.4071843095239478</v>
      </c>
      <c r="N397" s="10">
        <f t="shared" si="47"/>
        <v>2.9545467240956045</v>
      </c>
    </row>
    <row r="398" spans="3:14">
      <c r="C398" s="4">
        <f>Pressure!AB398*1000000</f>
        <v>6385541.4340748992</v>
      </c>
      <c r="D398" s="84">
        <f>Pressure!I398</f>
        <v>2.214727558899525E-4</v>
      </c>
      <c r="E398" s="40">
        <f>Pressure!H398</f>
        <v>221.47275588995251</v>
      </c>
      <c r="F398" s="10">
        <f t="shared" si="42"/>
        <v>8</v>
      </c>
      <c r="G398" s="4">
        <f t="shared" si="41"/>
        <v>128660.25423125552</v>
      </c>
      <c r="H398" s="45">
        <f t="shared" si="43"/>
        <v>9.6782737237767282</v>
      </c>
      <c r="I398" s="10">
        <f t="shared" si="44"/>
        <v>1.3871103688389437</v>
      </c>
      <c r="J398" s="4">
        <f t="shared" si="45"/>
        <v>1961.6840241865684</v>
      </c>
      <c r="K398" s="4">
        <f t="shared" si="46"/>
        <v>441.00625515637074</v>
      </c>
      <c r="L398" s="45">
        <f>Pressure!Q398</f>
        <v>0.88729071023572015</v>
      </c>
      <c r="M398" s="10">
        <f t="shared" si="48"/>
        <v>4.4077295065080202</v>
      </c>
      <c r="N398" s="10">
        <f t="shared" si="47"/>
        <v>2.9545467240956045</v>
      </c>
    </row>
    <row r="399" spans="3:14">
      <c r="C399" s="4">
        <f>Pressure!AB399*1000000</f>
        <v>6386162.7470225338</v>
      </c>
      <c r="D399" s="84">
        <f>Pressure!I399</f>
        <v>2.214727558899525E-4</v>
      </c>
      <c r="E399" s="40">
        <f>Pressure!H399</f>
        <v>221.47275588995251</v>
      </c>
      <c r="F399" s="10">
        <f t="shared" si="42"/>
        <v>8</v>
      </c>
      <c r="G399" s="4">
        <f t="shared" si="41"/>
        <v>128672.77286927942</v>
      </c>
      <c r="H399" s="45">
        <f t="shared" si="43"/>
        <v>9.6790180014757823</v>
      </c>
      <c r="I399" s="10">
        <f t="shared" si="44"/>
        <v>1.3871226795760039</v>
      </c>
      <c r="J399" s="4">
        <f t="shared" si="45"/>
        <v>1961.8923077974225</v>
      </c>
      <c r="K399" s="4">
        <f t="shared" si="46"/>
        <v>441.05307940232512</v>
      </c>
      <c r="L399" s="45">
        <f>Pressure!Q399</f>
        <v>0.88953777545464097</v>
      </c>
      <c r="M399" s="10">
        <f t="shared" si="48"/>
        <v>4.4082659546910739</v>
      </c>
      <c r="N399" s="10">
        <f t="shared" si="47"/>
        <v>2.9545467240956045</v>
      </c>
    </row>
    <row r="400" spans="3:14">
      <c r="C400" s="4">
        <f>Pressure!AB400*1000000</f>
        <v>6386773.8245688435</v>
      </c>
      <c r="D400" s="84">
        <f>Pressure!I400</f>
        <v>2.214727558899525E-4</v>
      </c>
      <c r="E400" s="40">
        <f>Pressure!H400</f>
        <v>221.47275588995251</v>
      </c>
      <c r="F400" s="10">
        <f t="shared" si="42"/>
        <v>8</v>
      </c>
      <c r="G400" s="4">
        <f t="shared" si="41"/>
        <v>128685.0852774401</v>
      </c>
      <c r="H400" s="45">
        <f t="shared" si="43"/>
        <v>9.6797500058163095</v>
      </c>
      <c r="I400" s="10">
        <f t="shared" si="44"/>
        <v>1.3871347851717815</v>
      </c>
      <c r="J400" s="4">
        <f t="shared" si="45"/>
        <v>1962.0971601803349</v>
      </c>
      <c r="K400" s="4">
        <f t="shared" si="46"/>
        <v>441.099132273804</v>
      </c>
      <c r="L400" s="45">
        <f>Pressure!Q400</f>
        <v>0.89178487305270959</v>
      </c>
      <c r="M400" s="10">
        <f t="shared" si="48"/>
        <v>4.4087936541697017</v>
      </c>
      <c r="N400" s="10">
        <f t="shared" si="47"/>
        <v>2.9545467240956045</v>
      </c>
    </row>
    <row r="401" spans="3:14">
      <c r="C401" s="4">
        <f>Pressure!AB401*1000000</f>
        <v>6387374.6672927467</v>
      </c>
      <c r="D401" s="84">
        <f>Pressure!I401</f>
        <v>2.214727558899525E-4</v>
      </c>
      <c r="E401" s="40">
        <f>Pressure!H401</f>
        <v>221.47275588995251</v>
      </c>
      <c r="F401" s="10">
        <f t="shared" si="42"/>
        <v>8</v>
      </c>
      <c r="G401" s="4">
        <f t="shared" si="41"/>
        <v>128697.19146740198</v>
      </c>
      <c r="H401" s="45">
        <f t="shared" si="43"/>
        <v>9.6804697381039837</v>
      </c>
      <c r="I401" s="10">
        <f t="shared" si="44"/>
        <v>1.387146685754814</v>
      </c>
      <c r="J401" s="4">
        <f t="shared" si="45"/>
        <v>1962.2985815293769</v>
      </c>
      <c r="K401" s="4">
        <f t="shared" si="46"/>
        <v>441.14441381443658</v>
      </c>
      <c r="L401" s="45">
        <f>Pressure!Q401</f>
        <v>0.89403200249390002</v>
      </c>
      <c r="M401" s="10">
        <f t="shared" si="48"/>
        <v>4.4093126050391271</v>
      </c>
      <c r="N401" s="10">
        <f t="shared" si="47"/>
        <v>2.9545467240956045</v>
      </c>
    </row>
    <row r="402" spans="3:14">
      <c r="C402" s="4">
        <f>Pressure!AB402*1000000</f>
        <v>6387965.2757644355</v>
      </c>
      <c r="D402" s="84">
        <f>Pressure!I402</f>
        <v>2.214727558899525E-4</v>
      </c>
      <c r="E402" s="40">
        <f>Pressure!H402</f>
        <v>221.47275588995251</v>
      </c>
      <c r="F402" s="10">
        <f t="shared" si="42"/>
        <v>8</v>
      </c>
      <c r="G402" s="4">
        <f t="shared" si="41"/>
        <v>128709.09145065369</v>
      </c>
      <c r="H402" s="45">
        <f t="shared" si="43"/>
        <v>9.6811771996235869</v>
      </c>
      <c r="I402" s="10">
        <f t="shared" si="44"/>
        <v>1.3871583814514434</v>
      </c>
      <c r="J402" s="4">
        <f t="shared" si="45"/>
        <v>1962.4965720356956</v>
      </c>
      <c r="K402" s="4">
        <f t="shared" si="46"/>
        <v>441.18892406719476</v>
      </c>
      <c r="L402" s="45">
        <f>Pressure!Q402</f>
        <v>0.89627916324234724</v>
      </c>
      <c r="M402" s="10">
        <f t="shared" si="48"/>
        <v>4.4098228073936534</v>
      </c>
      <c r="N402" s="10">
        <f t="shared" si="47"/>
        <v>2.9545467240956045</v>
      </c>
    </row>
    <row r="403" spans="3:14">
      <c r="C403" s="4">
        <f>Pressure!AB403*1000000</f>
        <v>6388545.65054492</v>
      </c>
      <c r="D403" s="84">
        <f>Pressure!I403</f>
        <v>2.214727558899525E-4</v>
      </c>
      <c r="E403" s="40">
        <f>Pressure!H403</f>
        <v>221.47275588995251</v>
      </c>
      <c r="F403" s="10">
        <f t="shared" si="42"/>
        <v>8</v>
      </c>
      <c r="G403" s="4">
        <f t="shared" si="41"/>
        <v>128720.78523849885</v>
      </c>
      <c r="H403" s="45">
        <f t="shared" si="43"/>
        <v>9.6818723916385192</v>
      </c>
      <c r="I403" s="10">
        <f t="shared" si="44"/>
        <v>1.3871698723858086</v>
      </c>
      <c r="J403" s="4">
        <f t="shared" si="45"/>
        <v>1962.6911318873583</v>
      </c>
      <c r="K403" s="4">
        <f t="shared" si="46"/>
        <v>441.23266307435779</v>
      </c>
      <c r="L403" s="45">
        <f>Pressure!Q403</f>
        <v>0.89852635476234466</v>
      </c>
      <c r="M403" s="10">
        <f t="shared" si="48"/>
        <v>4.4103242613270073</v>
      </c>
      <c r="N403" s="10">
        <f t="shared" si="47"/>
        <v>2.9545467240956045</v>
      </c>
    </row>
    <row r="404" spans="3:14">
      <c r="C404" s="4">
        <f>Pressure!AB404*1000000</f>
        <v>6389115.7921860833</v>
      </c>
      <c r="D404" s="84">
        <f>Pressure!I404</f>
        <v>2.214727558899525E-4</v>
      </c>
      <c r="E404" s="40">
        <f>Pressure!H404</f>
        <v>221.47275588995251</v>
      </c>
      <c r="F404" s="10">
        <f t="shared" si="42"/>
        <v>8</v>
      </c>
      <c r="G404" s="4">
        <f t="shared" si="41"/>
        <v>128732.27284205718</v>
      </c>
      <c r="H404" s="45">
        <f t="shared" si="43"/>
        <v>9.6825553153908288</v>
      </c>
      <c r="I404" s="10">
        <f t="shared" si="44"/>
        <v>1.3871811586798501</v>
      </c>
      <c r="J404" s="4">
        <f t="shared" si="45"/>
        <v>1962.8822612693741</v>
      </c>
      <c r="K404" s="4">
        <f t="shared" si="46"/>
        <v>441.2756308775177</v>
      </c>
      <c r="L404" s="45">
        <f>Pressure!Q404</f>
        <v>0.90077357651834122</v>
      </c>
      <c r="M404" s="10">
        <f t="shared" si="48"/>
        <v>4.4108169669315327</v>
      </c>
      <c r="N404" s="10">
        <f t="shared" si="47"/>
        <v>2.9545467240956045</v>
      </c>
    </row>
    <row r="405" spans="3:14">
      <c r="C405" s="4">
        <f>Pressure!AB405*1000000</f>
        <v>6389675.7012310158</v>
      </c>
      <c r="D405" s="84">
        <f>Pressure!I405</f>
        <v>2.214727558899525E-4</v>
      </c>
      <c r="E405" s="40">
        <f>Pressure!H405</f>
        <v>221.47275588995251</v>
      </c>
      <c r="F405" s="10">
        <f t="shared" si="42"/>
        <v>8</v>
      </c>
      <c r="G405" s="4">
        <f t="shared" si="41"/>
        <v>128743.55427227123</v>
      </c>
      <c r="H405" s="45">
        <f t="shared" si="43"/>
        <v>9.6832259721016456</v>
      </c>
      <c r="I405" s="10">
        <f t="shared" si="44"/>
        <v>1.387192240453321</v>
      </c>
      <c r="J405" s="4">
        <f t="shared" si="45"/>
        <v>1963.0699603638034</v>
      </c>
      <c r="K405" s="4">
        <f t="shared" si="46"/>
        <v>441.3178275176034</v>
      </c>
      <c r="L405" s="45">
        <f>Pressure!Q405</f>
        <v>0.90302082797493899</v>
      </c>
      <c r="M405" s="10">
        <f t="shared" si="48"/>
        <v>4.4113009242991952</v>
      </c>
      <c r="N405" s="10">
        <f t="shared" si="47"/>
        <v>2.9545467240956045</v>
      </c>
    </row>
    <row r="406" spans="3:14">
      <c r="C406" s="4">
        <f>Pressure!AB406*1000000</f>
        <v>6390225.3782138536</v>
      </c>
      <c r="D406" s="84">
        <f>Pressure!I406</f>
        <v>2.214727558899525E-4</v>
      </c>
      <c r="E406" s="40">
        <f>Pressure!H406</f>
        <v>221.47275588995251</v>
      </c>
      <c r="F406" s="10">
        <f t="shared" si="42"/>
        <v>8</v>
      </c>
      <c r="G406" s="4">
        <f t="shared" si="41"/>
        <v>128754.62953990312</v>
      </c>
      <c r="H406" s="45">
        <f t="shared" si="43"/>
        <v>9.6838843629710034</v>
      </c>
      <c r="I406" s="10">
        <f t="shared" si="44"/>
        <v>1.3872031178237854</v>
      </c>
      <c r="J406" s="4">
        <f t="shared" si="45"/>
        <v>1963.2542293497061</v>
      </c>
      <c r="K406" s="4">
        <f t="shared" si="46"/>
        <v>441.35925303486943</v>
      </c>
      <c r="L406" s="45">
        <f>Pressure!Q406</f>
        <v>0.90526810859689011</v>
      </c>
      <c r="M406" s="10">
        <f t="shared" si="48"/>
        <v>4.4117761335205508</v>
      </c>
      <c r="N406" s="10">
        <f t="shared" si="47"/>
        <v>2.9545467240956045</v>
      </c>
    </row>
    <row r="407" spans="3:14">
      <c r="C407" s="4">
        <f>Pressure!AB407*1000000</f>
        <v>6390764.8236596333</v>
      </c>
      <c r="D407" s="84">
        <f>Pressure!I407</f>
        <v>2.214727558899525E-4</v>
      </c>
      <c r="E407" s="40">
        <f>Pressure!H407</f>
        <v>221.47275588995251</v>
      </c>
      <c r="F407" s="10">
        <f t="shared" si="42"/>
        <v>8</v>
      </c>
      <c r="G407" s="4">
        <f t="shared" si="41"/>
        <v>128765.49865553169</v>
      </c>
      <c r="H407" s="45">
        <f t="shared" si="43"/>
        <v>9.6845304891776589</v>
      </c>
      <c r="I407" s="10">
        <f t="shared" si="44"/>
        <v>1.3872137909066196</v>
      </c>
      <c r="J407" s="4">
        <f t="shared" si="45"/>
        <v>1963.4350684030908</v>
      </c>
      <c r="K407" s="4">
        <f t="shared" si="46"/>
        <v>441.39990746888424</v>
      </c>
      <c r="L407" s="45">
        <f>Pressure!Q407</f>
        <v>0.90751541784909429</v>
      </c>
      <c r="M407" s="10">
        <f t="shared" si="48"/>
        <v>4.412242594685492</v>
      </c>
      <c r="N407" s="10">
        <f t="shared" si="47"/>
        <v>2.9545467240956045</v>
      </c>
    </row>
    <row r="408" spans="3:14">
      <c r="C408" s="4">
        <f>Pressure!AB408*1000000</f>
        <v>6391294.038084398</v>
      </c>
      <c r="D408" s="84">
        <f>Pressure!I408</f>
        <v>2.214727558899525E-4</v>
      </c>
      <c r="E408" s="40">
        <f>Pressure!H408</f>
        <v>221.47275588995251</v>
      </c>
      <c r="F408" s="10">
        <f t="shared" si="42"/>
        <v>8</v>
      </c>
      <c r="G408" s="4">
        <f t="shared" si="41"/>
        <v>128776.16162955448</v>
      </c>
      <c r="H408" s="45">
        <f t="shared" si="43"/>
        <v>9.6851643518792283</v>
      </c>
      <c r="I408" s="10">
        <f t="shared" si="44"/>
        <v>1.3872242598150168</v>
      </c>
      <c r="J408" s="4">
        <f t="shared" si="45"/>
        <v>1963.6124776969511</v>
      </c>
      <c r="K408" s="4">
        <f t="shared" si="46"/>
        <v>441.43979085853857</v>
      </c>
      <c r="L408" s="45">
        <f>Pressure!Q408</f>
        <v>0.90976275519659611</v>
      </c>
      <c r="M408" s="10">
        <f t="shared" si="48"/>
        <v>4.4127003078830018</v>
      </c>
      <c r="N408" s="10">
        <f t="shared" si="47"/>
        <v>2.9545467240956045</v>
      </c>
    </row>
    <row r="409" spans="3:14">
      <c r="C409" s="4">
        <f>Pressure!AB409*1000000</f>
        <v>6391813.0219953796</v>
      </c>
      <c r="D409" s="84">
        <f>Pressure!I409</f>
        <v>2.214727558899525E-4</v>
      </c>
      <c r="E409" s="40">
        <f>Pressure!H409</f>
        <v>221.47275588995251</v>
      </c>
      <c r="F409" s="10">
        <f t="shared" si="42"/>
        <v>8</v>
      </c>
      <c r="G409" s="4">
        <f t="shared" si="41"/>
        <v>128786.61847219159</v>
      </c>
      <c r="H409" s="45">
        <f t="shared" si="43"/>
        <v>9.6857859522124095</v>
      </c>
      <c r="I409" s="10">
        <f t="shared" si="44"/>
        <v>1.387234524659994</v>
      </c>
      <c r="J409" s="4">
        <f t="shared" si="45"/>
        <v>1963.786457401327</v>
      </c>
      <c r="K409" s="4">
        <f t="shared" si="46"/>
        <v>441.47890324205906</v>
      </c>
      <c r="L409" s="45">
        <f>Pressure!Q409</f>
        <v>0.91201012010458238</v>
      </c>
      <c r="M409" s="10">
        <f t="shared" si="48"/>
        <v>4.4131492732012605</v>
      </c>
      <c r="N409" s="10">
        <f t="shared" si="47"/>
        <v>2.9545467240956045</v>
      </c>
    </row>
    <row r="410" spans="3:14">
      <c r="C410" s="4">
        <f>Pressure!AB410*1000000</f>
        <v>6392321.7758905347</v>
      </c>
      <c r="D410" s="84">
        <f>Pressure!I410</f>
        <v>2.214727558899525E-4</v>
      </c>
      <c r="E410" s="40">
        <f>Pressure!H410</f>
        <v>221.47275588995251</v>
      </c>
      <c r="F410" s="10">
        <f t="shared" si="42"/>
        <v>8</v>
      </c>
      <c r="G410" s="4">
        <f t="shared" si="41"/>
        <v>128796.86919347616</v>
      </c>
      <c r="H410" s="45">
        <f t="shared" si="43"/>
        <v>9.6863952912924489</v>
      </c>
      <c r="I410" s="10">
        <f t="shared" si="44"/>
        <v>1.387244585550385</v>
      </c>
      <c r="J410" s="4">
        <f t="shared" si="45"/>
        <v>1963.9570076831492</v>
      </c>
      <c r="K410" s="4">
        <f t="shared" si="46"/>
        <v>441.51724465697345</v>
      </c>
      <c r="L410" s="45">
        <f>Pressure!Q410</f>
        <v>0.91425751203837924</v>
      </c>
      <c r="M410" s="10">
        <f t="shared" si="48"/>
        <v>4.4135894907270918</v>
      </c>
      <c r="N410" s="10">
        <f t="shared" si="47"/>
        <v>2.9545467240956045</v>
      </c>
    </row>
    <row r="411" spans="3:14">
      <c r="C411" s="4">
        <f>Pressure!AB411*1000000</f>
        <v>6392820.3002591264</v>
      </c>
      <c r="D411" s="84">
        <f>Pressure!I411</f>
        <v>2.214727558899525E-4</v>
      </c>
      <c r="E411" s="40">
        <f>Pressure!H411</f>
        <v>221.47275588995251</v>
      </c>
      <c r="F411" s="10">
        <f t="shared" si="42"/>
        <v>8</v>
      </c>
      <c r="G411" s="4">
        <f t="shared" si="41"/>
        <v>128806.91380326622</v>
      </c>
      <c r="H411" s="45">
        <f t="shared" si="43"/>
        <v>9.6869923702138294</v>
      </c>
      <c r="I411" s="10">
        <f t="shared" si="44"/>
        <v>1.3872544425928564</v>
      </c>
      <c r="J411" s="4">
        <f t="shared" si="45"/>
        <v>1964.1241287064347</v>
      </c>
      <c r="K411" s="4">
        <f t="shared" si="46"/>
        <v>441.5548151401544</v>
      </c>
      <c r="L411" s="45">
        <f>Pressure!Q411</f>
        <v>0.91650493046344972</v>
      </c>
      <c r="M411" s="10">
        <f t="shared" si="48"/>
        <v>4.4140209605468694</v>
      </c>
      <c r="N411" s="10">
        <f t="shared" si="47"/>
        <v>2.9545467240956045</v>
      </c>
    </row>
    <row r="412" spans="3:14">
      <c r="C412" s="4">
        <f>Pressure!AB412*1000000</f>
        <v>6393308.5955815539</v>
      </c>
      <c r="D412" s="84">
        <f>Pressure!I412</f>
        <v>2.214727558899525E-4</v>
      </c>
      <c r="E412" s="40">
        <f>Pressure!H412</f>
        <v>221.47275588995251</v>
      </c>
      <c r="F412" s="10">
        <f t="shared" si="42"/>
        <v>8</v>
      </c>
      <c r="G412" s="4">
        <f t="shared" ref="G412:G475" si="49">IF(C412/(1+(k-1)/2*N412^2)^(k/(k-1))&lt;patm*1000000,patm*1000000,C412/(1+(k-1)/2*N412^2)^(k/(k-1)))</f>
        <v>128816.75231124114</v>
      </c>
      <c r="H412" s="45">
        <f t="shared" si="43"/>
        <v>9.6875771900500975</v>
      </c>
      <c r="I412" s="10">
        <f t="shared" si="44"/>
        <v>1.3872640958919047</v>
      </c>
      <c r="J412" s="4">
        <f t="shared" si="45"/>
        <v>1964.2878206322273</v>
      </c>
      <c r="K412" s="4">
        <f t="shared" si="46"/>
        <v>441.59161472780613</v>
      </c>
      <c r="L412" s="45">
        <f>Pressure!Q412</f>
        <v>0.91875237484539085</v>
      </c>
      <c r="M412" s="10">
        <f t="shared" si="48"/>
        <v>4.4144436827457945</v>
      </c>
      <c r="N412" s="10">
        <f t="shared" si="47"/>
        <v>2.9545467240956045</v>
      </c>
    </row>
    <row r="413" spans="3:14">
      <c r="C413" s="4">
        <f>Pressure!AB413*1000000</f>
        <v>6393786.6623288188</v>
      </c>
      <c r="D413" s="84">
        <f>Pressure!I413</f>
        <v>2.214727558899525E-4</v>
      </c>
      <c r="E413" s="40">
        <f>Pressure!H413</f>
        <v>221.47275588995251</v>
      </c>
      <c r="F413" s="10">
        <f t="shared" ref="F413:F476" si="50">aexit/E413</f>
        <v>8</v>
      </c>
      <c r="G413" s="4">
        <f t="shared" si="49"/>
        <v>128826.38472689105</v>
      </c>
      <c r="H413" s="45">
        <f t="shared" ref="H413:H476" si="51">1/(((k+1)/2)^(1/(k-1))*(patm*1000000/C413)^(1/k)*SQRT((k+1)/(k-1)*(1-(patm*1000000/C413)^((k-1)/k))))</f>
        <v>9.6881497518531905</v>
      </c>
      <c r="I413" s="10">
        <f t="shared" ref="I413:I476" si="52">etanoz*SQRT(2*k^2/(k-1)*(2/(k+1))^((k+1)/(k-1))*(1-(G413/C413)^((k-1)/k)))+(G413-patm*1000000)/C413*(aexit/E413)</f>
        <v>1.3872735455498506</v>
      </c>
      <c r="J413" s="4">
        <f t="shared" ref="J413:J476" si="53">I413*D413*C413</f>
        <v>1964.4480836184225</v>
      </c>
      <c r="K413" s="4">
        <f t="shared" ref="K413:K474" si="54">J413/4.4482</f>
        <v>441.62764345542524</v>
      </c>
      <c r="L413" s="45">
        <f>Pressure!Q413</f>
        <v>0.92099984464993112</v>
      </c>
      <c r="M413" s="10">
        <f t="shared" si="48"/>
        <v>4.4148576574082732</v>
      </c>
      <c r="N413" s="10">
        <f t="shared" si="47"/>
        <v>2.9545467240956045</v>
      </c>
    </row>
    <row r="414" spans="3:14">
      <c r="C414" s="4">
        <f>Pressure!AB414*1000000</f>
        <v>6394254.5009636721</v>
      </c>
      <c r="D414" s="84">
        <f>Pressure!I414</f>
        <v>2.214727558899525E-4</v>
      </c>
      <c r="E414" s="40">
        <f>Pressure!H414</f>
        <v>221.47275588995251</v>
      </c>
      <c r="F414" s="10">
        <f t="shared" si="50"/>
        <v>8</v>
      </c>
      <c r="G414" s="4">
        <f t="shared" si="49"/>
        <v>128835.8110595397</v>
      </c>
      <c r="H414" s="45">
        <f t="shared" si="51"/>
        <v>9.6887100566548678</v>
      </c>
      <c r="I414" s="10">
        <f t="shared" si="52"/>
        <v>1.3872827916668631</v>
      </c>
      <c r="J414" s="4">
        <f t="shared" si="53"/>
        <v>1964.6049178201486</v>
      </c>
      <c r="K414" s="4">
        <f t="shared" si="54"/>
        <v>441.66290135788603</v>
      </c>
      <c r="L414" s="45">
        <f>Pressure!Q414</f>
        <v>0.92324733934292769</v>
      </c>
      <c r="M414" s="10">
        <f t="shared" si="48"/>
        <v>4.4152628846177082</v>
      </c>
      <c r="N414" s="10">
        <f t="shared" ref="N414:N477" si="55">N413-1/834*(me-mef)</f>
        <v>2.9545467240956045</v>
      </c>
    </row>
    <row r="415" spans="3:14">
      <c r="C415" s="4">
        <f>Pressure!AB415*1000000</f>
        <v>6394712.1119390903</v>
      </c>
      <c r="D415" s="84">
        <f>Pressure!I415</f>
        <v>2.214727558899525E-4</v>
      </c>
      <c r="E415" s="40">
        <f>Pressure!H415</f>
        <v>221.47275588995251</v>
      </c>
      <c r="F415" s="10">
        <f t="shared" si="50"/>
        <v>8</v>
      </c>
      <c r="G415" s="4">
        <f t="shared" si="49"/>
        <v>128845.03131831402</v>
      </c>
      <c r="H415" s="45">
        <f t="shared" si="51"/>
        <v>9.6892581054648534</v>
      </c>
      <c r="I415" s="10">
        <f t="shared" si="52"/>
        <v>1.3872918343409322</v>
      </c>
      <c r="J415" s="4">
        <f t="shared" si="53"/>
        <v>1964.7583233892572</v>
      </c>
      <c r="K415" s="4">
        <f t="shared" si="54"/>
        <v>441.69738846932631</v>
      </c>
      <c r="L415" s="45">
        <f>Pressure!Q415</f>
        <v>0.92549485839036383</v>
      </c>
      <c r="M415" s="10">
        <f t="shared" si="48"/>
        <v>4.4156593644567765</v>
      </c>
      <c r="N415" s="10">
        <f t="shared" si="55"/>
        <v>2.9545467240956045</v>
      </c>
    </row>
    <row r="416" spans="3:14">
      <c r="C416" s="4">
        <f>Pressure!AB416*1000000</f>
        <v>6395159.4956998201</v>
      </c>
      <c r="D416" s="84">
        <f>Pressure!I416</f>
        <v>2.214727558899525E-4</v>
      </c>
      <c r="E416" s="40">
        <f>Pressure!H416</f>
        <v>221.47275588995251</v>
      </c>
      <c r="F416" s="10">
        <f t="shared" si="50"/>
        <v>8</v>
      </c>
      <c r="G416" s="4">
        <f t="shared" si="49"/>
        <v>128854.04551217507</v>
      </c>
      <c r="H416" s="45">
        <f t="shared" si="51"/>
        <v>9.6897938992727095</v>
      </c>
      <c r="I416" s="10">
        <f t="shared" si="52"/>
        <v>1.387300673667903</v>
      </c>
      <c r="J416" s="4">
        <f t="shared" si="53"/>
        <v>1964.908300474842</v>
      </c>
      <c r="K416" s="4">
        <f t="shared" si="54"/>
        <v>441.73110482326382</v>
      </c>
      <c r="L416" s="45">
        <f>Pressure!Q416</f>
        <v>0.92774240125834617</v>
      </c>
      <c r="M416" s="10">
        <f t="shared" si="48"/>
        <v>4.4160470970070058</v>
      </c>
      <c r="N416" s="10">
        <f t="shared" si="55"/>
        <v>2.9545467240956045</v>
      </c>
    </row>
    <row r="417" spans="3:14">
      <c r="C417" s="4">
        <f>Pressure!AB417*1000000</f>
        <v>6395596.6526814066</v>
      </c>
      <c r="D417" s="84">
        <f>Pressure!I417</f>
        <v>2.214727558899525E-4</v>
      </c>
      <c r="E417" s="40">
        <f>Pressure!H417</f>
        <v>221.47275588995251</v>
      </c>
      <c r="F417" s="10">
        <f t="shared" si="50"/>
        <v>8</v>
      </c>
      <c r="G417" s="4">
        <f t="shared" si="49"/>
        <v>128862.85364989848</v>
      </c>
      <c r="H417" s="45">
        <f t="shared" si="51"/>
        <v>9.6903174390466678</v>
      </c>
      <c r="I417" s="10">
        <f t="shared" si="52"/>
        <v>1.3873093097414571</v>
      </c>
      <c r="J417" s="4">
        <f t="shared" si="53"/>
        <v>1965.0548492229111</v>
      </c>
      <c r="K417" s="4">
        <f t="shared" si="54"/>
        <v>441.76405045252261</v>
      </c>
      <c r="L417" s="45">
        <f>Pressure!Q417</f>
        <v>0.92998996741310203</v>
      </c>
      <c r="M417" s="10">
        <f t="shared" si="48"/>
        <v>4.416426082349191</v>
      </c>
      <c r="N417" s="10">
        <f t="shared" si="55"/>
        <v>2.9545467240956045</v>
      </c>
    </row>
    <row r="418" spans="3:14">
      <c r="C418" s="4">
        <f>Pressure!AB418*1000000</f>
        <v>6396023.5833102083</v>
      </c>
      <c r="D418" s="84">
        <f>Pressure!I418</f>
        <v>2.214727558899525E-4</v>
      </c>
      <c r="E418" s="40">
        <f>Pressure!H418</f>
        <v>221.47275588995251</v>
      </c>
      <c r="F418" s="10">
        <f t="shared" si="50"/>
        <v>8</v>
      </c>
      <c r="G418" s="4">
        <f t="shared" si="49"/>
        <v>128871.45574007483</v>
      </c>
      <c r="H418" s="45">
        <f t="shared" si="51"/>
        <v>9.6908287257336738</v>
      </c>
      <c r="I418" s="10">
        <f t="shared" si="52"/>
        <v>1.3873177426531171</v>
      </c>
      <c r="J418" s="4">
        <f t="shared" si="53"/>
        <v>1965.1979697763932</v>
      </c>
      <c r="K418" s="4">
        <f t="shared" si="54"/>
        <v>441.79622538923456</v>
      </c>
      <c r="L418" s="45">
        <f>Pressure!Q418</f>
        <v>0.93223755632097682</v>
      </c>
      <c r="M418" s="10">
        <f t="shared" si="48"/>
        <v>4.4167963205632459</v>
      </c>
      <c r="N418" s="10">
        <f t="shared" si="55"/>
        <v>2.9545467240956045</v>
      </c>
    </row>
    <row r="419" spans="3:14">
      <c r="C419" s="4">
        <f>Pressure!AB419*1000000</f>
        <v>6396440.288004173</v>
      </c>
      <c r="D419" s="84">
        <f>Pressure!I419</f>
        <v>2.214727558899525E-4</v>
      </c>
      <c r="E419" s="40">
        <f>Pressure!H419</f>
        <v>221.47275588995251</v>
      </c>
      <c r="F419" s="10">
        <f t="shared" si="50"/>
        <v>8</v>
      </c>
      <c r="G419" s="4">
        <f t="shared" si="49"/>
        <v>128879.85179112521</v>
      </c>
      <c r="H419" s="45">
        <f t="shared" si="51"/>
        <v>9.6913277602603038</v>
      </c>
      <c r="I419" s="10">
        <f t="shared" si="52"/>
        <v>1.3873259724922637</v>
      </c>
      <c r="J419" s="4">
        <f t="shared" si="53"/>
        <v>1965.3376622753976</v>
      </c>
      <c r="K419" s="4">
        <f t="shared" si="54"/>
        <v>441.82762966489764</v>
      </c>
      <c r="L419" s="45">
        <f>Pressure!Q419</f>
        <v>0.93448516744843113</v>
      </c>
      <c r="M419" s="10">
        <f t="shared" si="48"/>
        <v>4.4171578117276278</v>
      </c>
      <c r="N419" s="10">
        <f t="shared" si="55"/>
        <v>2.9545467240956045</v>
      </c>
    </row>
    <row r="420" spans="3:14">
      <c r="C420" s="4">
        <f>Pressure!AB420*1000000</f>
        <v>6396846.7671719892</v>
      </c>
      <c r="D420" s="84">
        <f>Pressure!I420</f>
        <v>2.214727558899525E-4</v>
      </c>
      <c r="E420" s="40">
        <f>Pressure!H420</f>
        <v>221.47275588995251</v>
      </c>
      <c r="F420" s="10">
        <f t="shared" si="50"/>
        <v>8</v>
      </c>
      <c r="G420" s="4">
        <f t="shared" si="49"/>
        <v>128888.04181128417</v>
      </c>
      <c r="H420" s="45">
        <f t="shared" si="51"/>
        <v>9.6918145435317697</v>
      </c>
      <c r="I420" s="10">
        <f t="shared" si="52"/>
        <v>1.3873339993461209</v>
      </c>
      <c r="J420" s="4">
        <f t="shared" si="53"/>
        <v>1965.4739268569294</v>
      </c>
      <c r="K420" s="4">
        <f t="shared" si="54"/>
        <v>441.85826331031194</v>
      </c>
      <c r="L420" s="45">
        <f>Pressure!Q420</f>
        <v>0.93673280026203842</v>
      </c>
      <c r="M420" s="10">
        <f t="shared" si="48"/>
        <v>4.4175105559208214</v>
      </c>
      <c r="N420" s="10">
        <f t="shared" si="55"/>
        <v>2.9545467240956045</v>
      </c>
    </row>
    <row r="421" spans="3:14">
      <c r="C421" s="4">
        <f>Pressure!AB421*1000000</f>
        <v>6397243.0212133024</v>
      </c>
      <c r="D421" s="84">
        <f>Pressure!I421</f>
        <v>2.214727558899525E-4</v>
      </c>
      <c r="E421" s="40">
        <f>Pressure!H421</f>
        <v>221.47275588995251</v>
      </c>
      <c r="F421" s="10">
        <f t="shared" si="50"/>
        <v>8</v>
      </c>
      <c r="G421" s="4">
        <f t="shared" si="49"/>
        <v>128896.02580860404</v>
      </c>
      <c r="H421" s="45">
        <f t="shared" si="51"/>
        <v>9.6922890764321625</v>
      </c>
      <c r="I421" s="10">
        <f t="shared" si="52"/>
        <v>1.387341823299763</v>
      </c>
      <c r="J421" s="4">
        <f t="shared" si="53"/>
        <v>1965.6067636549624</v>
      </c>
      <c r="K421" s="4">
        <f t="shared" si="54"/>
        <v>441.88812635559606</v>
      </c>
      <c r="L421" s="45">
        <f>Pressure!Q421</f>
        <v>0.93898045422848209</v>
      </c>
      <c r="M421" s="10">
        <f t="shared" si="48"/>
        <v>4.4178545532195743</v>
      </c>
      <c r="N421" s="10">
        <f t="shared" si="55"/>
        <v>2.9545467240956045</v>
      </c>
    </row>
    <row r="422" spans="3:14">
      <c r="C422" s="4">
        <f>Pressure!AB422*1000000</f>
        <v>6397629.050519513</v>
      </c>
      <c r="D422" s="84">
        <f>Pressure!I422</f>
        <v>2.214727558899525E-4</v>
      </c>
      <c r="E422" s="40">
        <f>Pressure!H422</f>
        <v>221.47275588995251</v>
      </c>
      <c r="F422" s="10">
        <f t="shared" si="50"/>
        <v>8</v>
      </c>
      <c r="G422" s="4">
        <f t="shared" si="49"/>
        <v>128903.803790971</v>
      </c>
      <c r="H422" s="45">
        <f t="shared" si="51"/>
        <v>9.6927513598254507</v>
      </c>
      <c r="I422" s="10">
        <f t="shared" si="52"/>
        <v>1.3873494444361327</v>
      </c>
      <c r="J422" s="4">
        <f t="shared" si="53"/>
        <v>1965.7361728007061</v>
      </c>
      <c r="K422" s="4">
        <f t="shared" si="54"/>
        <v>441.91721883024729</v>
      </c>
      <c r="L422" s="45">
        <f>Pressure!Q422</f>
        <v>0.94122812881455287</v>
      </c>
      <c r="M422" s="10">
        <f t="shared" si="48"/>
        <v>4.4181898037001401</v>
      </c>
      <c r="N422" s="10">
        <f t="shared" si="55"/>
        <v>2.9545467240956045</v>
      </c>
    </row>
    <row r="423" spans="3:14">
      <c r="C423" s="4">
        <f>Pressure!AB423*1000000</f>
        <v>6398004.8554723598</v>
      </c>
      <c r="D423" s="84">
        <f>Pressure!I423</f>
        <v>2.214727558899525E-4</v>
      </c>
      <c r="E423" s="40">
        <f>Pressure!H423</f>
        <v>221.47275588995251</v>
      </c>
      <c r="F423" s="10">
        <f t="shared" si="50"/>
        <v>8</v>
      </c>
      <c r="G423" s="4">
        <f t="shared" si="49"/>
        <v>128911.37576607661</v>
      </c>
      <c r="H423" s="45">
        <f t="shared" si="51"/>
        <v>9.6932013945537356</v>
      </c>
      <c r="I423" s="10">
        <f t="shared" si="52"/>
        <v>1.3873568628360147</v>
      </c>
      <c r="J423" s="4">
        <f t="shared" si="53"/>
        <v>1965.8621544221317</v>
      </c>
      <c r="K423" s="4">
        <f t="shared" si="54"/>
        <v>441.94554076303484</v>
      </c>
      <c r="L423" s="45">
        <f>Pressure!Q423</f>
        <v>0.9434758234871462</v>
      </c>
      <c r="M423" s="10">
        <f t="shared" si="48"/>
        <v>4.4185163074378231</v>
      </c>
      <c r="N423" s="10">
        <f t="shared" si="55"/>
        <v>2.9545467240956045</v>
      </c>
    </row>
    <row r="424" spans="3:14">
      <c r="C424" s="4">
        <f>Pressure!AB424*1000000</f>
        <v>6398370.4364449652</v>
      </c>
      <c r="D424" s="84">
        <f>Pressure!I424</f>
        <v>2.214727558899525E-4</v>
      </c>
      <c r="E424" s="40">
        <f>Pressure!H424</f>
        <v>221.47275588995251</v>
      </c>
      <c r="F424" s="10">
        <f t="shared" si="50"/>
        <v>8</v>
      </c>
      <c r="G424" s="4">
        <f t="shared" si="49"/>
        <v>128918.74174143877</v>
      </c>
      <c r="H424" s="45">
        <f t="shared" si="51"/>
        <v>9.6936391814385683</v>
      </c>
      <c r="I424" s="10">
        <f t="shared" si="52"/>
        <v>1.3873640785780592</v>
      </c>
      <c r="J424" s="4">
        <f t="shared" si="53"/>
        <v>1965.9847086443219</v>
      </c>
      <c r="K424" s="4">
        <f t="shared" si="54"/>
        <v>441.97309218207857</v>
      </c>
      <c r="L424" s="45">
        <f>Pressure!Q424</f>
        <v>0.94572353771325968</v>
      </c>
      <c r="M424" s="10">
        <f t="shared" ref="M424:M473" si="56">(J424+J423)/2*(L424-L423)</f>
        <v>4.4188340645070507</v>
      </c>
      <c r="N424" s="10">
        <f t="shared" si="55"/>
        <v>2.9545467240956045</v>
      </c>
    </row>
    <row r="425" spans="3:14">
      <c r="C425" s="4">
        <f>Pressure!AB425*1000000</f>
        <v>6398725.7938014455</v>
      </c>
      <c r="D425" s="84">
        <f>Pressure!I425</f>
        <v>2.214727558899525E-4</v>
      </c>
      <c r="E425" s="40">
        <f>Pressure!H425</f>
        <v>221.47275588995251</v>
      </c>
      <c r="F425" s="10">
        <f t="shared" si="50"/>
        <v>8</v>
      </c>
      <c r="G425" s="4">
        <f t="shared" si="49"/>
        <v>128925.90172439397</v>
      </c>
      <c r="H425" s="45">
        <f t="shared" si="51"/>
        <v>9.6940647212804425</v>
      </c>
      <c r="I425" s="10">
        <f t="shared" si="52"/>
        <v>1.3873710917387754</v>
      </c>
      <c r="J425" s="4">
        <f t="shared" si="53"/>
        <v>1966.1038355893386</v>
      </c>
      <c r="K425" s="4">
        <f t="shared" si="54"/>
        <v>441.9998731148192</v>
      </c>
      <c r="L425" s="45">
        <f>Pressure!Q425</f>
        <v>0.94797127095999023</v>
      </c>
      <c r="M425" s="10">
        <f t="shared" si="56"/>
        <v>4.4191430749811724</v>
      </c>
      <c r="N425" s="10">
        <f t="shared" si="55"/>
        <v>2.9545467240956045</v>
      </c>
    </row>
    <row r="426" spans="3:14">
      <c r="C426" s="4">
        <f>Pressure!AB426*1000000</f>
        <v>6399070.927897376</v>
      </c>
      <c r="D426" s="84">
        <f>Pressure!I426</f>
        <v>2.214727558899525E-4</v>
      </c>
      <c r="E426" s="40">
        <f>Pressure!H426</f>
        <v>221.47275588995251</v>
      </c>
      <c r="F426" s="10">
        <f t="shared" si="50"/>
        <v>8</v>
      </c>
      <c r="G426" s="4">
        <f t="shared" si="49"/>
        <v>128932.85572210659</v>
      </c>
      <c r="H426" s="45">
        <f t="shared" si="51"/>
        <v>9.6944780148593725</v>
      </c>
      <c r="I426" s="10">
        <f t="shared" si="52"/>
        <v>1.3873779023925437</v>
      </c>
      <c r="J426" s="4">
        <f t="shared" si="53"/>
        <v>1966.219535376383</v>
      </c>
      <c r="K426" s="4">
        <f t="shared" si="54"/>
        <v>442.02588358805428</v>
      </c>
      <c r="L426" s="45">
        <f>Pressure!Q426</f>
        <v>0.9502190226945314</v>
      </c>
      <c r="M426" s="10">
        <f t="shared" si="56"/>
        <v>4.4194433389324912</v>
      </c>
      <c r="N426" s="10">
        <f t="shared" si="55"/>
        <v>2.9545467240956045</v>
      </c>
    </row>
    <row r="427" spans="3:14">
      <c r="C427" s="4">
        <f>Pressure!AB427*1000000</f>
        <v>6399405.8390790951</v>
      </c>
      <c r="D427" s="84">
        <f>Pressure!I427</f>
        <v>2.214727558899525E-4</v>
      </c>
      <c r="E427" s="40">
        <f>Pressure!H427</f>
        <v>221.47275588995251</v>
      </c>
      <c r="F427" s="10">
        <f t="shared" si="50"/>
        <v>8</v>
      </c>
      <c r="G427" s="4">
        <f t="shared" si="49"/>
        <v>128939.60374155485</v>
      </c>
      <c r="H427" s="45">
        <f t="shared" si="51"/>
        <v>9.6948790629340849</v>
      </c>
      <c r="I427" s="10">
        <f t="shared" si="52"/>
        <v>1.387384510611603</v>
      </c>
      <c r="J427" s="4">
        <f t="shared" si="53"/>
        <v>1966.3318081215584</v>
      </c>
      <c r="K427" s="4">
        <f t="shared" si="54"/>
        <v>442.05112362788509</v>
      </c>
      <c r="L427" s="45">
        <f>Pressure!Q427</f>
        <v>0.95246679238417098</v>
      </c>
      <c r="M427" s="10">
        <f t="shared" si="56"/>
        <v>4.4197348564330365</v>
      </c>
      <c r="N427" s="10">
        <f t="shared" si="55"/>
        <v>2.9545467240956045</v>
      </c>
    </row>
    <row r="428" spans="3:14">
      <c r="C428" s="4">
        <f>Pressure!AB428*1000000</f>
        <v>6399730.5276840813</v>
      </c>
      <c r="D428" s="84">
        <f>Pressure!I428</f>
        <v>2.214727558899525E-4</v>
      </c>
      <c r="E428" s="40">
        <f>Pressure!H428</f>
        <v>221.47275588995251</v>
      </c>
      <c r="F428" s="10">
        <f t="shared" si="50"/>
        <v>8</v>
      </c>
      <c r="G428" s="4">
        <f t="shared" si="49"/>
        <v>128946.14578953854</v>
      </c>
      <c r="H428" s="45">
        <f t="shared" si="51"/>
        <v>9.6952678662424461</v>
      </c>
      <c r="I428" s="10">
        <f t="shared" si="52"/>
        <v>1.3873909164660605</v>
      </c>
      <c r="J428" s="4">
        <f t="shared" si="53"/>
        <v>1966.4406539379979</v>
      </c>
      <c r="K428" s="4">
        <f t="shared" si="54"/>
        <v>442.07559325974506</v>
      </c>
      <c r="L428" s="45">
        <f>Pressure!Q428</f>
        <v>0.95471457949628802</v>
      </c>
      <c r="M428" s="10">
        <f t="shared" si="56"/>
        <v>4.4200176275531335</v>
      </c>
      <c r="N428" s="10">
        <f t="shared" si="55"/>
        <v>2.9545467240956045</v>
      </c>
    </row>
    <row r="429" spans="3:14">
      <c r="C429" s="4">
        <f>Pressure!AB429*1000000</f>
        <v>6400044.994041021</v>
      </c>
      <c r="D429" s="84">
        <f>Pressure!I429</f>
        <v>2.214727558899525E-4</v>
      </c>
      <c r="E429" s="40">
        <f>Pressure!H429</f>
        <v>221.47275588995251</v>
      </c>
      <c r="F429" s="10">
        <f t="shared" si="50"/>
        <v>8</v>
      </c>
      <c r="G429" s="4">
        <f t="shared" si="49"/>
        <v>128952.48187268023</v>
      </c>
      <c r="H429" s="45">
        <f t="shared" si="51"/>
        <v>9.6956444255015484</v>
      </c>
      <c r="I429" s="10">
        <f t="shared" si="52"/>
        <v>1.3873971200238948</v>
      </c>
      <c r="J429" s="4">
        <f t="shared" si="53"/>
        <v>1966.5460729358877</v>
      </c>
      <c r="K429" s="4">
        <f t="shared" si="54"/>
        <v>442.09929250840514</v>
      </c>
      <c r="L429" s="45">
        <f>Pressure!Q429</f>
        <v>0.95696238349835039</v>
      </c>
      <c r="M429" s="10">
        <f t="shared" si="56"/>
        <v>4.4202916523626508</v>
      </c>
      <c r="N429" s="10">
        <f t="shared" si="55"/>
        <v>2.9545467240956045</v>
      </c>
    </row>
    <row r="430" spans="3:14">
      <c r="C430" s="4">
        <f>Pressure!AB430*1000000</f>
        <v>6400349.2384699136</v>
      </c>
      <c r="D430" s="84">
        <f>Pressure!I430</f>
        <v>2.214727558899525E-4</v>
      </c>
      <c r="E430" s="40">
        <f>Pressure!H430</f>
        <v>221.47275588995251</v>
      </c>
      <c r="F430" s="10">
        <f t="shared" si="50"/>
        <v>8</v>
      </c>
      <c r="G430" s="4">
        <f t="shared" si="49"/>
        <v>128958.61199742751</v>
      </c>
      <c r="H430" s="45">
        <f t="shared" si="51"/>
        <v>9.6960087414078586</v>
      </c>
      <c r="I430" s="10">
        <f t="shared" si="52"/>
        <v>1.3874031213509597</v>
      </c>
      <c r="J430" s="4">
        <f t="shared" si="53"/>
        <v>1966.6480652225014</v>
      </c>
      <c r="K430" s="4">
        <f t="shared" si="54"/>
        <v>442.12222139798155</v>
      </c>
      <c r="L430" s="45">
        <f>Pressure!Q430</f>
        <v>0.959210203857912</v>
      </c>
      <c r="M430" s="10">
        <f t="shared" si="56"/>
        <v>4.4205569309304122</v>
      </c>
      <c r="N430" s="10">
        <f t="shared" si="55"/>
        <v>2.9545467240956045</v>
      </c>
    </row>
    <row r="431" spans="3:14">
      <c r="C431" s="4">
        <f>Pressure!AB431*1000000</f>
        <v>6400643.2612812445</v>
      </c>
      <c r="D431" s="84">
        <f>Pressure!I431</f>
        <v>2.214727558899525E-4</v>
      </c>
      <c r="E431" s="40">
        <f>Pressure!H431</f>
        <v>221.47275588995251</v>
      </c>
      <c r="F431" s="10">
        <f t="shared" si="50"/>
        <v>8</v>
      </c>
      <c r="G431" s="4">
        <f t="shared" si="49"/>
        <v>128964.53617003623</v>
      </c>
      <c r="H431" s="45">
        <f t="shared" si="51"/>
        <v>9.696360814636245</v>
      </c>
      <c r="I431" s="10">
        <f t="shared" si="52"/>
        <v>1.3874089205109694</v>
      </c>
      <c r="J431" s="4">
        <f t="shared" si="53"/>
        <v>1966.7466309019239</v>
      </c>
      <c r="K431" s="4">
        <f t="shared" si="54"/>
        <v>442.14437995187353</v>
      </c>
      <c r="L431" s="45">
        <f>Pressure!Q431</f>
        <v>0.96145804004261048</v>
      </c>
      <c r="M431" s="10">
        <f t="shared" si="56"/>
        <v>4.4208134633247864</v>
      </c>
      <c r="N431" s="10">
        <f t="shared" si="55"/>
        <v>2.9545467240956045</v>
      </c>
    </row>
    <row r="432" spans="3:14">
      <c r="C432" s="4">
        <f>Pressure!AB432*1000000</f>
        <v>6400927.0627774876</v>
      </c>
      <c r="D432" s="84">
        <f>Pressure!I432</f>
        <v>2.214727558899525E-4</v>
      </c>
      <c r="E432" s="40">
        <f>Pressure!H432</f>
        <v>221.47275588995251</v>
      </c>
      <c r="F432" s="10">
        <f t="shared" si="50"/>
        <v>8</v>
      </c>
      <c r="G432" s="4">
        <f t="shared" si="49"/>
        <v>128970.25439660085</v>
      </c>
      <c r="H432" s="45">
        <f t="shared" si="51"/>
        <v>9.6967006458417195</v>
      </c>
      <c r="I432" s="10">
        <f t="shared" si="52"/>
        <v>1.3874145175655301</v>
      </c>
      <c r="J432" s="4">
        <f t="shared" si="53"/>
        <v>1966.8417700755531</v>
      </c>
      <c r="K432" s="4">
        <f t="shared" si="54"/>
        <v>442.1657681928765</v>
      </c>
      <c r="L432" s="45">
        <f>Pressure!Q432</f>
        <v>0.96370589152016395</v>
      </c>
      <c r="M432" s="10">
        <f t="shared" si="56"/>
        <v>4.4210612496121957</v>
      </c>
      <c r="N432" s="10">
        <f t="shared" si="55"/>
        <v>2.9545467240956045</v>
      </c>
    </row>
    <row r="433" spans="3:14">
      <c r="C433" s="4">
        <f>Pressure!AB433*1000000</f>
        <v>6401200.6432514321</v>
      </c>
      <c r="D433" s="84">
        <f>Pressure!I433</f>
        <v>2.214727558899525E-4</v>
      </c>
      <c r="E433" s="40">
        <f>Pressure!H433</f>
        <v>221.47275588995251</v>
      </c>
      <c r="F433" s="10">
        <f t="shared" si="50"/>
        <v>8</v>
      </c>
      <c r="G433" s="4">
        <f t="shared" si="49"/>
        <v>128975.7666830207</v>
      </c>
      <c r="H433" s="45">
        <f t="shared" si="51"/>
        <v>9.6970282356575215</v>
      </c>
      <c r="I433" s="10">
        <f t="shared" si="52"/>
        <v>1.3874199125741091</v>
      </c>
      <c r="J433" s="4">
        <f t="shared" si="53"/>
        <v>1966.9334828415422</v>
      </c>
      <c r="K433" s="4">
        <f t="shared" si="54"/>
        <v>442.1863861430561</v>
      </c>
      <c r="L433" s="45">
        <f>Pressure!Q433</f>
        <v>0.965953757758369</v>
      </c>
      <c r="M433" s="10">
        <f t="shared" si="56"/>
        <v>4.4213002898594427</v>
      </c>
      <c r="N433" s="10">
        <f t="shared" si="55"/>
        <v>2.9545467240956045</v>
      </c>
    </row>
    <row r="434" spans="3:14">
      <c r="C434" s="4">
        <f>Pressure!AB434*1000000</f>
        <v>6401464.0029873224</v>
      </c>
      <c r="D434" s="84">
        <f>Pressure!I434</f>
        <v>2.214727558899525E-4</v>
      </c>
      <c r="E434" s="40">
        <f>Pressure!H434</f>
        <v>221.47275588995251</v>
      </c>
      <c r="F434" s="10">
        <f t="shared" si="50"/>
        <v>8</v>
      </c>
      <c r="G434" s="4">
        <f t="shared" si="49"/>
        <v>128981.07303502291</v>
      </c>
      <c r="H434" s="45">
        <f t="shared" si="51"/>
        <v>9.6973435846964247</v>
      </c>
      <c r="I434" s="10">
        <f t="shared" si="52"/>
        <v>1.3874251055940574</v>
      </c>
      <c r="J434" s="4">
        <f t="shared" si="53"/>
        <v>1967.0217692951785</v>
      </c>
      <c r="K434" s="4">
        <f t="shared" si="54"/>
        <v>442.20623382383405</v>
      </c>
      <c r="L434" s="45">
        <f>Pressure!Q434</f>
        <v>0.96820163822509753</v>
      </c>
      <c r="M434" s="10">
        <f t="shared" si="56"/>
        <v>4.4215305841311112</v>
      </c>
      <c r="N434" s="10">
        <f t="shared" si="55"/>
        <v>2.9545467240956045</v>
      </c>
    </row>
    <row r="435" spans="3:14">
      <c r="C435" s="4">
        <f>Pressure!AB435*1000000</f>
        <v>6401717.1422608607</v>
      </c>
      <c r="D435" s="84">
        <f>Pressure!I435</f>
        <v>2.214727558899525E-4</v>
      </c>
      <c r="E435" s="40">
        <f>Pressure!H435</f>
        <v>221.47275588995251</v>
      </c>
      <c r="F435" s="10">
        <f t="shared" si="50"/>
        <v>8</v>
      </c>
      <c r="G435" s="4">
        <f t="shared" si="49"/>
        <v>128986.17345816254</v>
      </c>
      <c r="H435" s="45">
        <f t="shared" si="51"/>
        <v>9.6976466935507659</v>
      </c>
      <c r="I435" s="10">
        <f t="shared" si="52"/>
        <v>1.3874300966806123</v>
      </c>
      <c r="J435" s="4">
        <f t="shared" si="53"/>
        <v>1967.1066295288852</v>
      </c>
      <c r="K435" s="4">
        <f t="shared" si="54"/>
        <v>442.22531125598783</v>
      </c>
      <c r="L435" s="45">
        <f>Pressure!Q435</f>
        <v>0.97044953238829446</v>
      </c>
      <c r="M435" s="10">
        <f t="shared" si="56"/>
        <v>4.421752132491946</v>
      </c>
      <c r="N435" s="10">
        <f t="shared" si="55"/>
        <v>2.9545467240956045</v>
      </c>
    </row>
    <row r="436" spans="3:14">
      <c r="C436" s="4">
        <f>Pressure!AB436*1000000</f>
        <v>6401960.061338543</v>
      </c>
      <c r="D436" s="84">
        <f>Pressure!I436</f>
        <v>2.214727558899525E-4</v>
      </c>
      <c r="E436" s="40">
        <f>Pressure!H436</f>
        <v>221.47275588995251</v>
      </c>
      <c r="F436" s="10">
        <f t="shared" si="50"/>
        <v>8</v>
      </c>
      <c r="G436" s="4">
        <f t="shared" si="49"/>
        <v>128991.06795780911</v>
      </c>
      <c r="H436" s="45">
        <f t="shared" si="51"/>
        <v>9.6979375627916475</v>
      </c>
      <c r="I436" s="10">
        <f t="shared" si="52"/>
        <v>1.3874348858868863</v>
      </c>
      <c r="J436" s="4">
        <f t="shared" si="53"/>
        <v>1967.1880636320018</v>
      </c>
      <c r="K436" s="4">
        <f t="shared" si="54"/>
        <v>442.24361845960203</v>
      </c>
      <c r="L436" s="45">
        <f>Pressure!Q436</f>
        <v>0.97269743971597489</v>
      </c>
      <c r="M436" s="10">
        <f t="shared" si="56"/>
        <v>4.4219649350052963</v>
      </c>
      <c r="N436" s="10">
        <f t="shared" si="55"/>
        <v>2.9545467240956045</v>
      </c>
    </row>
    <row r="437" spans="3:14">
      <c r="C437" s="4">
        <f>Pressure!AB437*1000000</f>
        <v>6402192.7604778931</v>
      </c>
      <c r="D437" s="84">
        <f>Pressure!I437</f>
        <v>2.214727558899525E-4</v>
      </c>
      <c r="E437" s="40">
        <f>Pressure!H437</f>
        <v>221.47275588995251</v>
      </c>
      <c r="F437" s="10">
        <f t="shared" si="50"/>
        <v>8</v>
      </c>
      <c r="G437" s="4">
        <f t="shared" si="49"/>
        <v>128995.75653915139</v>
      </c>
      <c r="H437" s="45">
        <f t="shared" si="51"/>
        <v>9.6982161929692516</v>
      </c>
      <c r="I437" s="10">
        <f t="shared" si="52"/>
        <v>1.3874394732638711</v>
      </c>
      <c r="J437" s="4">
        <f t="shared" si="53"/>
        <v>1967.2660716908565</v>
      </c>
      <c r="K437" s="4">
        <f t="shared" si="54"/>
        <v>442.26115545408402</v>
      </c>
      <c r="L437" s="45">
        <f>Pressure!Q437</f>
        <v>0.97494535967622153</v>
      </c>
      <c r="M437" s="10">
        <f t="shared" si="56"/>
        <v>4.4221689917336082</v>
      </c>
      <c r="N437" s="10">
        <f t="shared" si="55"/>
        <v>2.9545467240956045</v>
      </c>
    </row>
    <row r="438" spans="3:14">
      <c r="C438" s="4">
        <f>Pressure!AB438*1000000</f>
        <v>6402415.2399277305</v>
      </c>
      <c r="D438" s="84">
        <f>Pressure!I438</f>
        <v>2.214727558899525E-4</v>
      </c>
      <c r="E438" s="40">
        <f>Pressure!H438</f>
        <v>221.47275588995251</v>
      </c>
      <c r="F438" s="10">
        <f t="shared" si="50"/>
        <v>8</v>
      </c>
      <c r="G438" s="4">
        <f t="shared" si="49"/>
        <v>129000.23920720277</v>
      </c>
      <c r="H438" s="45">
        <f t="shared" si="51"/>
        <v>9.698482584613096</v>
      </c>
      <c r="I438" s="10">
        <f t="shared" si="52"/>
        <v>1.3874438588604465</v>
      </c>
      <c r="J438" s="4">
        <f t="shared" si="53"/>
        <v>1967.3406537888627</v>
      </c>
      <c r="K438" s="4">
        <f t="shared" si="54"/>
        <v>442.27792225818592</v>
      </c>
      <c r="L438" s="45">
        <f>Pressure!Q438</f>
        <v>0.97719329173718217</v>
      </c>
      <c r="M438" s="10">
        <f t="shared" si="56"/>
        <v>4.4223643027385968</v>
      </c>
      <c r="N438" s="10">
        <f t="shared" si="55"/>
        <v>2.9545467240956045</v>
      </c>
    </row>
    <row r="439" spans="3:14">
      <c r="C439" s="4">
        <f>Pressure!AB439*1000000</f>
        <v>6402627.4999281345</v>
      </c>
      <c r="D439" s="84">
        <f>Pressure!I439</f>
        <v>2.214727558899525E-4</v>
      </c>
      <c r="E439" s="40">
        <f>Pressure!H439</f>
        <v>221.47275588995251</v>
      </c>
      <c r="F439" s="10">
        <f t="shared" si="50"/>
        <v>8</v>
      </c>
      <c r="G439" s="4">
        <f t="shared" si="49"/>
        <v>129004.51596680054</v>
      </c>
      <c r="H439" s="45">
        <f t="shared" si="51"/>
        <v>9.6987367382320837</v>
      </c>
      <c r="I439" s="10">
        <f t="shared" si="52"/>
        <v>1.3874480427233793</v>
      </c>
      <c r="J439" s="4">
        <f t="shared" si="53"/>
        <v>1967.411810006502</v>
      </c>
      <c r="K439" s="4">
        <f t="shared" si="54"/>
        <v>442.2939188900009</v>
      </c>
      <c r="L439" s="45">
        <f>Pressure!Q439</f>
        <v>0.97944123536706673</v>
      </c>
      <c r="M439" s="10">
        <f t="shared" si="56"/>
        <v>4.4225508680806911</v>
      </c>
      <c r="N439" s="10">
        <f t="shared" si="55"/>
        <v>2.9545467240956045</v>
      </c>
    </row>
    <row r="440" spans="3:14">
      <c r="C440" s="4">
        <f>Pressure!AB440*1000000</f>
        <v>6402829.5407102518</v>
      </c>
      <c r="D440" s="84">
        <f>Pressure!I440</f>
        <v>2.214727558899525E-4</v>
      </c>
      <c r="E440" s="40">
        <f>Pressure!H440</f>
        <v>221.47275588995251</v>
      </c>
      <c r="F440" s="10">
        <f t="shared" si="50"/>
        <v>8</v>
      </c>
      <c r="G440" s="4">
        <f t="shared" si="49"/>
        <v>129008.58682260198</v>
      </c>
      <c r="H440" s="45">
        <f t="shared" si="51"/>
        <v>9.6989786543141943</v>
      </c>
      <c r="I440" s="10">
        <f t="shared" si="52"/>
        <v>1.3874520248973217</v>
      </c>
      <c r="J440" s="4">
        <f t="shared" si="53"/>
        <v>1967.4795404212621</v>
      </c>
      <c r="K440" s="4">
        <f t="shared" si="54"/>
        <v>442.30914536694888</v>
      </c>
      <c r="L440" s="45">
        <f>Pressure!Q440</f>
        <v>0.98168919003414501</v>
      </c>
      <c r="M440" s="10">
        <f t="shared" si="56"/>
        <v>4.4227286878200207</v>
      </c>
      <c r="N440" s="10">
        <f t="shared" si="55"/>
        <v>2.9545467240956045</v>
      </c>
    </row>
    <row r="441" spans="3:14">
      <c r="C441" s="4">
        <f>Pressure!AB441*1000000</f>
        <v>6403021.3624960398</v>
      </c>
      <c r="D441" s="84">
        <f>Pressure!I441</f>
        <v>2.214727558899525E-4</v>
      </c>
      <c r="E441" s="40">
        <f>Pressure!H441</f>
        <v>221.47275588995251</v>
      </c>
      <c r="F441" s="10">
        <f t="shared" si="50"/>
        <v>8</v>
      </c>
      <c r="G441" s="4">
        <f t="shared" si="49"/>
        <v>129012.45177907926</v>
      </c>
      <c r="H441" s="45">
        <f t="shared" si="51"/>
        <v>9.6992083333262471</v>
      </c>
      <c r="I441" s="10">
        <f t="shared" si="52"/>
        <v>1.3874558054248067</v>
      </c>
      <c r="J441" s="4">
        <f t="shared" si="53"/>
        <v>1967.5438451075502</v>
      </c>
      <c r="K441" s="4">
        <f t="shared" si="54"/>
        <v>442.32360170575743</v>
      </c>
      <c r="L441" s="45">
        <f>Pressure!Q441</f>
        <v>0.98393715520674385</v>
      </c>
      <c r="M441" s="10">
        <f t="shared" si="56"/>
        <v>4.4228977620153795</v>
      </c>
      <c r="N441" s="10">
        <f t="shared" si="55"/>
        <v>2.9545467240956045</v>
      </c>
    </row>
    <row r="442" spans="3:14">
      <c r="C442" s="4">
        <f>Pressure!AB442*1000000</f>
        <v>6403202.9654991953</v>
      </c>
      <c r="D442" s="84">
        <f>Pressure!I442</f>
        <v>2.214727558899525E-4</v>
      </c>
      <c r="E442" s="40">
        <f>Pressure!H442</f>
        <v>221.47275588995251</v>
      </c>
      <c r="F442" s="10">
        <f t="shared" si="50"/>
        <v>8</v>
      </c>
      <c r="G442" s="4">
        <f t="shared" si="49"/>
        <v>129016.11084053809</v>
      </c>
      <c r="H442" s="45">
        <f t="shared" si="51"/>
        <v>9.6994257757149658</v>
      </c>
      <c r="I442" s="10">
        <f t="shared" si="52"/>
        <v>1.3874593843462686</v>
      </c>
      <c r="J442" s="4">
        <f t="shared" si="53"/>
        <v>1967.604724137004</v>
      </c>
      <c r="K442" s="4">
        <f t="shared" si="54"/>
        <v>442.3372879225314</v>
      </c>
      <c r="L442" s="45">
        <f>Pressure!Q442</f>
        <v>0.9861851303532444</v>
      </c>
      <c r="M442" s="10">
        <f t="shared" si="56"/>
        <v>4.4230580907244725</v>
      </c>
      <c r="N442" s="10">
        <f t="shared" si="55"/>
        <v>2.9545467240956045</v>
      </c>
    </row>
    <row r="443" spans="3:14">
      <c r="C443" s="4">
        <f>Pressure!AB443*1000000</f>
        <v>6403374.3499239674</v>
      </c>
      <c r="D443" s="84">
        <f>Pressure!I443</f>
        <v>2.214727558899525E-4</v>
      </c>
      <c r="E443" s="40">
        <f>Pressure!H443</f>
        <v>221.47275588995251</v>
      </c>
      <c r="F443" s="10">
        <f t="shared" si="50"/>
        <v>8</v>
      </c>
      <c r="G443" s="4">
        <f t="shared" si="49"/>
        <v>129019.56401109381</v>
      </c>
      <c r="H443" s="45">
        <f t="shared" si="51"/>
        <v>9.6996309819055746</v>
      </c>
      <c r="I443" s="10">
        <f t="shared" si="52"/>
        <v>1.3874627617000193</v>
      </c>
      <c r="J443" s="4">
        <f t="shared" si="53"/>
        <v>1967.6621775780948</v>
      </c>
      <c r="K443" s="4">
        <f t="shared" si="54"/>
        <v>442.35020403266373</v>
      </c>
      <c r="L443" s="45">
        <f>Pressure!Q443</f>
        <v>0.98843311494207975</v>
      </c>
      <c r="M443" s="10">
        <f t="shared" si="56"/>
        <v>4.4232096740046893</v>
      </c>
      <c r="N443" s="10">
        <f t="shared" si="55"/>
        <v>2.9545467240956045</v>
      </c>
    </row>
    <row r="444" spans="3:14">
      <c r="C444" s="4">
        <f>Pressure!AB444*1000000</f>
        <v>6403535.5159665858</v>
      </c>
      <c r="D444" s="84">
        <f>Pressure!I444</f>
        <v>2.214727558899525E-4</v>
      </c>
      <c r="E444" s="40">
        <f>Pressure!H444</f>
        <v>221.47275588995251</v>
      </c>
      <c r="F444" s="10">
        <f t="shared" si="50"/>
        <v>8</v>
      </c>
      <c r="G444" s="4">
        <f t="shared" si="49"/>
        <v>129022.81129470018</v>
      </c>
      <c r="H444" s="45">
        <f t="shared" si="51"/>
        <v>9.6998239523035164</v>
      </c>
      <c r="I444" s="10">
        <f t="shared" si="52"/>
        <v>1.3874659375222778</v>
      </c>
      <c r="J444" s="4">
        <f t="shared" si="53"/>
        <v>1967.7162054966043</v>
      </c>
      <c r="K444" s="4">
        <f t="shared" si="54"/>
        <v>442.36235005094295</v>
      </c>
      <c r="L444" s="45">
        <f>Pressure!Q444</f>
        <v>0.99068110844173196</v>
      </c>
      <c r="M444" s="10">
        <f t="shared" si="56"/>
        <v>4.4233525119118777</v>
      </c>
      <c r="N444" s="10">
        <f t="shared" si="55"/>
        <v>2.9545467240956045</v>
      </c>
    </row>
    <row r="445" spans="3:14">
      <c r="C445" s="4">
        <f>Pressure!AB445*1000000</f>
        <v>6403686.4638132975</v>
      </c>
      <c r="D445" s="84">
        <f>Pressure!I445</f>
        <v>2.214727558899525E-4</v>
      </c>
      <c r="E445" s="40">
        <f>Pressure!H445</f>
        <v>221.47275588995251</v>
      </c>
      <c r="F445" s="10">
        <f t="shared" si="50"/>
        <v>8</v>
      </c>
      <c r="G445" s="4">
        <f t="shared" si="49"/>
        <v>129025.85269510986</v>
      </c>
      <c r="H445" s="45">
        <f t="shared" si="51"/>
        <v>9.7000046872921253</v>
      </c>
      <c r="I445" s="10">
        <f t="shared" si="52"/>
        <v>1.3874689118471333</v>
      </c>
      <c r="J445" s="4">
        <f t="shared" si="53"/>
        <v>1967.7668079549683</v>
      </c>
      <c r="K445" s="4">
        <f t="shared" si="54"/>
        <v>442.37372599140514</v>
      </c>
      <c r="L445" s="45">
        <f>Pressure!Q445</f>
        <v>0.99292911032072984</v>
      </c>
      <c r="M445" s="10">
        <f t="shared" si="56"/>
        <v>4.423486604501675</v>
      </c>
      <c r="N445" s="10">
        <f t="shared" si="55"/>
        <v>2.9545467240956045</v>
      </c>
    </row>
    <row r="446" spans="3:14">
      <c r="C446" s="4">
        <f>Pressure!AB446*1000000</f>
        <v>6403827.1936425287</v>
      </c>
      <c r="D446" s="84">
        <f>Pressure!I446</f>
        <v>2.214727558899525E-4</v>
      </c>
      <c r="E446" s="40">
        <f>Pressure!H446</f>
        <v>221.47275588995251</v>
      </c>
      <c r="F446" s="10">
        <f t="shared" si="50"/>
        <v>8</v>
      </c>
      <c r="G446" s="4">
        <f t="shared" si="49"/>
        <v>129028.68821591788</v>
      </c>
      <c r="H446" s="45">
        <f t="shared" si="51"/>
        <v>9.7001731872351762</v>
      </c>
      <c r="I446" s="10">
        <f t="shared" si="52"/>
        <v>1.3874716847065882</v>
      </c>
      <c r="J446" s="4">
        <f t="shared" si="53"/>
        <v>1967.813985013001</v>
      </c>
      <c r="K446" s="4">
        <f t="shared" si="54"/>
        <v>442.38433186749722</v>
      </c>
      <c r="L446" s="45">
        <f>Pressure!Q446</f>
        <v>0.99517712004764591</v>
      </c>
      <c r="M446" s="10">
        <f t="shared" si="56"/>
        <v>4.4236119518280441</v>
      </c>
      <c r="N446" s="10">
        <f t="shared" si="55"/>
        <v>2.9545467240956045</v>
      </c>
    </row>
    <row r="447" spans="3:14">
      <c r="C447" s="4">
        <f>Pressure!AB447*1000000</f>
        <v>6403957.7056234078</v>
      </c>
      <c r="D447" s="84">
        <f>Pressure!I447</f>
        <v>2.214727558899525E-4</v>
      </c>
      <c r="E447" s="40">
        <f>Pressure!H447</f>
        <v>221.47275588995251</v>
      </c>
      <c r="F447" s="10">
        <f t="shared" si="50"/>
        <v>8</v>
      </c>
      <c r="G447" s="4">
        <f t="shared" si="49"/>
        <v>129031.31786053197</v>
      </c>
      <c r="H447" s="45">
        <f t="shared" si="51"/>
        <v>9.7003294524751347</v>
      </c>
      <c r="I447" s="10">
        <f t="shared" si="52"/>
        <v>1.3874742561305295</v>
      </c>
      <c r="J447" s="4">
        <f t="shared" si="53"/>
        <v>1967.8577367273999</v>
      </c>
      <c r="K447" s="4">
        <f t="shared" si="54"/>
        <v>442.39416769196527</v>
      </c>
      <c r="L447" s="45">
        <f>Pressure!Q447</f>
        <v>0.99742513709109404</v>
      </c>
      <c r="M447" s="10">
        <f t="shared" si="56"/>
        <v>4.4237285539446241</v>
      </c>
      <c r="N447" s="10">
        <f t="shared" si="55"/>
        <v>2.9545467240956045</v>
      </c>
    </row>
    <row r="448" spans="3:14">
      <c r="C448" s="4">
        <f>Pressure!AB448*1000000</f>
        <v>6404077.9999161856</v>
      </c>
      <c r="D448" s="84">
        <f>Pressure!I448</f>
        <v>2.214727558899525E-4</v>
      </c>
      <c r="E448" s="40">
        <f>Pressure!H448</f>
        <v>221.47275588995251</v>
      </c>
      <c r="F448" s="10">
        <f t="shared" si="50"/>
        <v>8</v>
      </c>
      <c r="G448" s="4">
        <f t="shared" si="49"/>
        <v>129033.74163218096</v>
      </c>
      <c r="H448" s="45">
        <f t="shared" si="51"/>
        <v>9.700473483333683</v>
      </c>
      <c r="I448" s="10">
        <f t="shared" si="52"/>
        <v>1.3874766261467379</v>
      </c>
      <c r="J448" s="4">
        <f t="shared" si="53"/>
        <v>1967.8980631518859</v>
      </c>
      <c r="K448" s="4">
        <f t="shared" si="54"/>
        <v>442.40323347688638</v>
      </c>
      <c r="L448" s="45">
        <f>Pressure!Q448</f>
        <v>0.99967316091972669</v>
      </c>
      <c r="M448" s="10">
        <f t="shared" si="56"/>
        <v>4.4238364109038955</v>
      </c>
      <c r="N448" s="10">
        <f t="shared" si="55"/>
        <v>2.9545467240956045</v>
      </c>
    </row>
    <row r="449" spans="3:14">
      <c r="C449" s="4">
        <f>Pressure!AB449*1000000</f>
        <v>6404188.0766722914</v>
      </c>
      <c r="D449" s="84">
        <f>Pressure!I449</f>
        <v>2.214727558899525E-4</v>
      </c>
      <c r="E449" s="40">
        <f>Pressure!H449</f>
        <v>221.47275588995251</v>
      </c>
      <c r="F449" s="10">
        <f t="shared" si="50"/>
        <v>8</v>
      </c>
      <c r="G449" s="4">
        <f t="shared" si="49"/>
        <v>129035.95953391596</v>
      </c>
      <c r="H449" s="45">
        <f t="shared" si="51"/>
        <v>9.7006052801117519</v>
      </c>
      <c r="I449" s="10">
        <f t="shared" si="52"/>
        <v>1.3874787947808904</v>
      </c>
      <c r="J449" s="4">
        <f t="shared" si="53"/>
        <v>1967.9349643372229</v>
      </c>
      <c r="K449" s="4">
        <f t="shared" si="54"/>
        <v>442.4115292336727</v>
      </c>
      <c r="L449" s="45">
        <f>Pressure!Q449</f>
        <v>1.0019211910022323</v>
      </c>
      <c r="M449" s="10">
        <f t="shared" si="56"/>
        <v>4.4239355227573531</v>
      </c>
      <c r="N449" s="10">
        <f t="shared" si="55"/>
        <v>2.9545467240956045</v>
      </c>
    </row>
    <row r="450" spans="3:14">
      <c r="C450" s="4">
        <f>Pressure!AB450*1000000</f>
        <v>6404287.9360346207</v>
      </c>
      <c r="D450" s="84">
        <f>Pressure!I450</f>
        <v>2.214727558899525E-4</v>
      </c>
      <c r="E450" s="40">
        <f>Pressure!H450</f>
        <v>221.47275588995251</v>
      </c>
      <c r="F450" s="10">
        <f t="shared" si="50"/>
        <v>8</v>
      </c>
      <c r="G450" s="4">
        <f t="shared" si="49"/>
        <v>129037.97156861611</v>
      </c>
      <c r="H450" s="45">
        <f t="shared" si="51"/>
        <v>9.7007248430899029</v>
      </c>
      <c r="I450" s="10">
        <f t="shared" si="52"/>
        <v>1.3874807620565655</v>
      </c>
      <c r="J450" s="4">
        <f t="shared" si="53"/>
        <v>1967.9684403313136</v>
      </c>
      <c r="K450" s="4">
        <f t="shared" si="54"/>
        <v>442.4190549730933</v>
      </c>
      <c r="L450" s="45">
        <f>Pressure!Q450</f>
        <v>1.004169226807333</v>
      </c>
      <c r="M450" s="10">
        <f t="shared" si="56"/>
        <v>4.4240258895562903</v>
      </c>
      <c r="N450" s="10">
        <f t="shared" si="55"/>
        <v>2.9545467240956045</v>
      </c>
    </row>
    <row r="451" spans="3:14">
      <c r="C451" s="4">
        <f>Pressure!AB451*1000000</f>
        <v>6404377.5781367784</v>
      </c>
      <c r="D451" s="84">
        <f>Pressure!I451</f>
        <v>2.214727558899525E-4</v>
      </c>
      <c r="E451" s="40">
        <f>Pressure!H451</f>
        <v>221.47275588995251</v>
      </c>
      <c r="F451" s="10">
        <f t="shared" si="50"/>
        <v>8</v>
      </c>
      <c r="G451" s="4">
        <f t="shared" si="49"/>
        <v>129039.7777389734</v>
      </c>
      <c r="H451" s="45">
        <f t="shared" si="51"/>
        <v>9.7008321725274058</v>
      </c>
      <c r="I451" s="10">
        <f t="shared" si="52"/>
        <v>1.3874825279952296</v>
      </c>
      <c r="J451" s="4">
        <f t="shared" si="53"/>
        <v>1967.9984911789468</v>
      </c>
      <c r="K451" s="4">
        <f t="shared" si="54"/>
        <v>442.42581070521715</v>
      </c>
      <c r="L451" s="45">
        <f>Pressure!Q451</f>
        <v>1.0064172678037813</v>
      </c>
      <c r="M451" s="10">
        <f t="shared" si="56"/>
        <v>4.4241075113498702</v>
      </c>
      <c r="N451" s="10">
        <f t="shared" si="55"/>
        <v>2.9545467240956045</v>
      </c>
    </row>
    <row r="452" spans="3:14">
      <c r="C452" s="4">
        <f>Pressure!AB452*1000000</f>
        <v>6404457.0031039277</v>
      </c>
      <c r="D452" s="84">
        <f>Pressure!I452</f>
        <v>2.214727558899525E-4</v>
      </c>
      <c r="E452" s="40">
        <f>Pressure!H452</f>
        <v>221.47275588995251</v>
      </c>
      <c r="F452" s="10">
        <f t="shared" si="50"/>
        <v>8</v>
      </c>
      <c r="G452" s="4">
        <f t="shared" si="49"/>
        <v>129041.37804750967</v>
      </c>
      <c r="H452" s="45">
        <f t="shared" si="51"/>
        <v>9.7009272686632499</v>
      </c>
      <c r="I452" s="10">
        <f t="shared" si="52"/>
        <v>1.3874840926162548</v>
      </c>
      <c r="J452" s="4">
        <f t="shared" si="53"/>
        <v>1968.0251169220812</v>
      </c>
      <c r="K452" s="4">
        <f t="shared" si="54"/>
        <v>442.4317964394769</v>
      </c>
      <c r="L452" s="45">
        <f>Pressure!Q452</f>
        <v>1.0086653134603578</v>
      </c>
      <c r="M452" s="10">
        <f t="shared" si="56"/>
        <v>4.4241803881871329</v>
      </c>
      <c r="N452" s="10">
        <f t="shared" si="55"/>
        <v>2.9545467240956045</v>
      </c>
    </row>
    <row r="453" spans="3:14">
      <c r="C453" s="4">
        <f>Pressure!AB453*1000000</f>
        <v>6404526.2110520583</v>
      </c>
      <c r="D453" s="84">
        <f>Pressure!I453</f>
        <v>2.214727558899525E-4</v>
      </c>
      <c r="E453" s="40">
        <f>Pressure!H453</f>
        <v>221.47275588995251</v>
      </c>
      <c r="F453" s="10">
        <f t="shared" si="50"/>
        <v>8</v>
      </c>
      <c r="G453" s="4">
        <f t="shared" si="49"/>
        <v>129042.772496562</v>
      </c>
      <c r="H453" s="45">
        <f t="shared" si="51"/>
        <v>9.7010101317152824</v>
      </c>
      <c r="I453" s="10">
        <f t="shared" si="52"/>
        <v>1.3874854559369039</v>
      </c>
      <c r="J453" s="4">
        <f t="shared" si="53"/>
        <v>1968.0483175996005</v>
      </c>
      <c r="K453" s="4">
        <f t="shared" si="54"/>
        <v>442.4370121846141</v>
      </c>
      <c r="L453" s="45">
        <f>Pressure!Q453</f>
        <v>1.0109133632458691</v>
      </c>
      <c r="M453" s="10">
        <f t="shared" si="56"/>
        <v>4.4242445201165896</v>
      </c>
      <c r="N453" s="10">
        <f t="shared" si="55"/>
        <v>2.9545467240956045</v>
      </c>
    </row>
    <row r="454" spans="3:14">
      <c r="C454" s="4">
        <f>Pressure!AB454*1000000</f>
        <v>6404585.2020886308</v>
      </c>
      <c r="D454" s="84">
        <f>Pressure!I454</f>
        <v>2.214727558899525E-4</v>
      </c>
      <c r="E454" s="40">
        <f>Pressure!H454</f>
        <v>221.47275588995251</v>
      </c>
      <c r="F454" s="10">
        <f t="shared" si="50"/>
        <v>8</v>
      </c>
      <c r="G454" s="4">
        <f t="shared" si="49"/>
        <v>129043.96108829555</v>
      </c>
      <c r="H454" s="45">
        <f t="shared" si="51"/>
        <v>9.7010807618809825</v>
      </c>
      <c r="I454" s="10">
        <f t="shared" si="52"/>
        <v>1.3874866179723435</v>
      </c>
      <c r="J454" s="4">
        <f t="shared" si="53"/>
        <v>1968.0680932475282</v>
      </c>
      <c r="K454" s="4">
        <f t="shared" si="54"/>
        <v>442.44145794872719</v>
      </c>
      <c r="L454" s="45">
        <f>Pressure!Q454</f>
        <v>1.0131614166291441</v>
      </c>
      <c r="M454" s="10">
        <f t="shared" si="56"/>
        <v>4.4242999071844489</v>
      </c>
      <c r="N454" s="10">
        <f t="shared" si="55"/>
        <v>2.9545467240956045</v>
      </c>
    </row>
    <row r="455" spans="3:14">
      <c r="C455" s="4">
        <f>Pressure!AB455*1000000</f>
        <v>6404633.9763122201</v>
      </c>
      <c r="D455" s="84">
        <f>Pressure!I455</f>
        <v>2.214727558899525E-4</v>
      </c>
      <c r="E455" s="40">
        <f>Pressure!H455</f>
        <v>221.47275588995251</v>
      </c>
      <c r="F455" s="10">
        <f t="shared" si="50"/>
        <v>8</v>
      </c>
      <c r="G455" s="4">
        <f t="shared" si="49"/>
        <v>129044.94382469649</v>
      </c>
      <c r="H455" s="45">
        <f t="shared" si="51"/>
        <v>9.7011391593370337</v>
      </c>
      <c r="I455" s="10">
        <f t="shared" si="52"/>
        <v>1.3874875787356389</v>
      </c>
      <c r="J455" s="4">
        <f t="shared" si="53"/>
        <v>1968.0844438989097</v>
      </c>
      <c r="K455" s="4">
        <f t="shared" si="54"/>
        <v>442.44513373924502</v>
      </c>
      <c r="L455" s="45">
        <f>Pressure!Q455</f>
        <v>1.0154094730790322</v>
      </c>
      <c r="M455" s="10">
        <f t="shared" si="56"/>
        <v>4.4243465494377787</v>
      </c>
      <c r="N455" s="10">
        <f t="shared" si="55"/>
        <v>2.9545467240956045</v>
      </c>
    </row>
    <row r="456" spans="3:14">
      <c r="C456" s="4">
        <f>Pressure!AB456*1000000</f>
        <v>6404672.5338123776</v>
      </c>
      <c r="D456" s="84">
        <f>Pressure!I456</f>
        <v>2.214727558899525E-4</v>
      </c>
      <c r="E456" s="40">
        <f>Pressure!H456</f>
        <v>221.47275588995251</v>
      </c>
      <c r="F456" s="10">
        <f t="shared" si="50"/>
        <v>8</v>
      </c>
      <c r="G456" s="4">
        <f t="shared" si="49"/>
        <v>129045.72070756914</v>
      </c>
      <c r="H456" s="45">
        <f t="shared" si="51"/>
        <v>9.7011853242391251</v>
      </c>
      <c r="I456" s="10">
        <f t="shared" si="52"/>
        <v>1.3874883382377499</v>
      </c>
      <c r="J456" s="4">
        <f t="shared" si="53"/>
        <v>1968.0973695837661</v>
      </c>
      <c r="K456" s="4">
        <f t="shared" si="54"/>
        <v>442.44803956291673</v>
      </c>
      <c r="L456" s="45">
        <f>Pressure!Q456</f>
        <v>1.0176575320644006</v>
      </c>
      <c r="M456" s="10">
        <f t="shared" si="56"/>
        <v>4.4243844469216969</v>
      </c>
      <c r="N456" s="10">
        <f t="shared" si="55"/>
        <v>2.9545467240956045</v>
      </c>
    </row>
    <row r="457" spans="3:14">
      <c r="C457" s="4">
        <f>Pressure!AB457*1000000</f>
        <v>6404700.874669943</v>
      </c>
      <c r="D457" s="84">
        <f>Pressure!I457</f>
        <v>2.214727558899525E-4</v>
      </c>
      <c r="E457" s="40">
        <f>Pressure!H457</f>
        <v>221.47275588995251</v>
      </c>
      <c r="F457" s="10">
        <f t="shared" si="50"/>
        <v>8</v>
      </c>
      <c r="G457" s="4">
        <f t="shared" si="49"/>
        <v>129046.29173854234</v>
      </c>
      <c r="H457" s="45">
        <f t="shared" si="51"/>
        <v>9.7012192567224051</v>
      </c>
      <c r="I457" s="10">
        <f t="shared" si="52"/>
        <v>1.3874888964875387</v>
      </c>
      <c r="J457" s="4">
        <f t="shared" si="53"/>
        <v>1968.1068703291971</v>
      </c>
      <c r="K457" s="4">
        <f t="shared" si="54"/>
        <v>442.45017542583452</v>
      </c>
      <c r="L457" s="45">
        <f>Pressure!Q457</f>
        <v>1.0199055930541312</v>
      </c>
      <c r="M457" s="10">
        <f t="shared" si="56"/>
        <v>4.4244135996803129</v>
      </c>
      <c r="N457" s="10">
        <f t="shared" si="55"/>
        <v>2.9545467240956045</v>
      </c>
    </row>
    <row r="458" spans="3:14">
      <c r="C458" s="4">
        <f>Pressure!AB458*1000000</f>
        <v>6404718.9989570519</v>
      </c>
      <c r="D458" s="84">
        <f>Pressure!I458</f>
        <v>2.214727558899525E-4</v>
      </c>
      <c r="E458" s="40">
        <f>Pressure!H458</f>
        <v>221.47275588995251</v>
      </c>
      <c r="F458" s="10">
        <f t="shared" si="50"/>
        <v>8</v>
      </c>
      <c r="G458" s="4">
        <f t="shared" si="49"/>
        <v>129046.65691906952</v>
      </c>
      <c r="H458" s="45">
        <f t="shared" si="51"/>
        <v>9.7012409569014029</v>
      </c>
      <c r="I458" s="10">
        <f t="shared" si="52"/>
        <v>1.3874892534917693</v>
      </c>
      <c r="J458" s="4">
        <f t="shared" si="53"/>
        <v>1968.1129461593848</v>
      </c>
      <c r="K458" s="4">
        <f t="shared" si="54"/>
        <v>442.45154133343482</v>
      </c>
      <c r="L458" s="45">
        <f>Pressure!Q458</f>
        <v>1.0221536555171182</v>
      </c>
      <c r="M458" s="10">
        <f t="shared" si="56"/>
        <v>4.4244340077568438</v>
      </c>
      <c r="N458" s="10">
        <f t="shared" si="55"/>
        <v>2.9545467240956045</v>
      </c>
    </row>
    <row r="459" spans="3:14">
      <c r="C459" s="4">
        <f>Pressure!AB459*1000000</f>
        <v>6404726.9067368191</v>
      </c>
      <c r="D459" s="84">
        <f>Pressure!I459</f>
        <v>2.214727558899525E-4</v>
      </c>
      <c r="E459" s="40">
        <f>Pressure!H459</f>
        <v>221.47275588995251</v>
      </c>
      <c r="F459" s="10">
        <f t="shared" si="50"/>
        <v>8</v>
      </c>
      <c r="G459" s="4">
        <f t="shared" si="49"/>
        <v>129046.81625042234</v>
      </c>
      <c r="H459" s="45">
        <f t="shared" si="51"/>
        <v>9.7012504248697127</v>
      </c>
      <c r="I459" s="10">
        <f t="shared" si="52"/>
        <v>1.3874894092551016</v>
      </c>
      <c r="J459" s="4">
        <f t="shared" si="53"/>
        <v>1968.1155970954869</v>
      </c>
      <c r="K459" s="4">
        <f t="shared" si="54"/>
        <v>442.45213729047413</v>
      </c>
      <c r="L459" s="45">
        <f>Pressure!Q459</f>
        <v>1.0244017189222661</v>
      </c>
      <c r="M459" s="10">
        <f t="shared" si="56"/>
        <v>4.4244456711948077</v>
      </c>
      <c r="N459" s="10">
        <f t="shared" si="55"/>
        <v>2.9545467240956045</v>
      </c>
    </row>
    <row r="460" spans="3:14">
      <c r="C460" s="4">
        <f>Pressure!AB460*1000000</f>
        <v>6404724.5980636422</v>
      </c>
      <c r="D460" s="84">
        <f>Pressure!I460</f>
        <v>2.214727558899525E-4</v>
      </c>
      <c r="E460" s="40">
        <f>Pressure!H460</f>
        <v>221.47275588995251</v>
      </c>
      <c r="F460" s="10">
        <f t="shared" si="50"/>
        <v>8</v>
      </c>
      <c r="G460" s="4">
        <f t="shared" si="49"/>
        <v>129046.76973369687</v>
      </c>
      <c r="H460" s="45">
        <f t="shared" si="51"/>
        <v>9.701247660700318</v>
      </c>
      <c r="I460" s="10">
        <f t="shared" si="52"/>
        <v>1.387489363780098</v>
      </c>
      <c r="J460" s="4">
        <f t="shared" si="53"/>
        <v>1968.1148231557399</v>
      </c>
      <c r="K460" s="4">
        <f t="shared" si="54"/>
        <v>442.4519633010521</v>
      </c>
      <c r="L460" s="45">
        <f>Pressure!Q460</f>
        <v>1.0266497827384859</v>
      </c>
      <c r="M460" s="10">
        <f t="shared" si="56"/>
        <v>4.4244485900354009</v>
      </c>
      <c r="N460" s="10">
        <f t="shared" si="55"/>
        <v>2.9545467240956045</v>
      </c>
    </row>
    <row r="461" spans="3:14">
      <c r="C461" s="4">
        <f>Pressure!AB461*1000000</f>
        <v>6404712.0729831466</v>
      </c>
      <c r="D461" s="84">
        <f>Pressure!I461</f>
        <v>2.214727558899525E-4</v>
      </c>
      <c r="E461" s="40">
        <f>Pressure!H461</f>
        <v>221.47275588995251</v>
      </c>
      <c r="F461" s="10">
        <f t="shared" si="50"/>
        <v>8</v>
      </c>
      <c r="G461" s="4">
        <f t="shared" si="49"/>
        <v>129046.51736981238</v>
      </c>
      <c r="H461" s="45">
        <f t="shared" si="51"/>
        <v>9.7012326644455555</v>
      </c>
      <c r="I461" s="10">
        <f t="shared" si="52"/>
        <v>1.3874891170672221</v>
      </c>
      <c r="J461" s="4">
        <f t="shared" si="53"/>
        <v>1968.1106243554382</v>
      </c>
      <c r="K461" s="4">
        <f t="shared" si="54"/>
        <v>442.45101936860715</v>
      </c>
      <c r="L461" s="45">
        <f>Pressure!Q461</f>
        <v>1.0288978464346934</v>
      </c>
      <c r="M461" s="10">
        <f t="shared" si="56"/>
        <v>4.4244427643188962</v>
      </c>
      <c r="N461" s="10">
        <f t="shared" si="55"/>
        <v>2.9545467240956045</v>
      </c>
    </row>
    <row r="462" spans="3:14">
      <c r="C462" s="4">
        <f>Pressure!AB462*1000000</f>
        <v>6404689.3315320676</v>
      </c>
      <c r="D462" s="84">
        <f>Pressure!I462</f>
        <v>2.214727558899525E-4</v>
      </c>
      <c r="E462" s="40">
        <f>Pressure!H462</f>
        <v>221.47275588995251</v>
      </c>
      <c r="F462" s="10">
        <f t="shared" si="50"/>
        <v>8</v>
      </c>
      <c r="G462" s="4">
        <f t="shared" si="49"/>
        <v>129046.05915950907</v>
      </c>
      <c r="H462" s="45">
        <f t="shared" si="51"/>
        <v>9.701205436136954</v>
      </c>
      <c r="I462" s="10">
        <f t="shared" si="52"/>
        <v>1.387488669114836</v>
      </c>
      <c r="J462" s="4">
        <f t="shared" si="53"/>
        <v>1968.1030007068973</v>
      </c>
      <c r="K462" s="4">
        <f t="shared" si="54"/>
        <v>442.44930549590788</v>
      </c>
      <c r="L462" s="45">
        <f>Pressure!Q462</f>
        <v>1.0311459094798063</v>
      </c>
      <c r="M462" s="10">
        <f t="shared" si="56"/>
        <v>4.4244281940863308</v>
      </c>
      <c r="N462" s="10">
        <f t="shared" si="55"/>
        <v>2.9545467240956045</v>
      </c>
    </row>
    <row r="463" spans="3:14">
      <c r="C463" s="4">
        <f>Pressure!AB463*1000000</f>
        <v>6404656.3737380877</v>
      </c>
      <c r="D463" s="84">
        <f>Pressure!I463</f>
        <v>2.214727558899525E-4</v>
      </c>
      <c r="E463" s="40">
        <f>Pressure!H463</f>
        <v>221.47275588995251</v>
      </c>
      <c r="F463" s="10">
        <f t="shared" si="50"/>
        <v>8</v>
      </c>
      <c r="G463" s="4">
        <f t="shared" si="49"/>
        <v>129045.39510334466</v>
      </c>
      <c r="H463" s="45">
        <f t="shared" si="51"/>
        <v>9.7011659757850506</v>
      </c>
      <c r="I463" s="10">
        <f t="shared" si="52"/>
        <v>1.3874880199191979</v>
      </c>
      <c r="J463" s="4">
        <f t="shared" si="53"/>
        <v>1968.0919522193967</v>
      </c>
      <c r="K463" s="4">
        <f t="shared" si="54"/>
        <v>442.44682168504039</v>
      </c>
      <c r="L463" s="45">
        <f>Pressure!Q463</f>
        <v>1.0333939713427416</v>
      </c>
      <c r="M463" s="10">
        <f t="shared" si="56"/>
        <v>4.4244048793759001</v>
      </c>
      <c r="N463" s="10">
        <f t="shared" si="55"/>
        <v>2.9545467240956045</v>
      </c>
    </row>
    <row r="464" spans="3:14">
      <c r="C464" s="4">
        <f>Pressure!AB464*1000000</f>
        <v>6404613.199620557</v>
      </c>
      <c r="D464" s="84">
        <f>Pressure!I464</f>
        <v>2.214727558899525E-4</v>
      </c>
      <c r="E464" s="40">
        <f>Pressure!H464</f>
        <v>221.47275588995251</v>
      </c>
      <c r="F464" s="10">
        <f t="shared" si="50"/>
        <v>8</v>
      </c>
      <c r="G464" s="4">
        <f t="shared" si="49"/>
        <v>129044.52520170905</v>
      </c>
      <c r="H464" s="45">
        <f t="shared" si="51"/>
        <v>9.7011142833802513</v>
      </c>
      <c r="I464" s="10">
        <f t="shared" si="52"/>
        <v>1.3874871694744755</v>
      </c>
      <c r="J464" s="4">
        <f t="shared" si="53"/>
        <v>1968.0774788994236</v>
      </c>
      <c r="K464" s="4">
        <f t="shared" si="54"/>
        <v>442.44356793746317</v>
      </c>
      <c r="L464" s="45">
        <f>Pressure!Q464</f>
        <v>1.0356420314924126</v>
      </c>
      <c r="M464" s="10">
        <f t="shared" si="56"/>
        <v>4.4243728202257921</v>
      </c>
      <c r="N464" s="10">
        <f t="shared" si="55"/>
        <v>2.9545467240956045</v>
      </c>
    </row>
    <row r="465" spans="3:14">
      <c r="C465" s="4">
        <f>Pressure!AB465*1000000</f>
        <v>6404559.809189599</v>
      </c>
      <c r="D465" s="84">
        <f>Pressure!I465</f>
        <v>2.214727558899525E-4</v>
      </c>
      <c r="E465" s="40">
        <f>Pressure!H465</f>
        <v>221.47275588995251</v>
      </c>
      <c r="F465" s="10">
        <f t="shared" si="50"/>
        <v>8</v>
      </c>
      <c r="G465" s="4">
        <f t="shared" si="49"/>
        <v>129043.44945480624</v>
      </c>
      <c r="H465" s="45">
        <f t="shared" si="51"/>
        <v>9.7010503588917487</v>
      </c>
      <c r="I465" s="10">
        <f t="shared" si="52"/>
        <v>1.3874861177727282</v>
      </c>
      <c r="J465" s="4">
        <f t="shared" si="53"/>
        <v>1968.059580750371</v>
      </c>
      <c r="K465" s="4">
        <f t="shared" si="54"/>
        <v>442.43954425393889</v>
      </c>
      <c r="L465" s="45">
        <f>Pressure!Q465</f>
        <v>1.037890089397727</v>
      </c>
      <c r="M465" s="10">
        <f t="shared" si="56"/>
        <v>4.4243320166732492</v>
      </c>
      <c r="N465" s="10">
        <f t="shared" si="55"/>
        <v>2.9545467240956045</v>
      </c>
    </row>
    <row r="466" spans="3:14">
      <c r="C466" s="4">
        <f>Pressure!AB466*1000000</f>
        <v>6404496.2024467336</v>
      </c>
      <c r="D466" s="84">
        <f>Pressure!I466</f>
        <v>2.214727558899525E-4</v>
      </c>
      <c r="E466" s="40">
        <f>Pressure!H466</f>
        <v>221.47275588995251</v>
      </c>
      <c r="F466" s="10">
        <f t="shared" si="50"/>
        <v>8</v>
      </c>
      <c r="G466" s="4">
        <f t="shared" si="49"/>
        <v>129042.1678626668</v>
      </c>
      <c r="H466" s="45">
        <f t="shared" si="51"/>
        <v>9.7009742022682879</v>
      </c>
      <c r="I466" s="10">
        <f t="shared" si="52"/>
        <v>1.38748486480392</v>
      </c>
      <c r="J466" s="4">
        <f t="shared" si="53"/>
        <v>1968.0382577727487</v>
      </c>
      <c r="K466" s="4">
        <f t="shared" si="54"/>
        <v>442.43475063458226</v>
      </c>
      <c r="L466" s="45">
        <f>Pressure!Q466</f>
        <v>1.0401381445275837</v>
      </c>
      <c r="M466" s="10">
        <f t="shared" si="56"/>
        <v>4.4242824687548987</v>
      </c>
      <c r="N466" s="10">
        <f t="shared" si="55"/>
        <v>2.9545467240956045</v>
      </c>
    </row>
    <row r="467" spans="3:14">
      <c r="C467" s="4">
        <f>Pressure!AB467*1000000</f>
        <v>6404422.379384364</v>
      </c>
      <c r="D467" s="84">
        <f>Pressure!I467</f>
        <v>2.214727558899525E-4</v>
      </c>
      <c r="E467" s="40">
        <f>Pressure!H467</f>
        <v>221.47275588995251</v>
      </c>
      <c r="F467" s="10">
        <f t="shared" si="50"/>
        <v>8</v>
      </c>
      <c r="G467" s="4">
        <f t="shared" si="49"/>
        <v>129040.68042513772</v>
      </c>
      <c r="H467" s="45">
        <f t="shared" si="51"/>
        <v>9.7008858134375284</v>
      </c>
      <c r="I467" s="10">
        <f t="shared" si="52"/>
        <v>1.387483410555908</v>
      </c>
      <c r="J467" s="4">
        <f t="shared" si="53"/>
        <v>1968.0135099640106</v>
      </c>
      <c r="K467" s="4">
        <f t="shared" si="54"/>
        <v>442.4291870788208</v>
      </c>
      <c r="L467" s="45">
        <f>Pressure!Q467</f>
        <v>1.0423861963508705</v>
      </c>
      <c r="M467" s="10">
        <f t="shared" si="56"/>
        <v>4.4242241765059287</v>
      </c>
      <c r="N467" s="10">
        <f t="shared" si="55"/>
        <v>2.9545467240956045</v>
      </c>
    </row>
    <row r="468" spans="3:14">
      <c r="C468" s="4">
        <f>Pressure!AB468*1000000</f>
        <v>6404338.3399867034</v>
      </c>
      <c r="D468" s="84">
        <f>Pressure!I468</f>
        <v>2.214727558899525E-4</v>
      </c>
      <c r="E468" s="40">
        <f>Pressure!H468</f>
        <v>221.47275588995251</v>
      </c>
      <c r="F468" s="10">
        <f t="shared" si="50"/>
        <v>8</v>
      </c>
      <c r="G468" s="4">
        <f t="shared" si="49"/>
        <v>129038.98714190087</v>
      </c>
      <c r="H468" s="45">
        <f t="shared" si="51"/>
        <v>9.7007851923071815</v>
      </c>
      <c r="I468" s="10">
        <f t="shared" si="52"/>
        <v>1.3874817550144616</v>
      </c>
      <c r="J468" s="4">
        <f t="shared" si="53"/>
        <v>1967.9853373188639</v>
      </c>
      <c r="K468" s="4">
        <f t="shared" si="54"/>
        <v>442.42285358546468</v>
      </c>
      <c r="L468" s="45">
        <f>Pressure!Q468</f>
        <v>1.0446342443364609</v>
      </c>
      <c r="M468" s="10">
        <f t="shared" si="56"/>
        <v>4.4241571399602364</v>
      </c>
      <c r="N468" s="10">
        <f t="shared" si="55"/>
        <v>2.9545467240956045</v>
      </c>
    </row>
    <row r="469" spans="3:14">
      <c r="C469" s="4">
        <f>Pressure!AB469*1000000</f>
        <v>6404244.0842283685</v>
      </c>
      <c r="D469" s="84">
        <f>Pressure!I469</f>
        <v>2.214727558899525E-4</v>
      </c>
      <c r="E469" s="40">
        <f>Pressure!H469</f>
        <v>221.47275588995251</v>
      </c>
      <c r="F469" s="10">
        <f t="shared" si="50"/>
        <v>8</v>
      </c>
      <c r="G469" s="4">
        <f t="shared" si="49"/>
        <v>129037.08801244484</v>
      </c>
      <c r="H469" s="45">
        <f t="shared" si="51"/>
        <v>9.7006723387632956</v>
      </c>
      <c r="I469" s="10">
        <f t="shared" si="52"/>
        <v>1.387479898163233</v>
      </c>
      <c r="J469" s="4">
        <f t="shared" si="53"/>
        <v>1967.9537398287994</v>
      </c>
      <c r="K469" s="4">
        <f t="shared" si="54"/>
        <v>442.41575015260094</v>
      </c>
      <c r="L469" s="45">
        <f>Pressure!Q469</f>
        <v>1.0468822879532125</v>
      </c>
      <c r="M469" s="10">
        <f t="shared" si="56"/>
        <v>4.4240813591524377</v>
      </c>
      <c r="N469" s="10">
        <f t="shared" si="55"/>
        <v>2.9545467240956045</v>
      </c>
    </row>
    <row r="470" spans="3:14">
      <c r="C470" s="4">
        <f>Pressure!AB470*1000000</f>
        <v>6404139.6120756082</v>
      </c>
      <c r="D470" s="84">
        <f>Pressure!I470</f>
        <v>2.214727558899525E-4</v>
      </c>
      <c r="E470" s="40">
        <f>Pressure!H470</f>
        <v>221.47275588995251</v>
      </c>
      <c r="F470" s="10">
        <f t="shared" si="50"/>
        <v>8</v>
      </c>
      <c r="G470" s="4">
        <f t="shared" si="49"/>
        <v>129034.9830360896</v>
      </c>
      <c r="H470" s="45">
        <f t="shared" si="51"/>
        <v>9.7005472526717398</v>
      </c>
      <c r="I470" s="10">
        <f t="shared" si="52"/>
        <v>1.3874778399837824</v>
      </c>
      <c r="J470" s="4">
        <f t="shared" si="53"/>
        <v>1967.9187174825031</v>
      </c>
      <c r="K470" s="4">
        <f t="shared" si="54"/>
        <v>442.40787677768606</v>
      </c>
      <c r="L470" s="45">
        <f>Pressure!Q470</f>
        <v>1.0491303266699634</v>
      </c>
      <c r="M470" s="10">
        <f t="shared" si="56"/>
        <v>4.4239968341147424</v>
      </c>
      <c r="N470" s="10">
        <f t="shared" si="55"/>
        <v>2.9545467240956045</v>
      </c>
    </row>
    <row r="471" spans="3:14">
      <c r="C471" s="4">
        <f>Pressure!AB471*1000000</f>
        <v>6404024.9234858882</v>
      </c>
      <c r="D471" s="84">
        <f>Pressure!I471</f>
        <v>2.214727558899525E-4</v>
      </c>
      <c r="E471" s="40">
        <f>Pressure!H471</f>
        <v>221.47275588995251</v>
      </c>
      <c r="F471" s="10">
        <f t="shared" si="50"/>
        <v>8</v>
      </c>
      <c r="G471" s="4">
        <f t="shared" si="49"/>
        <v>129032.6722119781</v>
      </c>
      <c r="H471" s="45">
        <f t="shared" si="51"/>
        <v>9.7004099338777063</v>
      </c>
      <c r="I471" s="10">
        <f t="shared" si="52"/>
        <v>1.3874755804555681</v>
      </c>
      <c r="J471" s="4">
        <f t="shared" si="53"/>
        <v>1967.8802702657156</v>
      </c>
      <c r="K471" s="4">
        <f t="shared" si="54"/>
        <v>442.39923345751441</v>
      </c>
      <c r="L471" s="45">
        <f>Pressure!Q471</f>
        <v>1.0513783599555302</v>
      </c>
      <c r="M471" s="10">
        <f t="shared" si="56"/>
        <v>4.4239035648790077</v>
      </c>
      <c r="N471" s="10">
        <f t="shared" si="55"/>
        <v>2.9545467240956045</v>
      </c>
    </row>
    <row r="472" spans="3:14">
      <c r="C472" s="4">
        <f>Pressure!AB472*1000000</f>
        <v>6403900.0184074929</v>
      </c>
      <c r="D472" s="84">
        <f>Pressure!I472</f>
        <v>2.214727558899525E-4</v>
      </c>
      <c r="E472" s="40">
        <f>Pressure!H472</f>
        <v>221.47275588995251</v>
      </c>
      <c r="F472" s="10">
        <f t="shared" si="50"/>
        <v>8</v>
      </c>
      <c r="G472" s="4">
        <f t="shared" si="49"/>
        <v>129030.15553906836</v>
      </c>
      <c r="H472" s="45">
        <f t="shared" si="51"/>
        <v>9.70026038220524</v>
      </c>
      <c r="I472" s="10">
        <f t="shared" si="52"/>
        <v>1.3874731195559391</v>
      </c>
      <c r="J472" s="4">
        <f t="shared" si="53"/>
        <v>1967.8383981611</v>
      </c>
      <c r="K472" s="4">
        <f t="shared" si="54"/>
        <v>442.38982018818848</v>
      </c>
      <c r="L472" s="45">
        <f>Pressure!Q472</f>
        <v>1.0536263872787048</v>
      </c>
      <c r="M472" s="10">
        <f t="shared" si="56"/>
        <v>4.4238015514759947</v>
      </c>
      <c r="N472" s="10">
        <f t="shared" si="55"/>
        <v>2.9545467240956045</v>
      </c>
    </row>
    <row r="473" spans="3:14">
      <c r="C473" s="4">
        <f>Pressure!AB473*1000000</f>
        <v>6403764.8967804471</v>
      </c>
      <c r="D473" s="84">
        <f>Pressure!I473</f>
        <v>2.214727558899525E-4</v>
      </c>
      <c r="E473" s="40">
        <f>Pressure!H473</f>
        <v>221.47275588995251</v>
      </c>
      <c r="F473" s="10">
        <f t="shared" si="50"/>
        <v>8</v>
      </c>
      <c r="G473" s="4">
        <f t="shared" si="49"/>
        <v>129027.43301615198</v>
      </c>
      <c r="H473" s="45">
        <f t="shared" si="51"/>
        <v>9.7000985974583198</v>
      </c>
      <c r="I473" s="10">
        <f t="shared" si="52"/>
        <v>1.3874704572601524</v>
      </c>
      <c r="J473" s="4">
        <f t="shared" si="53"/>
        <v>1967.7931011485516</v>
      </c>
      <c r="K473" s="4">
        <f t="shared" si="54"/>
        <v>442.37963696518852</v>
      </c>
      <c r="L473" s="45">
        <f>Pressure!Q473</f>
        <v>1.0558744081082525</v>
      </c>
      <c r="M473" s="10">
        <f t="shared" si="56"/>
        <v>4.4236907939360117</v>
      </c>
      <c r="N473" s="10">
        <f t="shared" si="55"/>
        <v>2.9545467240956045</v>
      </c>
    </row>
    <row r="474" spans="3:14">
      <c r="C474" s="4">
        <f>Pressure!AB474*1000000</f>
        <v>6403619.5585353505</v>
      </c>
      <c r="D474" s="84">
        <f>Pressure!I474</f>
        <v>2.214727558899525E-4</v>
      </c>
      <c r="E474" s="40">
        <f>Pressure!H474</f>
        <v>221.47275588995251</v>
      </c>
      <c r="F474" s="10">
        <f t="shared" si="50"/>
        <v>8</v>
      </c>
      <c r="G474" s="4">
        <f t="shared" si="49"/>
        <v>129024.5046418306</v>
      </c>
      <c r="H474" s="45">
        <f t="shared" si="51"/>
        <v>9.6999245794194877</v>
      </c>
      <c r="I474" s="10">
        <f t="shared" si="52"/>
        <v>1.387467593541349</v>
      </c>
      <c r="J474" s="4">
        <f t="shared" si="53"/>
        <v>1967.7443792048048</v>
      </c>
      <c r="K474" s="4">
        <f t="shared" si="54"/>
        <v>442.36868378328421</v>
      </c>
      <c r="L474" s="45">
        <f>Pressure!Q474</f>
        <v>1.0581224219129088</v>
      </c>
      <c r="M474" s="10">
        <f t="shared" ref="M474:M505" si="57">(J474+J473)/2*(L474-L473)</f>
        <v>4.4235712922883765</v>
      </c>
      <c r="N474" s="10">
        <f t="shared" si="55"/>
        <v>2.9545467240956045</v>
      </c>
    </row>
    <row r="475" spans="3:14">
      <c r="C475" s="4">
        <f>Pressure!AB475*1000000</f>
        <v>6403464.0035941415</v>
      </c>
      <c r="D475" s="84">
        <f>Pressure!I475</f>
        <v>2.214727558899525E-4</v>
      </c>
      <c r="E475" s="40">
        <f>Pressure!H475</f>
        <v>221.47275588995251</v>
      </c>
      <c r="F475" s="10">
        <f t="shared" si="50"/>
        <v>8</v>
      </c>
      <c r="G475" s="4">
        <f t="shared" si="49"/>
        <v>129021.3704145314</v>
      </c>
      <c r="H475" s="45">
        <f t="shared" si="51"/>
        <v>9.699738327850735</v>
      </c>
      <c r="I475" s="10">
        <f t="shared" si="52"/>
        <v>1.3874645283705684</v>
      </c>
      <c r="J475" s="4">
        <f t="shared" si="53"/>
        <v>1967.6922323036906</v>
      </c>
      <c r="K475" s="4">
        <f t="shared" ref="K475:K506" si="58">J475/4.4482</f>
        <v>442.35696063659248</v>
      </c>
      <c r="L475" s="45">
        <f>Pressure!Q475</f>
        <v>1.0603704281613771</v>
      </c>
      <c r="M475" s="10">
        <f t="shared" si="57"/>
        <v>4.4234430465608385</v>
      </c>
      <c r="N475" s="10">
        <f t="shared" si="55"/>
        <v>2.9545467240956045</v>
      </c>
    </row>
    <row r="476" spans="3:14">
      <c r="C476" s="4">
        <f>Pressure!AB476*1000000</f>
        <v>6403298.2318703029</v>
      </c>
      <c r="D476" s="84">
        <f>Pressure!I476</f>
        <v>2.214727558899525E-4</v>
      </c>
      <c r="E476" s="40">
        <f>Pressure!H476</f>
        <v>221.47275588995251</v>
      </c>
      <c r="F476" s="10">
        <f t="shared" si="50"/>
        <v>8</v>
      </c>
      <c r="G476" s="4">
        <f t="shared" ref="G476:G539" si="59">IF(C476/(1+(k-1)/2*N476^2)^(k/(k-1))&lt;patm*1000000,patm*1000000,C476/(1+(k-1)/2*N476^2)^(k/(k-1)))</f>
        <v>129018.03033251116</v>
      </c>
      <c r="H476" s="45">
        <f t="shared" si="51"/>
        <v>9.6995398424937598</v>
      </c>
      <c r="I476" s="10">
        <f t="shared" si="52"/>
        <v>1.3874612617167525</v>
      </c>
      <c r="J476" s="4">
        <f t="shared" si="53"/>
        <v>1967.6366604162056</v>
      </c>
      <c r="K476" s="4">
        <f t="shared" si="58"/>
        <v>442.34446751859304</v>
      </c>
      <c r="L476" s="45">
        <f>Pressure!Q476</f>
        <v>1.0626184263223255</v>
      </c>
      <c r="M476" s="10">
        <f t="shared" si="57"/>
        <v>4.423306056780814</v>
      </c>
      <c r="N476" s="10">
        <f t="shared" si="55"/>
        <v>2.9545467240956045</v>
      </c>
    </row>
    <row r="477" spans="3:14">
      <c r="C477" s="4">
        <f>Pressure!AB477*1000000</f>
        <v>6403122.2432682663</v>
      </c>
      <c r="D477" s="84">
        <f>Pressure!I477</f>
        <v>2.214727558899525E-4</v>
      </c>
      <c r="E477" s="40">
        <f>Pressure!H477</f>
        <v>221.47275588995251</v>
      </c>
      <c r="F477" s="10">
        <f t="shared" ref="F477:F540" si="60">aexit/E477</f>
        <v>8</v>
      </c>
      <c r="G477" s="4">
        <f t="shared" si="59"/>
        <v>129014.48439384431</v>
      </c>
      <c r="H477" s="45">
        <f t="shared" ref="H477:H540" si="61">1/(((k+1)/2)^(1/(k-1))*(patm*1000000/C477)^(1/k)*SQRT((k+1)/(k-1)*(1-(patm*1000000/C477)^((k-1)/k))))</f>
        <v>9.6993291230692549</v>
      </c>
      <c r="I477" s="10">
        <f t="shared" ref="I477:I540" si="62">etanoz*SQRT(2*k^2/(k-1)*(2/(k+1))^((k+1)/(k-1))*(1-(G477/C477)^((k-1)/k)))+(G477-patm*1000000)/C477*(aexit/E477)</f>
        <v>1.3874577935467327</v>
      </c>
      <c r="J477" s="4">
        <f t="shared" ref="J477:J540" si="63">I477*D477*C477</f>
        <v>1967.5776635103134</v>
      </c>
      <c r="K477" s="4">
        <f t="shared" si="58"/>
        <v>442.33120442208389</v>
      </c>
      <c r="L477" s="45">
        <f>Pressure!Q477</f>
        <v>1.064866415864385</v>
      </c>
      <c r="M477" s="10">
        <f t="shared" si="57"/>
        <v>4.423160322974808</v>
      </c>
      <c r="N477" s="10">
        <f t="shared" si="55"/>
        <v>2.9545467240956045</v>
      </c>
    </row>
    <row r="478" spans="3:14">
      <c r="C478" s="4">
        <f>Pressure!AB478*1000000</f>
        <v>6402936.0376833128</v>
      </c>
      <c r="D478" s="84">
        <f>Pressure!I478</f>
        <v>2.214727558899525E-4</v>
      </c>
      <c r="E478" s="40">
        <f>Pressure!H478</f>
        <v>221.47275588995251</v>
      </c>
      <c r="F478" s="10">
        <f t="shared" si="60"/>
        <v>8</v>
      </c>
      <c r="G478" s="4">
        <f t="shared" si="59"/>
        <v>129010.7325964209</v>
      </c>
      <c r="H478" s="45">
        <f t="shared" si="61"/>
        <v>9.6991061692767797</v>
      </c>
      <c r="I478" s="10">
        <f t="shared" si="62"/>
        <v>1.3874541238252265</v>
      </c>
      <c r="J478" s="4">
        <f t="shared" si="63"/>
        <v>1967.5152415509081</v>
      </c>
      <c r="K478" s="4">
        <f t="shared" si="58"/>
        <v>442.31717133917272</v>
      </c>
      <c r="L478" s="45">
        <f>Pressure!Q478</f>
        <v>1.0671143962561465</v>
      </c>
      <c r="M478" s="10">
        <f t="shared" si="57"/>
        <v>4.4230058451685927</v>
      </c>
      <c r="N478" s="10">
        <f t="shared" ref="N478:N541" si="64">N477-1/834*(me-mef)</f>
        <v>2.9545467240956045</v>
      </c>
    </row>
    <row r="479" spans="3:14">
      <c r="C479" s="4">
        <f>Pressure!AB479*1000000</f>
        <v>6402739.6150024943</v>
      </c>
      <c r="D479" s="84">
        <f>Pressure!I479</f>
        <v>2.214727558899525E-4</v>
      </c>
      <c r="E479" s="40">
        <f>Pressure!H479</f>
        <v>221.47275588995251</v>
      </c>
      <c r="F479" s="10">
        <f t="shared" si="60"/>
        <v>8</v>
      </c>
      <c r="G479" s="4">
        <f t="shared" si="59"/>
        <v>129006.77493796519</v>
      </c>
      <c r="H479" s="45">
        <f t="shared" si="61"/>
        <v>9.6988709807958848</v>
      </c>
      <c r="I479" s="10">
        <f t="shared" si="62"/>
        <v>1.3874502525148555</v>
      </c>
      <c r="J479" s="4">
        <f t="shared" si="63"/>
        <v>1967.4493945001261</v>
      </c>
      <c r="K479" s="4">
        <f t="shared" si="58"/>
        <v>442.30236826134757</v>
      </c>
      <c r="L479" s="45">
        <f>Pressure!Q479</f>
        <v>1.0693623669661578</v>
      </c>
      <c r="M479" s="10">
        <f t="shared" si="57"/>
        <v>4.4228426233866394</v>
      </c>
      <c r="N479" s="10">
        <f t="shared" si="64"/>
        <v>2.9545467240956045</v>
      </c>
    </row>
    <row r="480" spans="3:14">
      <c r="C480" s="4">
        <f>Pressure!AB480*1000000</f>
        <v>6402532.9751034966</v>
      </c>
      <c r="D480" s="84">
        <f>Pressure!I480</f>
        <v>2.214727558899525E-4</v>
      </c>
      <c r="E480" s="40">
        <f>Pressure!H480</f>
        <v>221.47275588995251</v>
      </c>
      <c r="F480" s="10">
        <f t="shared" si="60"/>
        <v>8</v>
      </c>
      <c r="G480" s="4">
        <f t="shared" si="59"/>
        <v>129002.61141601269</v>
      </c>
      <c r="H480" s="45">
        <f t="shared" si="61"/>
        <v>9.6986235572846908</v>
      </c>
      <c r="I480" s="10">
        <f t="shared" si="62"/>
        <v>1.3874461795761217</v>
      </c>
      <c r="J480" s="4">
        <f t="shared" si="63"/>
        <v>1967.3801223169635</v>
      </c>
      <c r="K480" s="4">
        <f t="shared" si="58"/>
        <v>442.2867951793902</v>
      </c>
      <c r="L480" s="45">
        <f>Pressure!Q480</f>
        <v>1.0716103274629218</v>
      </c>
      <c r="M480" s="10">
        <f t="shared" si="57"/>
        <v>4.4226706576529216</v>
      </c>
      <c r="N480" s="10">
        <f t="shared" si="64"/>
        <v>2.9545467240956045</v>
      </c>
    </row>
    <row r="481" spans="3:14">
      <c r="C481" s="4">
        <f>Pressure!AB481*1000000</f>
        <v>6402316.1178555293</v>
      </c>
      <c r="D481" s="84">
        <f>Pressure!I481</f>
        <v>2.214727558899525E-4</v>
      </c>
      <c r="E481" s="40">
        <f>Pressure!H481</f>
        <v>221.47275588995251</v>
      </c>
      <c r="F481" s="10">
        <f t="shared" si="60"/>
        <v>8</v>
      </c>
      <c r="G481" s="4">
        <f t="shared" si="59"/>
        <v>128998.24202792815</v>
      </c>
      <c r="H481" s="45">
        <f t="shared" si="61"/>
        <v>9.6983638983810181</v>
      </c>
      <c r="I481" s="10">
        <f t="shared" si="62"/>
        <v>1.3874419049674245</v>
      </c>
      <c r="J481" s="4">
        <f t="shared" si="63"/>
        <v>1967.3074249575754</v>
      </c>
      <c r="K481" s="4">
        <f t="shared" si="58"/>
        <v>442.27045208344396</v>
      </c>
      <c r="L481" s="45">
        <f>Pressure!Q481</f>
        <v>1.073858277214893</v>
      </c>
      <c r="M481" s="10">
        <f t="shared" si="57"/>
        <v>4.4224899479899431</v>
      </c>
      <c r="N481" s="10">
        <f t="shared" si="64"/>
        <v>2.9545467240956045</v>
      </c>
    </row>
    <row r="482" spans="3:14">
      <c r="C482" s="4">
        <f>Pressure!AB482*1000000</f>
        <v>6402089.0431186631</v>
      </c>
      <c r="D482" s="84">
        <f>Pressure!I482</f>
        <v>2.214727558899525E-4</v>
      </c>
      <c r="E482" s="40">
        <f>Pressure!H482</f>
        <v>221.47275588995251</v>
      </c>
      <c r="F482" s="10">
        <f t="shared" si="60"/>
        <v>8</v>
      </c>
      <c r="G482" s="4">
        <f t="shared" si="59"/>
        <v>128993.66677089219</v>
      </c>
      <c r="H482" s="45">
        <f t="shared" si="61"/>
        <v>9.6980920037015501</v>
      </c>
      <c r="I482" s="10">
        <f t="shared" si="62"/>
        <v>1.3874374286450457</v>
      </c>
      <c r="J482" s="4">
        <f t="shared" si="63"/>
        <v>1967.2313023750539</v>
      </c>
      <c r="K482" s="4">
        <f t="shared" si="58"/>
        <v>442.25333896296343</v>
      </c>
      <c r="L482" s="45">
        <f>Pressure!Q482</f>
        <v>1.0761062156904755</v>
      </c>
      <c r="M482" s="10">
        <f t="shared" si="57"/>
        <v>4.4223004944201456</v>
      </c>
      <c r="N482" s="10">
        <f t="shared" si="64"/>
        <v>2.9545467240956045</v>
      </c>
    </row>
    <row r="483" spans="3:14">
      <c r="C483" s="4">
        <f>Pressure!AB483*1000000</f>
        <v>6401851.7507447693</v>
      </c>
      <c r="D483" s="84">
        <f>Pressure!I483</f>
        <v>2.214727558899525E-4</v>
      </c>
      <c r="E483" s="40">
        <f>Pressure!H483</f>
        <v>221.47275588995251</v>
      </c>
      <c r="F483" s="10">
        <f t="shared" si="60"/>
        <v>8</v>
      </c>
      <c r="G483" s="4">
        <f t="shared" si="59"/>
        <v>128988.88564192019</v>
      </c>
      <c r="H483" s="45">
        <f t="shared" si="61"/>
        <v>9.6978078728429669</v>
      </c>
      <c r="I483" s="10">
        <f t="shared" si="62"/>
        <v>1.3874327505631674</v>
      </c>
      <c r="J483" s="4">
        <f t="shared" si="63"/>
        <v>1967.1517545197403</v>
      </c>
      <c r="K483" s="4">
        <f t="shared" si="58"/>
        <v>442.23545580678484</v>
      </c>
      <c r="L483" s="45">
        <f>Pressure!Q483</f>
        <v>1.0783541423580199</v>
      </c>
      <c r="M483" s="10">
        <f t="shared" si="57"/>
        <v>4.4221022969642618</v>
      </c>
      <c r="N483" s="10">
        <f t="shared" si="64"/>
        <v>2.9545467240956045</v>
      </c>
    </row>
    <row r="484" spans="3:14">
      <c r="C484" s="4">
        <f>Pressure!AB484*1000000</f>
        <v>6401604.2405759878</v>
      </c>
      <c r="D484" s="84">
        <f>Pressure!I484</f>
        <v>2.214727558899525E-4</v>
      </c>
      <c r="E484" s="40">
        <f>Pressure!H484</f>
        <v>221.47275588995251</v>
      </c>
      <c r="F484" s="10">
        <f t="shared" si="60"/>
        <v>8</v>
      </c>
      <c r="G484" s="4">
        <f t="shared" si="59"/>
        <v>128983.8986378315</v>
      </c>
      <c r="H484" s="45">
        <f t="shared" si="61"/>
        <v>9.6975115053800973</v>
      </c>
      <c r="I484" s="10">
        <f t="shared" si="62"/>
        <v>1.3874278706738412</v>
      </c>
      <c r="J484" s="4">
        <f t="shared" si="63"/>
        <v>1967.068781338716</v>
      </c>
      <c r="K484" s="4">
        <f t="shared" si="58"/>
        <v>442.21680260301156</v>
      </c>
      <c r="L484" s="45">
        <f>Pressure!Q484</f>
        <v>1.080602056685821</v>
      </c>
      <c r="M484" s="10">
        <f t="shared" si="57"/>
        <v>4.4218953556428451</v>
      </c>
      <c r="N484" s="10">
        <f t="shared" si="64"/>
        <v>2.9545467240956045</v>
      </c>
    </row>
    <row r="485" spans="3:14">
      <c r="C485" s="4">
        <f>Pressure!AB485*1000000</f>
        <v>6401346.5124464128</v>
      </c>
      <c r="D485" s="84">
        <f>Pressure!I485</f>
        <v>2.214727558899525E-4</v>
      </c>
      <c r="E485" s="40">
        <f>Pressure!H485</f>
        <v>221.47275588995251</v>
      </c>
      <c r="F485" s="10">
        <f t="shared" si="60"/>
        <v>8</v>
      </c>
      <c r="G485" s="4">
        <f t="shared" si="59"/>
        <v>128978.70575528333</v>
      </c>
      <c r="H485" s="45">
        <f t="shared" si="61"/>
        <v>9.6972029008679659</v>
      </c>
      <c r="I485" s="10">
        <f t="shared" si="62"/>
        <v>1.3874227889270188</v>
      </c>
      <c r="J485" s="4">
        <f t="shared" si="63"/>
        <v>1966.9823827763637</v>
      </c>
      <c r="K485" s="4">
        <f t="shared" si="58"/>
        <v>442.19737933914024</v>
      </c>
      <c r="L485" s="45">
        <f>Pressure!Q485</f>
        <v>1.0828499581421149</v>
      </c>
      <c r="M485" s="10">
        <f t="shared" si="57"/>
        <v>4.4216796704745862</v>
      </c>
      <c r="N485" s="10">
        <f t="shared" si="64"/>
        <v>2.9545467240956045</v>
      </c>
    </row>
    <row r="486" spans="3:14">
      <c r="C486" s="4">
        <f>Pressure!AB486*1000000</f>
        <v>6401078.566180733</v>
      </c>
      <c r="D486" s="84">
        <f>Pressure!I486</f>
        <v>2.214727558899525E-4</v>
      </c>
      <c r="E486" s="40">
        <f>Pressure!H486</f>
        <v>221.47275588995251</v>
      </c>
      <c r="F486" s="10">
        <f t="shared" si="60"/>
        <v>8</v>
      </c>
      <c r="G486" s="4">
        <f t="shared" si="59"/>
        <v>128973.30699074338</v>
      </c>
      <c r="H486" s="45">
        <f t="shared" si="61"/>
        <v>9.6968820588401261</v>
      </c>
      <c r="I486" s="10">
        <f t="shared" si="62"/>
        <v>1.3874175052705249</v>
      </c>
      <c r="J486" s="4">
        <f t="shared" si="63"/>
        <v>1966.8925587739134</v>
      </c>
      <c r="K486" s="4">
        <f t="shared" si="58"/>
        <v>442.17718600195889</v>
      </c>
      <c r="L486" s="45">
        <f>Pressure!Q486</f>
        <v>1.0850978461950769</v>
      </c>
      <c r="M486" s="10">
        <f t="shared" si="57"/>
        <v>4.4214552414786166</v>
      </c>
      <c r="N486" s="10">
        <f t="shared" si="64"/>
        <v>2.9545467240956045</v>
      </c>
    </row>
    <row r="487" spans="3:14">
      <c r="C487" s="4">
        <f>Pressure!AB487*1000000</f>
        <v>6400800.401595341</v>
      </c>
      <c r="D487" s="84">
        <f>Pressure!I487</f>
        <v>2.214727558899525E-4</v>
      </c>
      <c r="E487" s="40">
        <f>Pressure!H487</f>
        <v>221.47275588995251</v>
      </c>
      <c r="F487" s="10">
        <f t="shared" si="60"/>
        <v>8</v>
      </c>
      <c r="G487" s="4">
        <f t="shared" si="59"/>
        <v>128967.7023405122</v>
      </c>
      <c r="H487" s="45">
        <f t="shared" si="61"/>
        <v>9.696548978809993</v>
      </c>
      <c r="I487" s="10">
        <f t="shared" si="62"/>
        <v>1.3874120196500777</v>
      </c>
      <c r="J487" s="4">
        <f t="shared" si="63"/>
        <v>1966.7993092698146</v>
      </c>
      <c r="K487" s="4">
        <f t="shared" si="58"/>
        <v>442.15622257763016</v>
      </c>
      <c r="L487" s="45">
        <f>Pressure!Q487</f>
        <v>1.0873457203128181</v>
      </c>
      <c r="M487" s="10">
        <f t="shared" si="57"/>
        <v>4.4212220686722414</v>
      </c>
      <c r="N487" s="10">
        <f t="shared" si="64"/>
        <v>2.9545467240956045</v>
      </c>
    </row>
    <row r="488" spans="3:14">
      <c r="C488" s="4">
        <f>Pressure!AB488*1000000</f>
        <v>6400512.0184971644</v>
      </c>
      <c r="D488" s="84">
        <f>Pressure!I488</f>
        <v>2.214727558899525E-4</v>
      </c>
      <c r="E488" s="40">
        <f>Pressure!H488</f>
        <v>221.47275588995251</v>
      </c>
      <c r="F488" s="10">
        <f t="shared" si="60"/>
        <v>8</v>
      </c>
      <c r="G488" s="4">
        <f t="shared" si="59"/>
        <v>128961.89180069964</v>
      </c>
      <c r="H488" s="45">
        <f t="shared" si="61"/>
        <v>9.6962036602694468</v>
      </c>
      <c r="I488" s="10">
        <f t="shared" si="62"/>
        <v>1.3874063320092642</v>
      </c>
      <c r="J488" s="4">
        <f t="shared" si="63"/>
        <v>1966.702634199343</v>
      </c>
      <c r="K488" s="4">
        <f t="shared" si="58"/>
        <v>442.13448905160357</v>
      </c>
      <c r="L488" s="45">
        <f>Pressure!Q488</f>
        <v>1.0895935799633834</v>
      </c>
      <c r="M488" s="10">
        <f t="shared" si="57"/>
        <v>4.4209801520722287</v>
      </c>
      <c r="N488" s="10">
        <f t="shared" si="64"/>
        <v>2.9545467240956045</v>
      </c>
    </row>
    <row r="489" spans="3:14">
      <c r="C489" s="4">
        <f>Pressure!AB489*1000000</f>
        <v>6400213.4166849237</v>
      </c>
      <c r="D489" s="84">
        <f>Pressure!I489</f>
        <v>2.214727558899525E-4</v>
      </c>
      <c r="E489" s="40">
        <f>Pressure!H489</f>
        <v>221.47275588995251</v>
      </c>
      <c r="F489" s="10">
        <f t="shared" si="60"/>
        <v>8</v>
      </c>
      <c r="G489" s="4">
        <f t="shared" si="59"/>
        <v>128955.87536725019</v>
      </c>
      <c r="H489" s="45">
        <f t="shared" si="61"/>
        <v>9.6958461026903535</v>
      </c>
      <c r="I489" s="10">
        <f t="shared" si="62"/>
        <v>1.3874004422895634</v>
      </c>
      <c r="J489" s="4">
        <f t="shared" si="63"/>
        <v>1966.6025334950232</v>
      </c>
      <c r="K489" s="4">
        <f t="shared" si="58"/>
        <v>442.11198540870987</v>
      </c>
      <c r="L489" s="45">
        <f>Pressure!Q489</f>
        <v>1.0918414246147483</v>
      </c>
      <c r="M489" s="10">
        <f t="shared" si="57"/>
        <v>4.4207294916939706</v>
      </c>
      <c r="N489" s="10">
        <f t="shared" si="64"/>
        <v>2.9545467240956045</v>
      </c>
    </row>
    <row r="490" spans="3:14">
      <c r="C490" s="4">
        <f>Pressure!AB490*1000000</f>
        <v>6399904.5959480666</v>
      </c>
      <c r="D490" s="84">
        <f>Pressure!I490</f>
        <v>2.214727558899525E-4</v>
      </c>
      <c r="E490" s="40">
        <f>Pressure!H490</f>
        <v>221.47275588995251</v>
      </c>
      <c r="F490" s="10">
        <f t="shared" si="60"/>
        <v>8</v>
      </c>
      <c r="G490" s="4">
        <f t="shared" si="59"/>
        <v>128949.65303592151</v>
      </c>
      <c r="H490" s="45">
        <f t="shared" si="61"/>
        <v>9.695476305523238</v>
      </c>
      <c r="I490" s="10">
        <f t="shared" si="62"/>
        <v>1.3873943504303241</v>
      </c>
      <c r="J490" s="4">
        <f t="shared" si="63"/>
        <v>1966.4990070862718</v>
      </c>
      <c r="K490" s="4">
        <f t="shared" si="58"/>
        <v>442.08871163308123</v>
      </c>
      <c r="L490" s="45">
        <f>Pressure!Q490</f>
        <v>1.094089253734817</v>
      </c>
      <c r="M490" s="10">
        <f t="shared" si="57"/>
        <v>4.4204700875528733</v>
      </c>
      <c r="N490" s="10">
        <f t="shared" si="64"/>
        <v>2.9545467240956045</v>
      </c>
    </row>
    <row r="491" spans="3:14">
      <c r="C491" s="4">
        <f>Pressure!AB491*1000000</f>
        <v>6399585.5560673485</v>
      </c>
      <c r="D491" s="84">
        <f>Pressure!I491</f>
        <v>2.214727558899525E-4</v>
      </c>
      <c r="E491" s="40">
        <f>Pressure!H491</f>
        <v>221.47275588995251</v>
      </c>
      <c r="F491" s="10">
        <f t="shared" si="60"/>
        <v>8</v>
      </c>
      <c r="G491" s="4">
        <f t="shared" si="59"/>
        <v>128943.22480229607</v>
      </c>
      <c r="H491" s="45">
        <f t="shared" si="61"/>
        <v>9.6950942681980194</v>
      </c>
      <c r="I491" s="10">
        <f t="shared" si="62"/>
        <v>1.3873880563687746</v>
      </c>
      <c r="J491" s="4">
        <f t="shared" si="63"/>
        <v>1966.3920548995914</v>
      </c>
      <c r="K491" s="4">
        <f t="shared" si="58"/>
        <v>442.06466770819463</v>
      </c>
      <c r="L491" s="45">
        <f>Pressure!Q491</f>
        <v>1.096337066791419</v>
      </c>
      <c r="M491" s="10">
        <f t="shared" si="57"/>
        <v>4.4202019396624328</v>
      </c>
      <c r="N491" s="10">
        <f t="shared" si="64"/>
        <v>2.9545467240956045</v>
      </c>
    </row>
    <row r="492" spans="3:14">
      <c r="C492" s="4">
        <f>Pressure!AB492*1000000</f>
        <v>6399256.2968145916</v>
      </c>
      <c r="D492" s="84">
        <f>Pressure!I492</f>
        <v>2.214727558899525E-4</v>
      </c>
      <c r="E492" s="40">
        <f>Pressure!H492</f>
        <v>221.47275588995251</v>
      </c>
      <c r="F492" s="10">
        <f t="shared" si="60"/>
        <v>8</v>
      </c>
      <c r="G492" s="4">
        <f t="shared" si="59"/>
        <v>128936.59066177643</v>
      </c>
      <c r="H492" s="45">
        <f t="shared" si="61"/>
        <v>9.6946999901236932</v>
      </c>
      <c r="I492" s="10">
        <f t="shared" si="62"/>
        <v>1.3873815600400166</v>
      </c>
      <c r="J492" s="4">
        <f t="shared" si="63"/>
        <v>1966.2816768584894</v>
      </c>
      <c r="K492" s="4">
        <f t="shared" si="58"/>
        <v>442.03985361685386</v>
      </c>
      <c r="L492" s="45">
        <f>Pressure!Q492</f>
        <v>1.098584863252307</v>
      </c>
      <c r="M492" s="10">
        <f t="shared" si="57"/>
        <v>4.4199250480365455</v>
      </c>
      <c r="N492" s="10">
        <f t="shared" si="64"/>
        <v>2.9545467240956045</v>
      </c>
    </row>
    <row r="493" spans="3:14">
      <c r="C493" s="4">
        <f>Pressure!AB493*1000000</f>
        <v>6398916.8179530585</v>
      </c>
      <c r="D493" s="84">
        <f>Pressure!I493</f>
        <v>2.214727558899525E-4</v>
      </c>
      <c r="E493" s="40">
        <f>Pressure!H493</f>
        <v>221.47275588995251</v>
      </c>
      <c r="F493" s="10">
        <f t="shared" si="60"/>
        <v>8</v>
      </c>
      <c r="G493" s="4">
        <f t="shared" si="59"/>
        <v>128929.75060959261</v>
      </c>
      <c r="H493" s="45">
        <f t="shared" si="61"/>
        <v>9.6942934706887982</v>
      </c>
      <c r="I493" s="10">
        <f t="shared" si="62"/>
        <v>1.38737486137703</v>
      </c>
      <c r="J493" s="4">
        <f t="shared" si="63"/>
        <v>1966.1678728836036</v>
      </c>
      <c r="K493" s="4">
        <f t="shared" si="58"/>
        <v>442.01426934121747</v>
      </c>
      <c r="L493" s="45">
        <f>Pressure!Q493</f>
        <v>1.1008326425851538</v>
      </c>
      <c r="M493" s="10">
        <f t="shared" si="57"/>
        <v>4.4196394126865117</v>
      </c>
      <c r="N493" s="10">
        <f t="shared" si="64"/>
        <v>2.9545467240956045</v>
      </c>
    </row>
    <row r="494" spans="3:14">
      <c r="C494" s="4">
        <f>Pressure!AB494*1000000</f>
        <v>6398567.1192367831</v>
      </c>
      <c r="D494" s="84">
        <f>Pressure!I494</f>
        <v>2.214727558899525E-4</v>
      </c>
      <c r="E494" s="40">
        <f>Pressure!H494</f>
        <v>221.47275588995251</v>
      </c>
      <c r="F494" s="10">
        <f t="shared" si="60"/>
        <v>8</v>
      </c>
      <c r="G494" s="4">
        <f t="shared" si="59"/>
        <v>128922.70464078874</v>
      </c>
      <c r="H494" s="45">
        <f t="shared" si="61"/>
        <v>9.6938747092605713</v>
      </c>
      <c r="I494" s="10">
        <f t="shared" si="62"/>
        <v>1.3873679603106592</v>
      </c>
      <c r="J494" s="4">
        <f t="shared" si="63"/>
        <v>1966.0506428924791</v>
      </c>
      <c r="K494" s="4">
        <f t="shared" si="58"/>
        <v>441.98791486274877</v>
      </c>
      <c r="L494" s="45">
        <f>Pressure!Q494</f>
        <v>1.1030804042575499</v>
      </c>
      <c r="M494" s="10">
        <f t="shared" si="57"/>
        <v>4.4193450336239843</v>
      </c>
      <c r="N494" s="10">
        <f t="shared" si="64"/>
        <v>2.9545467240956045</v>
      </c>
    </row>
    <row r="495" spans="3:14">
      <c r="C495" s="4">
        <f>Pressure!AB495*1000000</f>
        <v>6398207.2004110981</v>
      </c>
      <c r="D495" s="84">
        <f>Pressure!I495</f>
        <v>2.214727558899525E-4</v>
      </c>
      <c r="E495" s="40">
        <f>Pressure!H495</f>
        <v>221.47275588995251</v>
      </c>
      <c r="F495" s="10">
        <f t="shared" si="60"/>
        <v>8</v>
      </c>
      <c r="G495" s="4">
        <f t="shared" si="59"/>
        <v>128915.45275023358</v>
      </c>
      <c r="H495" s="45">
        <f t="shared" si="61"/>
        <v>9.6934437051856079</v>
      </c>
      <c r="I495" s="10">
        <f t="shared" si="62"/>
        <v>1.3873608567696212</v>
      </c>
      <c r="J495" s="4">
        <f t="shared" si="63"/>
        <v>1965.9299867997427</v>
      </c>
      <c r="K495" s="4">
        <f t="shared" si="58"/>
        <v>441.96079016225502</v>
      </c>
      <c r="L495" s="45">
        <f>Pressure!Q495</f>
        <v>1.1053281477370014</v>
      </c>
      <c r="M495" s="10">
        <f t="shared" si="57"/>
        <v>4.4190419108600434</v>
      </c>
      <c r="N495" s="10">
        <f t="shared" si="64"/>
        <v>2.9545467240956045</v>
      </c>
    </row>
    <row r="496" spans="3:14">
      <c r="C496" s="4">
        <f>Pressure!AB496*1000000</f>
        <v>6397837.0612127362</v>
      </c>
      <c r="D496" s="84">
        <f>Pressure!I496</f>
        <v>2.214727558899525E-4</v>
      </c>
      <c r="E496" s="40">
        <f>Pressure!H496</f>
        <v>221.47275588995251</v>
      </c>
      <c r="F496" s="10">
        <f t="shared" si="60"/>
        <v>8</v>
      </c>
      <c r="G496" s="4">
        <f t="shared" si="59"/>
        <v>128907.99493262269</v>
      </c>
      <c r="H496" s="45">
        <f t="shared" si="61"/>
        <v>9.6930004577899833</v>
      </c>
      <c r="I496" s="10">
        <f t="shared" si="62"/>
        <v>1.387353550680505</v>
      </c>
      <c r="J496" s="4">
        <f t="shared" si="63"/>
        <v>1965.8059045171399</v>
      </c>
      <c r="K496" s="4">
        <f t="shared" si="58"/>
        <v>441.93289521989567</v>
      </c>
      <c r="L496" s="45">
        <f>Pressure!Q496</f>
        <v>1.1075758724909259</v>
      </c>
      <c r="M496" s="10">
        <f t="shared" si="57"/>
        <v>4.4187300444032616</v>
      </c>
      <c r="N496" s="10">
        <f t="shared" si="64"/>
        <v>2.9545467240956045</v>
      </c>
    </row>
    <row r="497" spans="3:14">
      <c r="C497" s="123">
        <f>Pressure!AB497*1000000</f>
        <v>6397456.7013690071</v>
      </c>
      <c r="D497" s="85">
        <f>Pressure!I497</f>
        <v>2.214727558899525E-4</v>
      </c>
      <c r="E497" s="120">
        <f>Pressure!H497</f>
        <v>221.47275588995251</v>
      </c>
      <c r="F497" s="10">
        <f t="shared" si="60"/>
        <v>8</v>
      </c>
      <c r="G497" s="4">
        <f t="shared" si="59"/>
        <v>128900.33118246168</v>
      </c>
      <c r="H497" s="61">
        <f t="shared" si="61"/>
        <v>9.6925449663782306</v>
      </c>
      <c r="I497" s="10">
        <f t="shared" si="62"/>
        <v>1.3873460419677546</v>
      </c>
      <c r="J497" s="4">
        <f t="shared" si="63"/>
        <v>1965.6783959532547</v>
      </c>
      <c r="K497" s="4">
        <f t="shared" si="58"/>
        <v>441.90423001511954</v>
      </c>
      <c r="L497" s="45">
        <f>Pressure!Q497</f>
        <v>1.1098235779866517</v>
      </c>
      <c r="M497" s="10">
        <f t="shared" si="57"/>
        <v>4.41840943426336</v>
      </c>
      <c r="N497" s="10">
        <f t="shared" si="64"/>
        <v>2.9545467240956045</v>
      </c>
    </row>
    <row r="498" spans="3:14">
      <c r="C498" s="4">
        <f>Pressure!AB498*1000000</f>
        <v>6397066.1205990333</v>
      </c>
      <c r="D498" s="84">
        <f>Pressure!I498</f>
        <v>2.214727558899525E-4</v>
      </c>
      <c r="E498" s="40">
        <f>Pressure!H498</f>
        <v>221.47275588995251</v>
      </c>
      <c r="F498" s="10">
        <f t="shared" si="60"/>
        <v>8</v>
      </c>
      <c r="G498" s="4">
        <f t="shared" si="59"/>
        <v>128892.46149409124</v>
      </c>
      <c r="H498" s="45">
        <f t="shared" si="61"/>
        <v>9.6920772302348297</v>
      </c>
      <c r="I498" s="10">
        <f t="shared" si="62"/>
        <v>1.3873383305536913</v>
      </c>
      <c r="J498" s="4">
        <f t="shared" si="63"/>
        <v>1965.5474610139302</v>
      </c>
      <c r="K498" s="4">
        <f t="shared" si="58"/>
        <v>441.87479452675916</v>
      </c>
      <c r="L498" s="45">
        <f>Pressure!Q498</f>
        <v>1.1120712636914134</v>
      </c>
      <c r="M498" s="10">
        <f t="shared" si="57"/>
        <v>4.4180800804474476</v>
      </c>
      <c r="N498" s="10">
        <f t="shared" si="64"/>
        <v>2.9545467240956045</v>
      </c>
    </row>
    <row r="499" spans="3:14">
      <c r="C499" s="4">
        <f>Pressure!AB499*1000000</f>
        <v>6396665.3186126119</v>
      </c>
      <c r="D499" s="84">
        <f>Pressure!I499</f>
        <v>2.214727558899525E-4</v>
      </c>
      <c r="E499" s="40">
        <f>Pressure!H499</f>
        <v>221.47275588995251</v>
      </c>
      <c r="F499" s="10">
        <f t="shared" si="60"/>
        <v>8</v>
      </c>
      <c r="G499" s="4">
        <f t="shared" si="59"/>
        <v>128884.38586166418</v>
      </c>
      <c r="H499" s="45">
        <f t="shared" si="61"/>
        <v>9.6915972486228608</v>
      </c>
      <c r="I499" s="10">
        <f t="shared" si="62"/>
        <v>1.3873304163584879</v>
      </c>
      <c r="J499" s="4">
        <f t="shared" si="63"/>
        <v>1965.4130996018796</v>
      </c>
      <c r="K499" s="4">
        <f t="shared" si="58"/>
        <v>441.84458873294358</v>
      </c>
      <c r="L499" s="45">
        <f>Pressure!Q499</f>
        <v>1.1143189290723505</v>
      </c>
      <c r="M499" s="10">
        <f t="shared" si="57"/>
        <v>4.4177419829626743</v>
      </c>
      <c r="N499" s="10">
        <f t="shared" si="64"/>
        <v>2.9545467240956045</v>
      </c>
    </row>
    <row r="500" spans="3:14">
      <c r="C500" s="4">
        <f>Pressure!AB500*1000000</f>
        <v>6396254.295110778</v>
      </c>
      <c r="D500" s="84">
        <f>Pressure!I500</f>
        <v>2.214727558899525E-4</v>
      </c>
      <c r="E500" s="40">
        <f>Pressure!H500</f>
        <v>221.47275588995251</v>
      </c>
      <c r="F500" s="10">
        <f t="shared" si="60"/>
        <v>8</v>
      </c>
      <c r="G500" s="4">
        <f t="shared" si="59"/>
        <v>128876.10427915673</v>
      </c>
      <c r="H500" s="45">
        <f t="shared" si="61"/>
        <v>9.6911050207846401</v>
      </c>
      <c r="I500" s="10">
        <f t="shared" si="62"/>
        <v>1.3873222993001797</v>
      </c>
      <c r="J500" s="4">
        <f t="shared" si="63"/>
        <v>1965.2753116168817</v>
      </c>
      <c r="K500" s="4">
        <f t="shared" si="58"/>
        <v>441.81361261114199</v>
      </c>
      <c r="L500" s="45">
        <f>Pressure!Q500</f>
        <v>1.1165665735965042</v>
      </c>
      <c r="M500" s="10">
        <f t="shared" si="57"/>
        <v>4.4173951418151542</v>
      </c>
      <c r="N500" s="10">
        <f t="shared" si="64"/>
        <v>2.9545467240956045</v>
      </c>
    </row>
    <row r="501" spans="3:14">
      <c r="C501" s="4">
        <f>Pressure!AB501*1000000</f>
        <v>6395833.0497858142</v>
      </c>
      <c r="D501" s="84">
        <f>Pressure!I501</f>
        <v>2.214727558899525E-4</v>
      </c>
      <c r="E501" s="40">
        <f>Pressure!H501</f>
        <v>221.47275588995251</v>
      </c>
      <c r="F501" s="10">
        <f t="shared" si="60"/>
        <v>8</v>
      </c>
      <c r="G501" s="4">
        <f t="shared" si="59"/>
        <v>128867.61674036882</v>
      </c>
      <c r="H501" s="45">
        <f t="shared" si="61"/>
        <v>9.690600545941745</v>
      </c>
      <c r="I501" s="10">
        <f t="shared" si="62"/>
        <v>1.3873139792946609</v>
      </c>
      <c r="J501" s="4">
        <f t="shared" si="63"/>
        <v>1965.1340969557789</v>
      </c>
      <c r="K501" s="4">
        <f t="shared" si="58"/>
        <v>441.78186613816348</v>
      </c>
      <c r="L501" s="45">
        <f>Pressure!Q501</f>
        <v>1.1188141967308147</v>
      </c>
      <c r="M501" s="10">
        <f t="shared" si="57"/>
        <v>4.4170395570097485</v>
      </c>
      <c r="N501" s="10">
        <f t="shared" si="64"/>
        <v>2.9545467240956045</v>
      </c>
    </row>
    <row r="502" spans="3:14">
      <c r="C502" s="4">
        <f>Pressure!AB502*1000000</f>
        <v>6395401.5823210068</v>
      </c>
      <c r="D502" s="84">
        <f>Pressure!I502</f>
        <v>2.214727558899525E-4</v>
      </c>
      <c r="E502" s="40">
        <f>Pressure!H502</f>
        <v>221.47275588995251</v>
      </c>
      <c r="F502" s="10">
        <f t="shared" si="60"/>
        <v>8</v>
      </c>
      <c r="G502" s="4">
        <f t="shared" si="59"/>
        <v>128858.92323891906</v>
      </c>
      <c r="H502" s="45">
        <f t="shared" si="61"/>
        <v>9.6900838232947049</v>
      </c>
      <c r="I502" s="10">
        <f t="shared" si="62"/>
        <v>1.3873054562556786</v>
      </c>
      <c r="J502" s="4">
        <f t="shared" si="63"/>
        <v>1964.9894555123997</v>
      </c>
      <c r="K502" s="4">
        <f t="shared" si="58"/>
        <v>441.74934929013978</v>
      </c>
      <c r="L502" s="45">
        <f>Pressure!Q502</f>
        <v>1.1210617979421191</v>
      </c>
      <c r="M502" s="10">
        <f t="shared" si="57"/>
        <v>4.4166752285517275</v>
      </c>
      <c r="N502" s="10">
        <f t="shared" si="64"/>
        <v>2.9545467240956045</v>
      </c>
    </row>
    <row r="503" spans="3:14">
      <c r="C503" s="4">
        <f>Pressure!AB503*1000000</f>
        <v>6394959.8923908575</v>
      </c>
      <c r="D503" s="84">
        <f>Pressure!I503</f>
        <v>2.214727558899525E-4</v>
      </c>
      <c r="E503" s="40">
        <f>Pressure!H503</f>
        <v>221.47275588995251</v>
      </c>
      <c r="F503" s="10">
        <f t="shared" si="60"/>
        <v>8</v>
      </c>
      <c r="G503" s="4">
        <f t="shared" si="59"/>
        <v>128850.0237682491</v>
      </c>
      <c r="H503" s="45">
        <f t="shared" si="61"/>
        <v>9.6895548520232797</v>
      </c>
      <c r="I503" s="10">
        <f t="shared" si="62"/>
        <v>1.3872967300948345</v>
      </c>
      <c r="J503" s="4">
        <f t="shared" si="63"/>
        <v>1964.8413871776263</v>
      </c>
      <c r="K503" s="4">
        <f t="shared" si="58"/>
        <v>441.71606204253999</v>
      </c>
      <c r="L503" s="45">
        <f>Pressure!Q503</f>
        <v>1.1233093766971478</v>
      </c>
      <c r="M503" s="10">
        <f t="shared" si="57"/>
        <v>4.4163021564432752</v>
      </c>
      <c r="N503" s="10">
        <f t="shared" si="64"/>
        <v>2.9545467240956045</v>
      </c>
    </row>
    <row r="504" spans="3:14">
      <c r="C504" s="4">
        <f>Pressure!AB504*1000000</f>
        <v>6394507.979661013</v>
      </c>
      <c r="D504" s="84">
        <f>Pressure!I504</f>
        <v>2.214727558899525E-4</v>
      </c>
      <c r="E504" s="40">
        <f>Pressure!H504</f>
        <v>221.47275588995251</v>
      </c>
      <c r="F504" s="10">
        <f t="shared" si="60"/>
        <v>8</v>
      </c>
      <c r="G504" s="4">
        <f t="shared" si="59"/>
        <v>128840.91832162214</v>
      </c>
      <c r="H504" s="45">
        <f t="shared" si="61"/>
        <v>9.6890136312863149</v>
      </c>
      <c r="I504" s="10">
        <f t="shared" si="62"/>
        <v>1.3872878007215805</v>
      </c>
      <c r="J504" s="4">
        <f t="shared" si="63"/>
        <v>1964.6898918393731</v>
      </c>
      <c r="K504" s="4">
        <f t="shared" si="58"/>
        <v>441.68200437016617</v>
      </c>
      <c r="L504" s="45">
        <f>Pressure!Q504</f>
        <v>1.1255569324625228</v>
      </c>
      <c r="M504" s="10">
        <f t="shared" si="57"/>
        <v>4.4159203406879142</v>
      </c>
      <c r="N504" s="10">
        <f t="shared" si="64"/>
        <v>2.9545467240956045</v>
      </c>
    </row>
    <row r="505" spans="3:14">
      <c r="C505" s="4">
        <f>Pressure!AB505*1000000</f>
        <v>6394045.843788011</v>
      </c>
      <c r="D505" s="84">
        <f>Pressure!I505</f>
        <v>2.214727558899525E-4</v>
      </c>
      <c r="E505" s="40">
        <f>Pressure!H505</f>
        <v>221.47275588995251</v>
      </c>
      <c r="F505" s="10">
        <f t="shared" si="60"/>
        <v>8</v>
      </c>
      <c r="G505" s="4">
        <f t="shared" si="59"/>
        <v>128831.6068921179</v>
      </c>
      <c r="H505" s="45">
        <f t="shared" si="61"/>
        <v>9.6884601602214797</v>
      </c>
      <c r="I505" s="10">
        <f t="shared" si="62"/>
        <v>1.387278668043213</v>
      </c>
      <c r="J505" s="4">
        <f t="shared" si="63"/>
        <v>1964.534969382501</v>
      </c>
      <c r="K505" s="4">
        <f t="shared" si="58"/>
        <v>441.64717624713393</v>
      </c>
      <c r="L505" s="45">
        <f>Pressure!Q505</f>
        <v>1.1278044647047543</v>
      </c>
      <c r="M505" s="10">
        <f t="shared" si="57"/>
        <v>4.415529781286895</v>
      </c>
      <c r="N505" s="10">
        <f t="shared" si="64"/>
        <v>2.9545467240956045</v>
      </c>
    </row>
    <row r="506" spans="3:14">
      <c r="C506" s="4">
        <f>Pressure!AB506*1000000</f>
        <v>6393573.4844199549</v>
      </c>
      <c r="D506" s="84">
        <f>Pressure!I506</f>
        <v>2.214727558899525E-4</v>
      </c>
      <c r="E506" s="40">
        <f>Pressure!H506</f>
        <v>221.47275588995251</v>
      </c>
      <c r="F506" s="10">
        <f t="shared" si="60"/>
        <v>8</v>
      </c>
      <c r="G506" s="4">
        <f t="shared" si="59"/>
        <v>128822.08947264611</v>
      </c>
      <c r="H506" s="45">
        <f t="shared" si="61"/>
        <v>9.6878944379460492</v>
      </c>
      <c r="I506" s="10">
        <f t="shared" si="62"/>
        <v>1.3872693319648817</v>
      </c>
      <c r="J506" s="4">
        <f t="shared" si="63"/>
        <v>1964.3766196890426</v>
      </c>
      <c r="K506" s="4">
        <f t="shared" si="58"/>
        <v>441.61157764692297</v>
      </c>
      <c r="L506" s="45">
        <f>Pressure!Q506</f>
        <v>1.1300519728902383</v>
      </c>
      <c r="M506" s="10">
        <f t="shared" ref="M506:M526" si="65">(J506+J505)/2*(L506-L505)</f>
        <v>4.4151304782406742</v>
      </c>
      <c r="N506" s="10">
        <f t="shared" si="64"/>
        <v>2.9545467240956045</v>
      </c>
    </row>
    <row r="507" spans="3:14">
      <c r="C507" s="4">
        <f>Pressure!AB507*1000000</f>
        <v>6393090.9011956565</v>
      </c>
      <c r="D507" s="84">
        <f>Pressure!I507</f>
        <v>2.214727558899525E-4</v>
      </c>
      <c r="E507" s="40">
        <f>Pressure!H507</f>
        <v>221.47275588995251</v>
      </c>
      <c r="F507" s="10">
        <f t="shared" si="60"/>
        <v>8</v>
      </c>
      <c r="G507" s="4">
        <f t="shared" si="59"/>
        <v>128812.36605592929</v>
      </c>
      <c r="H507" s="45">
        <f t="shared" si="61"/>
        <v>9.6873164635558684</v>
      </c>
      <c r="I507" s="10">
        <f t="shared" si="62"/>
        <v>1.387259792389572</v>
      </c>
      <c r="J507" s="4">
        <f t="shared" si="63"/>
        <v>1964.2148426379174</v>
      </c>
      <c r="K507" s="4">
        <f t="shared" ref="K507:K526" si="66">J507/4.4482</f>
        <v>441.57520854231319</v>
      </c>
      <c r="L507" s="45">
        <f>Pressure!Q507</f>
        <v>1.1322994564852544</v>
      </c>
      <c r="M507" s="10">
        <f t="shared" si="65"/>
        <v>4.4147224315501594</v>
      </c>
      <c r="N507" s="10">
        <f t="shared" si="64"/>
        <v>2.9545467240956045</v>
      </c>
    </row>
    <row r="508" spans="3:14">
      <c r="C508" s="4">
        <f>Pressure!AB508*1000000</f>
        <v>6392598.0937452139</v>
      </c>
      <c r="D508" s="84">
        <f>Pressure!I508</f>
        <v>2.214727558899525E-4</v>
      </c>
      <c r="E508" s="40">
        <f>Pressure!H508</f>
        <v>221.47275588995251</v>
      </c>
      <c r="F508" s="10">
        <f t="shared" si="60"/>
        <v>8</v>
      </c>
      <c r="G508" s="4">
        <f t="shared" si="59"/>
        <v>128802.43663451444</v>
      </c>
      <c r="H508" s="45">
        <f t="shared" si="61"/>
        <v>9.6867262361260504</v>
      </c>
      <c r="I508" s="10">
        <f t="shared" si="62"/>
        <v>1.3872500492181126</v>
      </c>
      <c r="J508" s="4">
        <f t="shared" si="63"/>
        <v>1964.0496381051212</v>
      </c>
      <c r="K508" s="4">
        <f t="shared" si="66"/>
        <v>441.53806890542717</v>
      </c>
      <c r="L508" s="45">
        <f>Pressure!Q508</f>
        <v>1.1345469149559624</v>
      </c>
      <c r="M508" s="10">
        <f t="shared" si="65"/>
        <v>4.4143056412135593</v>
      </c>
      <c r="N508" s="10">
        <f t="shared" si="64"/>
        <v>2.9545467240956045</v>
      </c>
    </row>
    <row r="509" spans="3:14">
      <c r="C509" s="4">
        <f>Pressure!AB509*1000000</f>
        <v>6392095.0616898602</v>
      </c>
      <c r="D509" s="84">
        <f>Pressure!I509</f>
        <v>2.214727558899525E-4</v>
      </c>
      <c r="E509" s="40">
        <f>Pressure!H509</f>
        <v>221.47275588995251</v>
      </c>
      <c r="F509" s="10">
        <f t="shared" si="60"/>
        <v>8</v>
      </c>
      <c r="G509" s="4">
        <f t="shared" si="59"/>
        <v>128792.30120076986</v>
      </c>
      <c r="H509" s="45">
        <f t="shared" si="61"/>
        <v>9.6861237547107848</v>
      </c>
      <c r="I509" s="10">
        <f t="shared" si="62"/>
        <v>1.3872401023491709</v>
      </c>
      <c r="J509" s="4">
        <f t="shared" si="63"/>
        <v>1963.8810059636808</v>
      </c>
      <c r="K509" s="4">
        <f t="shared" si="66"/>
        <v>441.50015870772017</v>
      </c>
      <c r="L509" s="45">
        <f>Pressure!Q509</f>
        <v>1.1367943477683997</v>
      </c>
      <c r="M509" s="10">
        <f t="shared" si="65"/>
        <v>4.4138801072291667</v>
      </c>
      <c r="N509" s="10">
        <f t="shared" si="64"/>
        <v>2.9545467240956045</v>
      </c>
    </row>
    <row r="510" spans="3:14">
      <c r="C510" s="4">
        <f>Pressure!AB510*1000000</f>
        <v>6391581.80464184</v>
      </c>
      <c r="D510" s="84">
        <f>Pressure!I510</f>
        <v>2.214727558899525E-4</v>
      </c>
      <c r="E510" s="40">
        <f>Pressure!H510</f>
        <v>221.47275588995251</v>
      </c>
      <c r="F510" s="10">
        <f t="shared" si="60"/>
        <v>8</v>
      </c>
      <c r="G510" s="4">
        <f t="shared" si="59"/>
        <v>128781.95974688283</v>
      </c>
      <c r="H510" s="45">
        <f t="shared" si="61"/>
        <v>9.6855090183431596</v>
      </c>
      <c r="I510" s="10">
        <f t="shared" si="62"/>
        <v>1.3872299516792475</v>
      </c>
      <c r="J510" s="4">
        <f t="shared" si="63"/>
        <v>1963.7089460836075</v>
      </c>
      <c r="K510" s="4">
        <f t="shared" si="66"/>
        <v>441.46147791996935</v>
      </c>
      <c r="L510" s="45">
        <f>Pressure!Q510</f>
        <v>1.1390417543884794</v>
      </c>
      <c r="M510" s="10">
        <f t="shared" si="65"/>
        <v>4.4134458295948278</v>
      </c>
      <c r="N510" s="10">
        <f t="shared" si="64"/>
        <v>2.9545467240956045</v>
      </c>
    </row>
    <row r="511" spans="3:14">
      <c r="C511" s="4">
        <f>Pressure!AB511*1000000</f>
        <v>6391058.3222044641</v>
      </c>
      <c r="D511" s="84">
        <f>Pressure!I511</f>
        <v>2.214727558899525E-4</v>
      </c>
      <c r="E511" s="40">
        <f>Pressure!H511</f>
        <v>221.47275588995251</v>
      </c>
      <c r="F511" s="10">
        <f t="shared" si="60"/>
        <v>8</v>
      </c>
      <c r="G511" s="4">
        <f t="shared" si="59"/>
        <v>128771.41226486056</v>
      </c>
      <c r="H511" s="45">
        <f t="shared" si="61"/>
        <v>9.6848820260352575</v>
      </c>
      <c r="I511" s="10">
        <f t="shared" si="62"/>
        <v>1.387219597102674</v>
      </c>
      <c r="J511" s="4">
        <f t="shared" si="63"/>
        <v>1963.5334583319193</v>
      </c>
      <c r="K511" s="4">
        <f t="shared" si="66"/>
        <v>441.42202651227899</v>
      </c>
      <c r="L511" s="45">
        <f>Pressure!Q511</f>
        <v>1.1412891342819869</v>
      </c>
      <c r="M511" s="10">
        <f t="shared" si="65"/>
        <v>4.4130028083066124</v>
      </c>
      <c r="N511" s="10">
        <f t="shared" si="64"/>
        <v>2.9545467240956045</v>
      </c>
    </row>
    <row r="512" spans="3:14">
      <c r="C512" s="4">
        <f>Pressure!AB512*1000000</f>
        <v>6390524.6139723575</v>
      </c>
      <c r="D512" s="84">
        <f>Pressure!I512</f>
        <v>2.214727558899525E-4</v>
      </c>
      <c r="E512" s="40">
        <f>Pressure!H512</f>
        <v>221.47275588995251</v>
      </c>
      <c r="F512" s="10">
        <f t="shared" si="60"/>
        <v>8</v>
      </c>
      <c r="G512" s="4">
        <f t="shared" si="59"/>
        <v>128760.65874653528</v>
      </c>
      <c r="H512" s="45">
        <f t="shared" si="61"/>
        <v>9.684242776778424</v>
      </c>
      <c r="I512" s="10">
        <f t="shared" si="62"/>
        <v>1.387209038511616</v>
      </c>
      <c r="J512" s="4">
        <f t="shared" si="63"/>
        <v>1963.3545425727207</v>
      </c>
      <c r="K512" s="4">
        <f t="shared" si="66"/>
        <v>441.38180445409847</v>
      </c>
      <c r="L512" s="45">
        <f>Pressure!Q512</f>
        <v>1.143536486914577</v>
      </c>
      <c r="M512" s="10">
        <f t="shared" si="65"/>
        <v>4.4125510433598123</v>
      </c>
      <c r="N512" s="10">
        <f t="shared" si="64"/>
        <v>2.9545467240956045</v>
      </c>
    </row>
    <row r="513" spans="3:14">
      <c r="C513" s="4">
        <f>Pressure!AB513*1000000</f>
        <v>6389980.6795311468</v>
      </c>
      <c r="D513" s="84">
        <f>Pressure!I513</f>
        <v>2.214727558899525E-4</v>
      </c>
      <c r="E513" s="40">
        <f>Pressure!H513</f>
        <v>221.47275588995251</v>
      </c>
      <c r="F513" s="10">
        <f t="shared" si="60"/>
        <v>8</v>
      </c>
      <c r="G513" s="4">
        <f t="shared" si="59"/>
        <v>128749.69918355791</v>
      </c>
      <c r="H513" s="45">
        <f t="shared" si="61"/>
        <v>9.6835912695428767</v>
      </c>
      <c r="I513" s="10">
        <f t="shared" si="62"/>
        <v>1.3871982757960644</v>
      </c>
      <c r="J513" s="4">
        <f t="shared" si="63"/>
        <v>1963.1721986671016</v>
      </c>
      <c r="K513" s="4">
        <f t="shared" si="66"/>
        <v>441.34081171419939</v>
      </c>
      <c r="L513" s="45">
        <f>Pressure!Q513</f>
        <v>1.145783811751772</v>
      </c>
      <c r="M513" s="10">
        <f t="shared" si="65"/>
        <v>4.4120905347493586</v>
      </c>
      <c r="N513" s="10">
        <f t="shared" si="64"/>
        <v>2.9545467240956045</v>
      </c>
    </row>
    <row r="514" spans="3:14">
      <c r="C514" s="4">
        <f>Pressure!AB514*1000000</f>
        <v>6389426.5184574574</v>
      </c>
      <c r="D514" s="84">
        <f>Pressure!I514</f>
        <v>2.214727558899525E-4</v>
      </c>
      <c r="E514" s="40">
        <f>Pressure!H514</f>
        <v>221.47275588995251</v>
      </c>
      <c r="F514" s="10">
        <f t="shared" si="60"/>
        <v>8</v>
      </c>
      <c r="G514" s="4">
        <f t="shared" si="59"/>
        <v>128738.53356739802</v>
      </c>
      <c r="H514" s="45">
        <f t="shared" si="61"/>
        <v>9.6829275032777353</v>
      </c>
      <c r="I514" s="10">
        <f t="shared" si="62"/>
        <v>1.3871873088438311</v>
      </c>
      <c r="J514" s="4">
        <f t="shared" si="63"/>
        <v>1962.9864264731339</v>
      </c>
      <c r="K514" s="4">
        <f t="shared" si="66"/>
        <v>441.29904826067485</v>
      </c>
      <c r="L514" s="45">
        <f>Pressure!Q514</f>
        <v>1.1480311082589587</v>
      </c>
      <c r="M514" s="10">
        <f t="shared" si="65"/>
        <v>4.4116212824692767</v>
      </c>
      <c r="N514" s="10">
        <f t="shared" si="64"/>
        <v>2.9545467240956045</v>
      </c>
    </row>
    <row r="515" spans="3:14">
      <c r="C515" s="4">
        <f>Pressure!AB515*1000000</f>
        <v>6388862.1303191483</v>
      </c>
      <c r="D515" s="84">
        <f>Pressure!I515</f>
        <v>2.214727558899525E-4</v>
      </c>
      <c r="E515" s="40">
        <f>Pressure!H515</f>
        <v>221.47275588995251</v>
      </c>
      <c r="F515" s="10">
        <f t="shared" si="60"/>
        <v>8</v>
      </c>
      <c r="G515" s="4">
        <f t="shared" si="59"/>
        <v>128727.16188934853</v>
      </c>
      <c r="H515" s="45">
        <f t="shared" si="61"/>
        <v>9.6822514769112207</v>
      </c>
      <c r="I515" s="10">
        <f t="shared" si="62"/>
        <v>1.3871761375405516</v>
      </c>
      <c r="J515" s="4">
        <f t="shared" si="63"/>
        <v>1962.7972258459495</v>
      </c>
      <c r="K515" s="4">
        <f t="shared" si="66"/>
        <v>441.2565140609571</v>
      </c>
      <c r="L515" s="45">
        <f>Pressure!Q515</f>
        <v>1.1502783759013855</v>
      </c>
      <c r="M515" s="10">
        <f t="shared" si="65"/>
        <v>4.4111432865123419</v>
      </c>
      <c r="N515" s="10">
        <f t="shared" si="64"/>
        <v>2.9545467240956045</v>
      </c>
    </row>
    <row r="516" spans="3:14">
      <c r="C516" s="4">
        <f>Pressure!AB516*1000000</f>
        <v>6388287.5146750351</v>
      </c>
      <c r="D516" s="84">
        <f>Pressure!I516</f>
        <v>2.214727558899525E-4</v>
      </c>
      <c r="E516" s="40">
        <f>Pressure!H516</f>
        <v>221.47275588995251</v>
      </c>
      <c r="F516" s="10">
        <f t="shared" si="60"/>
        <v>8</v>
      </c>
      <c r="G516" s="4">
        <f t="shared" si="59"/>
        <v>128715.58414052016</v>
      </c>
      <c r="H516" s="45">
        <f t="shared" si="61"/>
        <v>9.6815631893504221</v>
      </c>
      <c r="I516" s="10">
        <f t="shared" si="62"/>
        <v>1.387164761769677</v>
      </c>
      <c r="J516" s="4">
        <f t="shared" si="63"/>
        <v>1962.6045966376498</v>
      </c>
      <c r="K516" s="4">
        <f t="shared" si="66"/>
        <v>441.21320908179712</v>
      </c>
      <c r="L516" s="45">
        <f>Pressure!Q516</f>
        <v>1.1525256141441598</v>
      </c>
      <c r="M516" s="10">
        <f t="shared" si="65"/>
        <v>4.4106565468705101</v>
      </c>
      <c r="N516" s="10">
        <f t="shared" si="64"/>
        <v>2.9545467240956045</v>
      </c>
    </row>
    <row r="517" spans="3:14">
      <c r="C517" s="4">
        <f>Pressure!AB517*1000000</f>
        <v>6387702.6710750544</v>
      </c>
      <c r="D517" s="84">
        <f>Pressure!I517</f>
        <v>2.214727558899525E-4</v>
      </c>
      <c r="E517" s="40">
        <f>Pressure!H517</f>
        <v>221.47275588995251</v>
      </c>
      <c r="F517" s="10">
        <f t="shared" si="60"/>
        <v>8</v>
      </c>
      <c r="G517" s="4">
        <f t="shared" si="59"/>
        <v>128703.80031184472</v>
      </c>
      <c r="H517" s="45">
        <f t="shared" si="61"/>
        <v>9.6808626394813704</v>
      </c>
      <c r="I517" s="10">
        <f t="shared" si="62"/>
        <v>1.3871531814124727</v>
      </c>
      <c r="J517" s="4">
        <f t="shared" si="63"/>
        <v>1962.4085386973595</v>
      </c>
      <c r="K517" s="4">
        <f t="shared" si="66"/>
        <v>441.16913328927649</v>
      </c>
      <c r="L517" s="45">
        <f>Pressure!Q517</f>
        <v>1.1547728224522456</v>
      </c>
      <c r="M517" s="10">
        <f t="shared" si="65"/>
        <v>4.4101610635353241</v>
      </c>
      <c r="N517" s="10">
        <f t="shared" si="64"/>
        <v>2.9545467240956045</v>
      </c>
    </row>
    <row r="518" spans="3:14">
      <c r="C518" s="4">
        <f>Pressure!AB518*1000000</f>
        <v>6387107.5990601853</v>
      </c>
      <c r="D518" s="84">
        <f>Pressure!I518</f>
        <v>2.214727558899525E-4</v>
      </c>
      <c r="E518" s="40">
        <f>Pressure!H518</f>
        <v>221.47275588995251</v>
      </c>
      <c r="F518" s="10">
        <f t="shared" si="60"/>
        <v>8</v>
      </c>
      <c r="G518" s="4">
        <f t="shared" si="59"/>
        <v>128691.81039407356</v>
      </c>
      <c r="H518" s="45">
        <f t="shared" si="61"/>
        <v>9.6801498261690355</v>
      </c>
      <c r="I518" s="10">
        <f t="shared" si="62"/>
        <v>1.3871413963480157</v>
      </c>
      <c r="J518" s="4">
        <f t="shared" si="63"/>
        <v>1962.2090518712007</v>
      </c>
      <c r="K518" s="4">
        <f t="shared" si="66"/>
        <v>441.1242866488019</v>
      </c>
      <c r="L518" s="45">
        <f>Pressure!Q518</f>
        <v>1.1570200002904605</v>
      </c>
      <c r="M518" s="10">
        <f t="shared" si="65"/>
        <v>4.4096568364970743</v>
      </c>
      <c r="N518" s="10">
        <f t="shared" si="64"/>
        <v>2.9545467240956045</v>
      </c>
    </row>
    <row r="519" spans="3:14">
      <c r="C519" s="4">
        <f>Pressure!AB519*1000000</f>
        <v>6386502.2981628058</v>
      </c>
      <c r="D519" s="84">
        <f>Pressure!I519</f>
        <v>2.214727558899525E-4</v>
      </c>
      <c r="E519" s="40">
        <f>Pressure!H519</f>
        <v>221.47275588995251</v>
      </c>
      <c r="F519" s="10">
        <f t="shared" si="60"/>
        <v>8</v>
      </c>
      <c r="G519" s="4">
        <f t="shared" si="59"/>
        <v>128679.61437778469</v>
      </c>
      <c r="H519" s="45">
        <f t="shared" si="61"/>
        <v>9.6794247482576576</v>
      </c>
      <c r="I519" s="10">
        <f t="shared" si="62"/>
        <v>1.3871294064531967</v>
      </c>
      <c r="J519" s="4">
        <f t="shared" si="63"/>
        <v>1962.0061360024113</v>
      </c>
      <c r="K519" s="4">
        <f t="shared" si="66"/>
        <v>441.0786691251318</v>
      </c>
      <c r="L519" s="45">
        <f>Pressure!Q519</f>
        <v>1.159267147123473</v>
      </c>
      <c r="M519" s="10">
        <f t="shared" si="65"/>
        <v>4.4091438657449205</v>
      </c>
      <c r="N519" s="10">
        <f t="shared" si="64"/>
        <v>2.9545467240956045</v>
      </c>
    </row>
    <row r="520" spans="3:14">
      <c r="C520" s="4">
        <f>Pressure!AB520*1000000</f>
        <v>6385886.7679057466</v>
      </c>
      <c r="D520" s="84">
        <f>Pressure!I520</f>
        <v>2.214727558899525E-4</v>
      </c>
      <c r="E520" s="40">
        <f>Pressure!H520</f>
        <v>221.47275588995251</v>
      </c>
      <c r="F520" s="10">
        <f t="shared" si="60"/>
        <v>8</v>
      </c>
      <c r="G520" s="4">
        <f t="shared" si="59"/>
        <v>128667.21225336377</v>
      </c>
      <c r="H520" s="45">
        <f t="shared" si="61"/>
        <v>9.6786874045696933</v>
      </c>
      <c r="I520" s="10">
        <f t="shared" si="62"/>
        <v>1.3871172116026991</v>
      </c>
      <c r="J520" s="4">
        <f t="shared" si="63"/>
        <v>1961.7997909310293</v>
      </c>
      <c r="K520" s="4">
        <f t="shared" si="66"/>
        <v>441.03228068230504</v>
      </c>
      <c r="L520" s="45">
        <f>Pressure!Q520</f>
        <v>1.1615142624158001</v>
      </c>
      <c r="M520" s="10">
        <f t="shared" si="65"/>
        <v>4.4086221512679797</v>
      </c>
      <c r="N520" s="10">
        <f t="shared" si="64"/>
        <v>2.9545467240956045</v>
      </c>
    </row>
    <row r="521" spans="3:14">
      <c r="C521" s="4">
        <f>Pressure!AB521*1000000</f>
        <v>6385261.0078033907</v>
      </c>
      <c r="D521" s="84">
        <f>Pressure!I521</f>
        <v>2.214727558899525E-4</v>
      </c>
      <c r="E521" s="40">
        <f>Pressure!H521</f>
        <v>221.47275588995251</v>
      </c>
      <c r="F521" s="10">
        <f t="shared" si="60"/>
        <v>8</v>
      </c>
      <c r="G521" s="4">
        <f t="shared" si="59"/>
        <v>128654.60401102628</v>
      </c>
      <c r="H521" s="45">
        <f t="shared" si="61"/>
        <v>9.6779377939070503</v>
      </c>
      <c r="I521" s="10">
        <f t="shared" si="62"/>
        <v>1.3871048116690172</v>
      </c>
      <c r="J521" s="4">
        <f t="shared" si="63"/>
        <v>1961.5900164942605</v>
      </c>
      <c r="K521" s="4">
        <f t="shared" si="66"/>
        <v>440.98512128372386</v>
      </c>
      <c r="L521" s="45">
        <f>Pressure!Q521</f>
        <v>1.1637613456318043</v>
      </c>
      <c r="M521" s="10">
        <f t="shared" si="65"/>
        <v>4.4080916930536551</v>
      </c>
      <c r="N521" s="10">
        <f t="shared" si="64"/>
        <v>2.9545467240956045</v>
      </c>
    </row>
    <row r="522" spans="3:14">
      <c r="C522" s="4">
        <f>Pressure!AB522*1000000</f>
        <v>6384625.0173609778</v>
      </c>
      <c r="D522" s="84">
        <f>Pressure!I522</f>
        <v>2.214727558899525E-4</v>
      </c>
      <c r="E522" s="40">
        <f>Pressure!H522</f>
        <v>221.47275588995251</v>
      </c>
      <c r="F522" s="10">
        <f t="shared" si="60"/>
        <v>8</v>
      </c>
      <c r="G522" s="4">
        <f t="shared" si="59"/>
        <v>128641.78964080346</v>
      </c>
      <c r="H522" s="45">
        <f t="shared" si="61"/>
        <v>9.6771759150502739</v>
      </c>
      <c r="I522" s="10">
        <f t="shared" si="62"/>
        <v>1.3870922065224394</v>
      </c>
      <c r="J522" s="4">
        <f t="shared" si="63"/>
        <v>1961.3768125262461</v>
      </c>
      <c r="K522" s="4">
        <f t="shared" si="66"/>
        <v>440.93719089210157</v>
      </c>
      <c r="L522" s="45">
        <f>Pressure!Q522</f>
        <v>1.1660083962356911</v>
      </c>
      <c r="M522" s="10">
        <f t="shared" si="65"/>
        <v>4.4075524910891017</v>
      </c>
      <c r="N522" s="10">
        <f t="shared" si="64"/>
        <v>2.9545467240956045</v>
      </c>
    </row>
    <row r="523" spans="3:14">
      <c r="C523" s="4">
        <f>Pressure!AB523*1000000</f>
        <v>6383978.7960749799</v>
      </c>
      <c r="D523" s="84">
        <f>Pressure!I523</f>
        <v>2.214727558899525E-4</v>
      </c>
      <c r="E523" s="40">
        <f>Pressure!H523</f>
        <v>221.47275588995251</v>
      </c>
      <c r="F523" s="10">
        <f t="shared" si="60"/>
        <v>8</v>
      </c>
      <c r="G523" s="4">
        <f t="shared" si="59"/>
        <v>128628.76913254985</v>
      </c>
      <c r="H523" s="45">
        <f t="shared" si="61"/>
        <v>9.6764017667590121</v>
      </c>
      <c r="I523" s="10">
        <f t="shared" si="62"/>
        <v>1.3870793960310519</v>
      </c>
      <c r="J523" s="4">
        <f t="shared" si="63"/>
        <v>1961.1601788581872</v>
      </c>
      <c r="K523" s="4">
        <f t="shared" si="66"/>
        <v>440.88848946949042</v>
      </c>
      <c r="L523" s="45">
        <f>Pressure!Q523</f>
        <v>1.168255413691506</v>
      </c>
      <c r="M523" s="10">
        <f t="shared" si="65"/>
        <v>4.4070045453602482</v>
      </c>
      <c r="N523" s="10">
        <f t="shared" si="64"/>
        <v>2.9545467240956045</v>
      </c>
    </row>
    <row r="524" spans="3:14">
      <c r="C524" s="4">
        <f>Pressure!AB524*1000000</f>
        <v>6383322.3434327263</v>
      </c>
      <c r="D524" s="84">
        <f>Pressure!I524</f>
        <v>2.214727558899525E-4</v>
      </c>
      <c r="E524" s="40">
        <f>Pressure!H524</f>
        <v>221.47275588995251</v>
      </c>
      <c r="F524" s="10">
        <f t="shared" si="60"/>
        <v>8</v>
      </c>
      <c r="G524" s="4">
        <f t="shared" si="59"/>
        <v>128615.54247593581</v>
      </c>
      <c r="H524" s="45">
        <f t="shared" si="61"/>
        <v>9.6756153477715205</v>
      </c>
      <c r="I524" s="10">
        <f t="shared" si="62"/>
        <v>1.3870663800607281</v>
      </c>
      <c r="J524" s="4">
        <f t="shared" si="63"/>
        <v>1960.9401153182216</v>
      </c>
      <c r="K524" s="4">
        <f t="shared" si="66"/>
        <v>440.83901697725412</v>
      </c>
      <c r="L524" s="45">
        <f>Pressure!Q524</f>
        <v>1.1705023974631321</v>
      </c>
      <c r="M524" s="10">
        <f t="shared" si="65"/>
        <v>4.4064478558522344</v>
      </c>
      <c r="N524" s="10">
        <f t="shared" si="64"/>
        <v>2.9545467240956045</v>
      </c>
    </row>
    <row r="525" spans="3:14">
      <c r="C525" s="4">
        <f>Pressure!AB525*1000000</f>
        <v>6382655.6589126391</v>
      </c>
      <c r="D525" s="84">
        <f>Pressure!I525</f>
        <v>2.214727558899525E-4</v>
      </c>
      <c r="E525" s="40">
        <f>Pressure!H525</f>
        <v>221.47275588995251</v>
      </c>
      <c r="F525" s="10">
        <f t="shared" si="60"/>
        <v>8</v>
      </c>
      <c r="G525" s="4">
        <f t="shared" si="59"/>
        <v>128602.10966045228</v>
      </c>
      <c r="H525" s="45">
        <f t="shared" si="61"/>
        <v>9.6748166568049445</v>
      </c>
      <c r="I525" s="10">
        <f t="shared" si="62"/>
        <v>1.3870531584751289</v>
      </c>
      <c r="J525" s="4">
        <f t="shared" si="63"/>
        <v>1960.7166217314982</v>
      </c>
      <c r="K525" s="4">
        <f t="shared" si="66"/>
        <v>440.78877337608429</v>
      </c>
      <c r="L525" s="45">
        <f>Pressure!Q525</f>
        <v>1.1727493470142873</v>
      </c>
      <c r="M525" s="10">
        <f t="shared" si="65"/>
        <v>4.4058824225493769</v>
      </c>
      <c r="N525" s="10">
        <f t="shared" si="64"/>
        <v>2.9545467240956045</v>
      </c>
    </row>
    <row r="526" spans="3:14">
      <c r="C526" s="4">
        <f>Pressure!AB526*1000000</f>
        <v>6381978.7419842882</v>
      </c>
      <c r="D526" s="84">
        <f>Pressure!I526</f>
        <v>2.214727558899525E-4</v>
      </c>
      <c r="E526" s="40">
        <f>Pressure!H526</f>
        <v>221.47275588995251</v>
      </c>
      <c r="F526" s="10">
        <f t="shared" si="60"/>
        <v>8</v>
      </c>
      <c r="G526" s="4">
        <f t="shared" si="59"/>
        <v>128588.47067541174</v>
      </c>
      <c r="H526" s="45">
        <f t="shared" si="61"/>
        <v>9.6740056925553954</v>
      </c>
      <c r="I526" s="10">
        <f t="shared" si="62"/>
        <v>1.3870397311357014</v>
      </c>
      <c r="J526" s="4">
        <f t="shared" si="63"/>
        <v>1960.4896979202017</v>
      </c>
      <c r="K526" s="4">
        <f t="shared" si="66"/>
        <v>440.73775862600644</v>
      </c>
      <c r="L526" s="45">
        <f>Pressure!Q526</f>
        <v>1.1749962618085215</v>
      </c>
      <c r="M526" s="10">
        <f t="shared" si="65"/>
        <v>4.4053082454348491</v>
      </c>
      <c r="N526" s="10">
        <f t="shared" si="64"/>
        <v>2.9545467240956045</v>
      </c>
    </row>
    <row r="527" spans="3:14">
      <c r="C527" s="4">
        <f>Pressure!AB527*1000000</f>
        <v>6381291.5921082087</v>
      </c>
      <c r="D527" s="84">
        <f>Pressure!I527</f>
        <v>2.214727558899525E-4</v>
      </c>
      <c r="E527" s="40">
        <f>Pressure!H527</f>
        <v>221.47275588995251</v>
      </c>
      <c r="F527" s="10">
        <f t="shared" si="60"/>
        <v>8</v>
      </c>
      <c r="G527" s="4">
        <f t="shared" si="59"/>
        <v>128574.6255099447</v>
      </c>
      <c r="H527" s="45">
        <f t="shared" si="61"/>
        <v>9.6731824536976951</v>
      </c>
      <c r="I527" s="10">
        <f t="shared" si="62"/>
        <v>1.3870260979016711</v>
      </c>
      <c r="J527" s="4">
        <f t="shared" si="63"/>
        <v>1960.2593437034857</v>
      </c>
      <c r="K527" s="4">
        <f t="shared" ref="K527:K590" si="67">J527/4.4482</f>
        <v>440.68597268636432</v>
      </c>
      <c r="L527" s="45">
        <f>Pressure!Q527</f>
        <v>1.1772431413092139</v>
      </c>
      <c r="M527" s="10">
        <f t="shared" ref="M527:M590" si="68">(J527+J526)/2*(L527-L526)</f>
        <v>4.4047253244919498</v>
      </c>
      <c r="N527" s="10">
        <f t="shared" si="64"/>
        <v>2.9545467240956045</v>
      </c>
    </row>
    <row r="528" spans="3:14">
      <c r="C528" s="4">
        <f>Pressure!AB528*1000000</f>
        <v>6380594.2087359075</v>
      </c>
      <c r="D528" s="84">
        <f>Pressure!I528</f>
        <v>2.214727558899525E-4</v>
      </c>
      <c r="E528" s="40">
        <f>Pressure!H528</f>
        <v>221.47275588995251</v>
      </c>
      <c r="F528" s="10">
        <f t="shared" si="60"/>
        <v>8</v>
      </c>
      <c r="G528" s="4">
        <f t="shared" si="59"/>
        <v>128560.57415299976</v>
      </c>
      <c r="H528" s="45">
        <f t="shared" si="61"/>
        <v>9.6723469388853882</v>
      </c>
      <c r="I528" s="10">
        <f t="shared" si="62"/>
        <v>1.3870122586300382</v>
      </c>
      <c r="J528" s="4">
        <f t="shared" si="63"/>
        <v>1960.0255588974785</v>
      </c>
      <c r="K528" s="4">
        <f t="shared" si="67"/>
        <v>440.63341551582181</v>
      </c>
      <c r="L528" s="45">
        <f>Pressure!Q528</f>
        <v>1.1794899849795706</v>
      </c>
      <c r="M528" s="10">
        <f t="shared" si="68"/>
        <v>4.4041336597018708</v>
      </c>
      <c r="N528" s="10">
        <f t="shared" si="64"/>
        <v>2.9545467240956045</v>
      </c>
    </row>
    <row r="529" spans="3:14">
      <c r="C529" s="4">
        <f>Pressure!AB529*1000000</f>
        <v>6379886.5913100773</v>
      </c>
      <c r="D529" s="84">
        <f>Pressure!I529</f>
        <v>2.214727558899525E-4</v>
      </c>
      <c r="E529" s="40">
        <f>Pressure!H529</f>
        <v>221.47275588995251</v>
      </c>
      <c r="F529" s="10">
        <f t="shared" si="60"/>
        <v>8</v>
      </c>
      <c r="G529" s="4">
        <f t="shared" si="59"/>
        <v>128546.31659334789</v>
      </c>
      <c r="H529" s="45">
        <f t="shared" si="61"/>
        <v>9.6714991467510067</v>
      </c>
      <c r="I529" s="10">
        <f t="shared" si="62"/>
        <v>1.386998213175578</v>
      </c>
      <c r="J529" s="4">
        <f t="shared" si="63"/>
        <v>1959.7883433153529</v>
      </c>
      <c r="K529" s="4">
        <f t="shared" si="67"/>
        <v>440.58008707237826</v>
      </c>
      <c r="L529" s="45">
        <f>Pressure!Q529</f>
        <v>1.1817367922826212</v>
      </c>
      <c r="M529" s="10">
        <f t="shared" si="68"/>
        <v>4.4035332510455341</v>
      </c>
      <c r="N529" s="10">
        <f t="shared" si="64"/>
        <v>2.9545467240956045</v>
      </c>
    </row>
    <row r="530" spans="3:14">
      <c r="C530" s="4">
        <f>Pressure!AB530*1000000</f>
        <v>6379168.7392642153</v>
      </c>
      <c r="D530" s="84">
        <f>Pressure!I530</f>
        <v>2.214727558899525E-4</v>
      </c>
      <c r="E530" s="40">
        <f>Pressure!H530</f>
        <v>221.47275588995251</v>
      </c>
      <c r="F530" s="10">
        <f t="shared" si="60"/>
        <v>8</v>
      </c>
      <c r="G530" s="4">
        <f t="shared" si="59"/>
        <v>128531.85281957482</v>
      </c>
      <c r="H530" s="45">
        <f t="shared" si="61"/>
        <v>9.6706390759055552</v>
      </c>
      <c r="I530" s="10">
        <f t="shared" si="62"/>
        <v>1.3869839613908304</v>
      </c>
      <c r="J530" s="4">
        <f t="shared" si="63"/>
        <v>1959.5476967672003</v>
      </c>
      <c r="K530" s="4">
        <f t="shared" si="67"/>
        <v>440.52598731334029</v>
      </c>
      <c r="L530" s="45">
        <f>Pressure!Q530</f>
        <v>1.183983562681217</v>
      </c>
      <c r="M530" s="10">
        <f t="shared" si="68"/>
        <v>4.4029240985035356</v>
      </c>
      <c r="N530" s="10">
        <f t="shared" si="64"/>
        <v>2.9545467240956045</v>
      </c>
    </row>
    <row r="531" spans="3:14">
      <c r="C531" s="4">
        <f>Pressure!AB531*1000000</f>
        <v>6378440.65202309</v>
      </c>
      <c r="D531" s="84">
        <f>Pressure!I531</f>
        <v>2.214727558899525E-4</v>
      </c>
      <c r="E531" s="40">
        <f>Pressure!H531</f>
        <v>221.47275588995251</v>
      </c>
      <c r="F531" s="10">
        <f t="shared" si="60"/>
        <v>8</v>
      </c>
      <c r="G531" s="4">
        <f t="shared" si="59"/>
        <v>128517.18282009038</v>
      </c>
      <c r="H531" s="45">
        <f t="shared" si="61"/>
        <v>9.6697667249391124</v>
      </c>
      <c r="I531" s="10">
        <f t="shared" si="62"/>
        <v>1.3869695031261033</v>
      </c>
      <c r="J531" s="4">
        <f t="shared" si="63"/>
        <v>1959.3036190601836</v>
      </c>
      <c r="K531" s="4">
        <f t="shared" si="67"/>
        <v>440.47111619535622</v>
      </c>
      <c r="L531" s="45">
        <f>Pressure!Q531</f>
        <v>1.1862302956380271</v>
      </c>
      <c r="M531" s="10">
        <f t="shared" si="68"/>
        <v>4.4023062020540138</v>
      </c>
      <c r="N531" s="10">
        <f t="shared" si="64"/>
        <v>2.9545467240956045</v>
      </c>
    </row>
    <row r="532" spans="3:14">
      <c r="C532" s="4">
        <f>Pressure!AB532*1000000</f>
        <v>6377702.3290022369</v>
      </c>
      <c r="D532" s="84">
        <f>Pressure!I532</f>
        <v>2.214727558899525E-4</v>
      </c>
      <c r="E532" s="40">
        <f>Pressure!H532</f>
        <v>221.47275588995251</v>
      </c>
      <c r="F532" s="10">
        <f t="shared" si="60"/>
        <v>8</v>
      </c>
      <c r="G532" s="4">
        <f t="shared" si="59"/>
        <v>128502.30658311841</v>
      </c>
      <c r="H532" s="45">
        <f t="shared" si="61"/>
        <v>9.668882092420187</v>
      </c>
      <c r="I532" s="10">
        <f t="shared" si="62"/>
        <v>1.3869548382294614</v>
      </c>
      <c r="J532" s="4">
        <f t="shared" si="63"/>
        <v>1959.0561099983727</v>
      </c>
      <c r="K532" s="4">
        <f t="shared" si="67"/>
        <v>440.41547367437903</v>
      </c>
      <c r="L532" s="45">
        <f>Pressure!Q532</f>
        <v>1.188476990615537</v>
      </c>
      <c r="M532" s="10">
        <f t="shared" si="68"/>
        <v>4.4016795616765636</v>
      </c>
      <c r="N532" s="10">
        <f t="shared" si="64"/>
        <v>2.9545467240956045</v>
      </c>
    </row>
    <row r="533" spans="3:14">
      <c r="C533" s="4">
        <f>Pressure!AB533*1000000</f>
        <v>6376953.7696083272</v>
      </c>
      <c r="D533" s="84">
        <f>Pressure!I533</f>
        <v>2.214727558899525E-4</v>
      </c>
      <c r="E533" s="40">
        <f>Pressure!H533</f>
        <v>221.47275588995251</v>
      </c>
      <c r="F533" s="10">
        <f t="shared" si="60"/>
        <v>8</v>
      </c>
      <c r="G533" s="4">
        <f t="shared" si="59"/>
        <v>128487.22409670407</v>
      </c>
      <c r="H533" s="45">
        <f t="shared" si="61"/>
        <v>9.6679851768961402</v>
      </c>
      <c r="I533" s="10">
        <f t="shared" si="62"/>
        <v>1.386939966546727</v>
      </c>
      <c r="J533" s="4">
        <f t="shared" si="63"/>
        <v>1958.805169382865</v>
      </c>
      <c r="K533" s="4">
        <f t="shared" si="67"/>
        <v>440.35905970569331</v>
      </c>
      <c r="L533" s="45">
        <f>Pressure!Q533</f>
        <v>1.1907236470760447</v>
      </c>
      <c r="M533" s="10">
        <f t="shared" si="68"/>
        <v>4.401044177347412</v>
      </c>
      <c r="N533" s="10">
        <f t="shared" si="64"/>
        <v>2.9545467240956045</v>
      </c>
    </row>
    <row r="534" spans="3:14">
      <c r="C534" s="4">
        <f>Pressure!AB534*1000000</f>
        <v>6376194.9732390624</v>
      </c>
      <c r="D534" s="84">
        <f>Pressure!I534</f>
        <v>2.214727558899525E-4</v>
      </c>
      <c r="E534" s="40">
        <f>Pressure!H534</f>
        <v>221.47275588995251</v>
      </c>
      <c r="F534" s="10">
        <f t="shared" si="60"/>
        <v>8</v>
      </c>
      <c r="G534" s="4">
        <f t="shared" si="59"/>
        <v>128471.93534871186</v>
      </c>
      <c r="H534" s="45">
        <f t="shared" si="61"/>
        <v>9.6670759768930967</v>
      </c>
      <c r="I534" s="10">
        <f t="shared" si="62"/>
        <v>1.3869248879214755</v>
      </c>
      <c r="J534" s="4">
        <f t="shared" si="63"/>
        <v>1958.5507970117515</v>
      </c>
      <c r="K534" s="4">
        <f t="shared" si="67"/>
        <v>440.301874243908</v>
      </c>
      <c r="L534" s="45">
        <f>Pressure!Q534</f>
        <v>1.1929702644816587</v>
      </c>
      <c r="M534" s="10">
        <f t="shared" si="68"/>
        <v>4.4004000490438759</v>
      </c>
      <c r="N534" s="10">
        <f t="shared" si="64"/>
        <v>2.9545467240956045</v>
      </c>
    </row>
    <row r="535" spans="3:14">
      <c r="C535" s="4">
        <f>Pressure!AB535*1000000</f>
        <v>6375425.9392831372</v>
      </c>
      <c r="D535" s="84">
        <f>Pressure!I535</f>
        <v>2.214727558899525E-4</v>
      </c>
      <c r="E535" s="40">
        <f>Pressure!H535</f>
        <v>221.47275588995251</v>
      </c>
      <c r="F535" s="10">
        <f t="shared" si="60"/>
        <v>8</v>
      </c>
      <c r="G535" s="4">
        <f t="shared" si="59"/>
        <v>128456.44032682478</v>
      </c>
      <c r="H535" s="45">
        <f t="shared" si="61"/>
        <v>9.6661544909158259</v>
      </c>
      <c r="I535" s="10">
        <f t="shared" si="62"/>
        <v>1.3869096021950296</v>
      </c>
      <c r="J535" s="4">
        <f t="shared" si="63"/>
        <v>1958.292992680103</v>
      </c>
      <c r="K535" s="4">
        <f t="shared" si="67"/>
        <v>440.24391724295288</v>
      </c>
      <c r="L535" s="45">
        <f>Pressure!Q535</f>
        <v>1.1952168422942948</v>
      </c>
      <c r="M535" s="10">
        <f t="shared" si="68"/>
        <v>4.3997471767417125</v>
      </c>
      <c r="N535" s="10">
        <f t="shared" si="64"/>
        <v>2.9545467240956045</v>
      </c>
    </row>
    <row r="536" spans="3:14">
      <c r="C536" s="4">
        <f>Pressure!AB536*1000000</f>
        <v>6374646.6671200711</v>
      </c>
      <c r="D536" s="84">
        <f>Pressure!I536</f>
        <v>2.214727558899525E-4</v>
      </c>
      <c r="E536" s="40">
        <f>Pressure!H536</f>
        <v>221.47275588995251</v>
      </c>
      <c r="F536" s="10">
        <f t="shared" si="60"/>
        <v>8</v>
      </c>
      <c r="G536" s="4">
        <f t="shared" si="59"/>
        <v>128440.73901854097</v>
      </c>
      <c r="H536" s="45">
        <f t="shared" si="61"/>
        <v>9.6652207174475819</v>
      </c>
      <c r="I536" s="10">
        <f t="shared" si="62"/>
        <v>1.386894109206452</v>
      </c>
      <c r="J536" s="4">
        <f t="shared" si="63"/>
        <v>1958.0317561799152</v>
      </c>
      <c r="K536" s="4">
        <f t="shared" si="67"/>
        <v>440.18518865606654</v>
      </c>
      <c r="L536" s="45">
        <f>Pressure!Q536</f>
        <v>1.197463379975674</v>
      </c>
      <c r="M536" s="10">
        <f t="shared" si="68"/>
        <v>4.3990855604159194</v>
      </c>
      <c r="N536" s="10">
        <f t="shared" si="64"/>
        <v>2.9545467240956045</v>
      </c>
    </row>
    <row r="537" spans="3:14">
      <c r="C537" s="4">
        <f>Pressure!AB537*1000000</f>
        <v>6373857.1561204791</v>
      </c>
      <c r="D537" s="84">
        <f>Pressure!I537</f>
        <v>2.214727558899525E-4</v>
      </c>
      <c r="E537" s="40">
        <f>Pressure!H537</f>
        <v>221.47275588995251</v>
      </c>
      <c r="F537" s="10">
        <f t="shared" si="60"/>
        <v>8</v>
      </c>
      <c r="G537" s="4">
        <f t="shared" si="59"/>
        <v>128424.83141117916</v>
      </c>
      <c r="H537" s="45">
        <f t="shared" si="61"/>
        <v>9.6642746549503862</v>
      </c>
      <c r="I537" s="10">
        <f t="shared" si="62"/>
        <v>1.3868784087925465</v>
      </c>
      <c r="J537" s="4">
        <f t="shared" si="63"/>
        <v>1957.767087300198</v>
      </c>
      <c r="K537" s="4">
        <f t="shared" si="67"/>
        <v>440.1256884358163</v>
      </c>
      <c r="L537" s="45">
        <f>Pressure!Q537</f>
        <v>1.1997098769873187</v>
      </c>
      <c r="M537" s="10">
        <f t="shared" si="68"/>
        <v>4.3984152000399215</v>
      </c>
      <c r="N537" s="10">
        <f t="shared" si="64"/>
        <v>2.9545467240956045</v>
      </c>
    </row>
    <row r="538" spans="3:14">
      <c r="C538" s="4">
        <f>Pressure!AB538*1000000</f>
        <v>6373057.4056460476</v>
      </c>
      <c r="D538" s="84">
        <f>Pressure!I538</f>
        <v>2.214727558899525E-4</v>
      </c>
      <c r="E538" s="40">
        <f>Pressure!H538</f>
        <v>221.47275588995251</v>
      </c>
      <c r="F538" s="10">
        <f t="shared" si="60"/>
        <v>8</v>
      </c>
      <c r="G538" s="4">
        <f t="shared" si="59"/>
        <v>128408.71749187815</v>
      </c>
      <c r="H538" s="45">
        <f t="shared" si="61"/>
        <v>9.6633163018650112</v>
      </c>
      <c r="I538" s="10">
        <f t="shared" si="62"/>
        <v>1.3868625007878541</v>
      </c>
      <c r="J538" s="4">
        <f t="shared" si="63"/>
        <v>1957.4989858269696</v>
      </c>
      <c r="K538" s="4">
        <f t="shared" si="67"/>
        <v>440.06541653409687</v>
      </c>
      <c r="L538" s="45">
        <f>Pressure!Q538</f>
        <v>1.2019563327905511</v>
      </c>
      <c r="M538" s="10">
        <f t="shared" si="68"/>
        <v>4.3977360955878471</v>
      </c>
      <c r="N538" s="10">
        <f t="shared" si="64"/>
        <v>2.9545467240956045</v>
      </c>
    </row>
    <row r="539" spans="3:14">
      <c r="C539" s="4">
        <f>Pressure!AB539*1000000</f>
        <v>6372247.4150493294</v>
      </c>
      <c r="D539" s="84">
        <f>Pressure!I539</f>
        <v>2.214727558899525E-4</v>
      </c>
      <c r="E539" s="40">
        <f>Pressure!H539</f>
        <v>221.47275588995251</v>
      </c>
      <c r="F539" s="10">
        <f t="shared" si="60"/>
        <v>8</v>
      </c>
      <c r="G539" s="4">
        <f t="shared" si="59"/>
        <v>128392.39724759274</v>
      </c>
      <c r="H539" s="45">
        <f t="shared" si="61"/>
        <v>9.6623456566106825</v>
      </c>
      <c r="I539" s="10">
        <f t="shared" si="62"/>
        <v>1.3868463850246426</v>
      </c>
      <c r="J539" s="4">
        <f t="shared" si="63"/>
        <v>1957.2274515431843</v>
      </c>
      <c r="K539" s="4">
        <f t="shared" si="67"/>
        <v>440.0043729021142</v>
      </c>
      <c r="L539" s="45">
        <f>Pressure!Q539</f>
        <v>1.2042027468464895</v>
      </c>
      <c r="M539" s="10">
        <f t="shared" si="68"/>
        <v>4.3970482470309751</v>
      </c>
      <c r="N539" s="10">
        <f t="shared" si="64"/>
        <v>2.9545467240956045</v>
      </c>
    </row>
    <row r="540" spans="3:14">
      <c r="C540" s="4">
        <f>Pressure!AB540*1000000</f>
        <v>6371427.1836739471</v>
      </c>
      <c r="D540" s="84">
        <f>Pressure!I540</f>
        <v>2.214727558899525E-4</v>
      </c>
      <c r="E540" s="40">
        <f>Pressure!H540</f>
        <v>221.47275588995251</v>
      </c>
      <c r="F540" s="10">
        <f t="shared" si="60"/>
        <v>8</v>
      </c>
      <c r="G540" s="4">
        <f t="shared" ref="G540:G603" si="69">IF(C540/(1+(k-1)/2*N540^2)^(k/(k-1))&lt;patm*1000000,patm*1000000,C540/(1+(k-1)/2*N540^2)^(k/(k-1)))</f>
        <v>128375.8706650978</v>
      </c>
      <c r="H540" s="45">
        <f t="shared" si="61"/>
        <v>9.6613627175853605</v>
      </c>
      <c r="I540" s="10">
        <f t="shared" si="62"/>
        <v>1.3868300613329083</v>
      </c>
      <c r="J540" s="4">
        <f t="shared" si="63"/>
        <v>1956.9524842288045</v>
      </c>
      <c r="K540" s="4">
        <f t="shared" si="67"/>
        <v>439.94255749040161</v>
      </c>
      <c r="L540" s="45">
        <f>Pressure!Q540</f>
        <v>1.2064491186160462</v>
      </c>
      <c r="M540" s="10">
        <f t="shared" si="68"/>
        <v>4.3963516543416583</v>
      </c>
      <c r="N540" s="10">
        <f t="shared" si="64"/>
        <v>2.9545467240956045</v>
      </c>
    </row>
    <row r="541" spans="3:14">
      <c r="C541" s="4">
        <f>Pressure!AB541*1000000</f>
        <v>6370596.710854304</v>
      </c>
      <c r="D541" s="84">
        <f>Pressure!I541</f>
        <v>2.214727558899525E-4</v>
      </c>
      <c r="E541" s="40">
        <f>Pressure!H541</f>
        <v>221.47275588995251</v>
      </c>
      <c r="F541" s="10">
        <f t="shared" ref="F541:F604" si="70">aexit/E541</f>
        <v>8</v>
      </c>
      <c r="G541" s="4">
        <f t="shared" si="69"/>
        <v>128359.13773098242</v>
      </c>
      <c r="H541" s="45">
        <f t="shared" ref="H541:H604" si="71">1/(((k+1)/2)^(1/(k-1))*(patm*1000000/C541)^(1/k)*SQRT((k+1)/(k-1)*(1-(patm*1000000/C541)^((k-1)/k))))</f>
        <v>9.6603674831653574</v>
      </c>
      <c r="I541" s="10">
        <f t="shared" ref="I541:I604" si="72">etanoz*SQRT(2*k^2/(k-1)*(2/(k+1))^((k+1)/(k-1))*(1-(G541/C541)^((k-1)/k)))+(G541-patm*1000000)/C541*(aexit/E541)</f>
        <v>1.3868135295403643</v>
      </c>
      <c r="J541" s="4">
        <f t="shared" ref="J541:J604" si="73">I541*D541*C541</f>
        <v>1956.6740836607014</v>
      </c>
      <c r="K541" s="4">
        <f t="shared" si="67"/>
        <v>439.87997024879758</v>
      </c>
      <c r="L541" s="45">
        <f>Pressure!Q541</f>
        <v>1.2086954475599245</v>
      </c>
      <c r="M541" s="10">
        <f t="shared" si="68"/>
        <v>4.3956463174907006</v>
      </c>
      <c r="N541" s="10">
        <f t="shared" si="64"/>
        <v>2.9545467240956045</v>
      </c>
    </row>
    <row r="542" spans="3:14">
      <c r="C542" s="4">
        <f>Pressure!AB542*1000000</f>
        <v>6369755.9959157705</v>
      </c>
      <c r="D542" s="84">
        <f>Pressure!I542</f>
        <v>2.214727558899525E-4</v>
      </c>
      <c r="E542" s="40">
        <f>Pressure!H542</f>
        <v>221.47275588995251</v>
      </c>
      <c r="F542" s="10">
        <f t="shared" si="70"/>
        <v>8</v>
      </c>
      <c r="G542" s="4">
        <f t="shared" si="69"/>
        <v>128342.1984316537</v>
      </c>
      <c r="H542" s="45">
        <f t="shared" si="71"/>
        <v>9.6593599517055431</v>
      </c>
      <c r="I542" s="10">
        <f t="shared" si="72"/>
        <v>1.38679678947244</v>
      </c>
      <c r="J542" s="4">
        <f t="shared" si="73"/>
        <v>1956.3922496127173</v>
      </c>
      <c r="K542" s="4">
        <f t="shared" si="67"/>
        <v>439.81661112645952</v>
      </c>
      <c r="L542" s="45">
        <f>Pressure!Q542</f>
        <v>1.2109417331386159</v>
      </c>
      <c r="M542" s="10">
        <f t="shared" si="68"/>
        <v>4.3949322364473238</v>
      </c>
      <c r="N542" s="10">
        <f t="shared" ref="N542:N605" si="74">N541-1/834*(me-mef)</f>
        <v>2.9545467240956045</v>
      </c>
    </row>
    <row r="543" spans="3:14">
      <c r="C543" s="4">
        <f>Pressure!AB543*1000000</f>
        <v>6368905.0381750418</v>
      </c>
      <c r="D543" s="84">
        <f>Pressure!I543</f>
        <v>2.214727558899525E-4</v>
      </c>
      <c r="E543" s="40">
        <f>Pressure!H543</f>
        <v>221.47275588995251</v>
      </c>
      <c r="F543" s="10">
        <f t="shared" si="70"/>
        <v>8</v>
      </c>
      <c r="G543" s="4">
        <f t="shared" si="69"/>
        <v>128325.05275334395</v>
      </c>
      <c r="H543" s="45">
        <f t="shared" si="71"/>
        <v>9.6583401215397906</v>
      </c>
      <c r="I543" s="10">
        <f t="shared" si="72"/>
        <v>1.386779840952284</v>
      </c>
      <c r="J543" s="4">
        <f t="shared" si="73"/>
        <v>1956.1069818557876</v>
      </c>
      <c r="K543" s="4">
        <f t="shared" si="67"/>
        <v>439.75248007189145</v>
      </c>
      <c r="L543" s="45">
        <f>Pressure!Q543</f>
        <v>1.213187974812397</v>
      </c>
      <c r="M543" s="10">
        <f t="shared" si="68"/>
        <v>4.3942094111806966</v>
      </c>
      <c r="N543" s="10">
        <f t="shared" si="74"/>
        <v>2.9545467240956045</v>
      </c>
    </row>
    <row r="544" spans="3:14">
      <c r="C544" s="4">
        <f>Pressure!AB544*1000000</f>
        <v>6368043.8369392585</v>
      </c>
      <c r="D544" s="84">
        <f>Pressure!I544</f>
        <v>2.214727558899525E-4</v>
      </c>
      <c r="E544" s="40">
        <f>Pressure!H544</f>
        <v>221.47275588995251</v>
      </c>
      <c r="F544" s="10">
        <f t="shared" si="70"/>
        <v>8</v>
      </c>
      <c r="G544" s="4">
        <f t="shared" si="69"/>
        <v>128307.70068209297</v>
      </c>
      <c r="H544" s="45">
        <f t="shared" si="71"/>
        <v>9.6573079909798665</v>
      </c>
      <c r="I544" s="10">
        <f t="shared" si="72"/>
        <v>1.3867626838007416</v>
      </c>
      <c r="J544" s="4">
        <f t="shared" si="73"/>
        <v>1955.8182801576434</v>
      </c>
      <c r="K544" s="4">
        <f t="shared" si="67"/>
        <v>439.68757703287696</v>
      </c>
      <c r="L544" s="45">
        <f>Pressure!Q544</f>
        <v>1.2154341720413275</v>
      </c>
      <c r="M544" s="10">
        <f t="shared" si="68"/>
        <v>4.3934778416588767</v>
      </c>
      <c r="N544" s="10">
        <f t="shared" si="74"/>
        <v>2.9545467240956045</v>
      </c>
    </row>
    <row r="545" spans="3:14">
      <c r="C545" s="4">
        <f>Pressure!AB545*1000000</f>
        <v>6367172.3915067185</v>
      </c>
      <c r="D545" s="84">
        <f>Pressure!I545</f>
        <v>2.214727558899525E-4</v>
      </c>
      <c r="E545" s="40">
        <f>Pressure!H545</f>
        <v>221.47275588995251</v>
      </c>
      <c r="F545" s="10">
        <f t="shared" si="70"/>
        <v>8</v>
      </c>
      <c r="G545" s="4">
        <f t="shared" si="69"/>
        <v>128290.14220376239</v>
      </c>
      <c r="H545" s="45">
        <f t="shared" si="71"/>
        <v>9.6562635583163079</v>
      </c>
      <c r="I545" s="10">
        <f t="shared" si="72"/>
        <v>1.386745317836364</v>
      </c>
      <c r="J545" s="4">
        <f t="shared" si="73"/>
        <v>1955.5261442830526</v>
      </c>
      <c r="K545" s="4">
        <f t="shared" si="67"/>
        <v>439.62190195653358</v>
      </c>
      <c r="L545" s="45">
        <f>Pressure!Q545</f>
        <v>1.217680324285247</v>
      </c>
      <c r="M545" s="10">
        <f t="shared" si="68"/>
        <v>4.3927375278496328</v>
      </c>
      <c r="N545" s="10">
        <f t="shared" si="74"/>
        <v>2.9545467240956045</v>
      </c>
    </row>
    <row r="546" spans="3:14">
      <c r="C546" s="4">
        <f>Pressure!AB546*1000000</f>
        <v>6366290.7011665711</v>
      </c>
      <c r="D546" s="84">
        <f>Pressure!I546</f>
        <v>2.214727558899525E-4</v>
      </c>
      <c r="E546" s="40">
        <f>Pressure!H546</f>
        <v>221.47275588995251</v>
      </c>
      <c r="F546" s="10">
        <f t="shared" si="70"/>
        <v>8</v>
      </c>
      <c r="G546" s="4">
        <f t="shared" si="69"/>
        <v>128272.37730402949</v>
      </c>
      <c r="H546" s="45">
        <f t="shared" si="71"/>
        <v>9.6552068218180374</v>
      </c>
      <c r="I546" s="10">
        <f t="shared" si="72"/>
        <v>1.3867277428753977</v>
      </c>
      <c r="J546" s="4">
        <f t="shared" si="73"/>
        <v>1955.230573993716</v>
      </c>
      <c r="K546" s="4">
        <f t="shared" si="67"/>
        <v>439.55545478928917</v>
      </c>
      <c r="L546" s="45">
        <f>Pressure!Q546</f>
        <v>1.2199264310037721</v>
      </c>
      <c r="M546" s="10">
        <f t="shared" si="68"/>
        <v>4.3919884697193075</v>
      </c>
      <c r="N546" s="10">
        <f t="shared" si="74"/>
        <v>2.9545467240956045</v>
      </c>
    </row>
    <row r="547" spans="3:14">
      <c r="C547" s="4">
        <f>Pressure!AB547*1000000</f>
        <v>6365398.7651991593</v>
      </c>
      <c r="D547" s="84">
        <f>Pressure!I547</f>
        <v>2.214727558899525E-4</v>
      </c>
      <c r="E547" s="40">
        <f>Pressure!H547</f>
        <v>221.47275588995251</v>
      </c>
      <c r="F547" s="10">
        <f t="shared" si="70"/>
        <v>8</v>
      </c>
      <c r="G547" s="4">
        <f t="shared" si="69"/>
        <v>128254.40596839413</v>
      </c>
      <c r="H547" s="45">
        <f t="shared" si="71"/>
        <v>9.654137779732725</v>
      </c>
      <c r="I547" s="10">
        <f t="shared" si="72"/>
        <v>1.3867099587317866</v>
      </c>
      <c r="J547" s="4">
        <f t="shared" si="73"/>
        <v>1954.9315690483813</v>
      </c>
      <c r="K547" s="4">
        <f t="shared" si="67"/>
        <v>439.48823547690785</v>
      </c>
      <c r="L547" s="45">
        <f>Pressure!Q547</f>
        <v>1.2221724916562935</v>
      </c>
      <c r="M547" s="10">
        <f t="shared" si="68"/>
        <v>4.3912306672328434</v>
      </c>
      <c r="N547" s="10">
        <f t="shared" si="74"/>
        <v>2.9545467240956045</v>
      </c>
    </row>
    <row r="548" spans="3:14">
      <c r="C548" s="4">
        <f>Pressure!AB548*1000000</f>
        <v>6364496.5828754418</v>
      </c>
      <c r="D548" s="84">
        <f>Pressure!I548</f>
        <v>2.214727558899525E-4</v>
      </c>
      <c r="E548" s="40">
        <f>Pressure!H548</f>
        <v>221.47275588995251</v>
      </c>
      <c r="F548" s="10">
        <f t="shared" si="70"/>
        <v>8</v>
      </c>
      <c r="G548" s="4">
        <f t="shared" si="69"/>
        <v>128236.22818216711</v>
      </c>
      <c r="H548" s="45">
        <f t="shared" si="71"/>
        <v>9.6530564302861528</v>
      </c>
      <c r="I548" s="10">
        <f t="shared" si="72"/>
        <v>1.3866919652171545</v>
      </c>
      <c r="J548" s="4">
        <f t="shared" si="73"/>
        <v>1954.6291292026515</v>
      </c>
      <c r="K548" s="4">
        <f t="shared" si="67"/>
        <v>439.42024396444663</v>
      </c>
      <c r="L548" s="45">
        <f>Pressure!Q548</f>
        <v>1.2244185057019739</v>
      </c>
      <c r="M548" s="10">
        <f t="shared" si="68"/>
        <v>4.3904641203558805</v>
      </c>
      <c r="N548" s="10">
        <f t="shared" si="74"/>
        <v>2.9545467240956045</v>
      </c>
    </row>
    <row r="549" spans="3:14">
      <c r="C549" s="4">
        <f>Pressure!AB549*1000000</f>
        <v>6363584.1534574516</v>
      </c>
      <c r="D549" s="84">
        <f>Pressure!I549</f>
        <v>2.214727558899525E-4</v>
      </c>
      <c r="E549" s="40">
        <f>Pressure!H549</f>
        <v>221.47275588995251</v>
      </c>
      <c r="F549" s="10">
        <f t="shared" si="70"/>
        <v>8</v>
      </c>
      <c r="G549" s="4">
        <f t="shared" si="69"/>
        <v>128217.84393047934</v>
      </c>
      <c r="H549" s="45">
        <f t="shared" si="71"/>
        <v>9.6519627716826868</v>
      </c>
      <c r="I549" s="10">
        <f t="shared" si="72"/>
        <v>1.386673762140811</v>
      </c>
      <c r="J549" s="4">
        <f t="shared" si="73"/>
        <v>1954.3232542091364</v>
      </c>
      <c r="K549" s="4">
        <f t="shared" si="67"/>
        <v>439.35148019628986</v>
      </c>
      <c r="L549" s="45">
        <f>Pressure!Q549</f>
        <v>1.2266644725997442</v>
      </c>
      <c r="M549" s="10">
        <f t="shared" si="68"/>
        <v>4.3896888290516873</v>
      </c>
      <c r="N549" s="10">
        <f t="shared" si="74"/>
        <v>2.9545467240956045</v>
      </c>
    </row>
    <row r="550" spans="3:14">
      <c r="C550" s="4">
        <f>Pressure!AB550*1000000</f>
        <v>6362661.4761977391</v>
      </c>
      <c r="D550" s="84">
        <f>Pressure!I550</f>
        <v>2.214727558899525E-4</v>
      </c>
      <c r="E550" s="40">
        <f>Pressure!H550</f>
        <v>221.47275588995251</v>
      </c>
      <c r="F550" s="10">
        <f t="shared" si="70"/>
        <v>8</v>
      </c>
      <c r="G550" s="4">
        <f t="shared" si="69"/>
        <v>128199.25319827072</v>
      </c>
      <c r="H550" s="45">
        <f t="shared" si="71"/>
        <v>9.6508568021046326</v>
      </c>
      <c r="I550" s="10">
        <f t="shared" si="72"/>
        <v>1.3866553493097331</v>
      </c>
      <c r="J550" s="4">
        <f t="shared" si="73"/>
        <v>1954.013943817268</v>
      </c>
      <c r="K550" s="4">
        <f t="shared" si="67"/>
        <v>439.28194411610718</v>
      </c>
      <c r="L550" s="45">
        <f>Pressure!Q550</f>
        <v>1.228910391808302</v>
      </c>
      <c r="M550" s="10">
        <f t="shared" si="68"/>
        <v>4.3889047932841718</v>
      </c>
      <c r="N550" s="10">
        <f t="shared" si="74"/>
        <v>2.9545467240956045</v>
      </c>
    </row>
    <row r="551" spans="3:14">
      <c r="C551" s="4">
        <f>Pressure!AB551*1000000</f>
        <v>6361728.5503405146</v>
      </c>
      <c r="D551" s="84">
        <f>Pressure!I551</f>
        <v>2.214727558899525E-4</v>
      </c>
      <c r="E551" s="40">
        <f>Pressure!H551</f>
        <v>221.47275588995251</v>
      </c>
      <c r="F551" s="10">
        <f t="shared" si="70"/>
        <v>8</v>
      </c>
      <c r="G551" s="4">
        <f t="shared" si="69"/>
        <v>128180.45597031305</v>
      </c>
      <c r="H551" s="45">
        <f t="shared" si="71"/>
        <v>9.6497385197135692</v>
      </c>
      <c r="I551" s="10">
        <f t="shared" si="72"/>
        <v>1.3866367265285853</v>
      </c>
      <c r="J551" s="4">
        <f t="shared" si="73"/>
        <v>1953.7011977736813</v>
      </c>
      <c r="K551" s="4">
        <f t="shared" si="67"/>
        <v>439.21163566693974</v>
      </c>
      <c r="L551" s="45">
        <f>Pressure!Q551</f>
        <v>1.2311562627861072</v>
      </c>
      <c r="M551" s="10">
        <f t="shared" si="68"/>
        <v>4.3881120130146511</v>
      </c>
      <c r="N551" s="10">
        <f t="shared" si="74"/>
        <v>2.9545467240956045</v>
      </c>
    </row>
    <row r="552" spans="3:14">
      <c r="C552" s="4">
        <f>Pressure!AB552*1000000</f>
        <v>6360785.3751201667</v>
      </c>
      <c r="D552" s="84">
        <f>Pressure!I552</f>
        <v>2.214727558899525E-4</v>
      </c>
      <c r="E552" s="40">
        <f>Pressure!H552</f>
        <v>221.47275588995251</v>
      </c>
      <c r="F552" s="10">
        <f t="shared" si="70"/>
        <v>8</v>
      </c>
      <c r="G552" s="4">
        <f t="shared" si="69"/>
        <v>128161.45223118029</v>
      </c>
      <c r="H552" s="45">
        <f t="shared" si="71"/>
        <v>9.6486079226485764</v>
      </c>
      <c r="I552" s="10">
        <f t="shared" si="72"/>
        <v>1.3866178935996822</v>
      </c>
      <c r="J552" s="4">
        <f t="shared" si="73"/>
        <v>1953.3850158217197</v>
      </c>
      <c r="K552" s="4">
        <f t="shared" si="67"/>
        <v>439.14055479108845</v>
      </c>
      <c r="L552" s="45">
        <f>Pressure!Q552</f>
        <v>1.2334020849913807</v>
      </c>
      <c r="M552" s="10">
        <f t="shared" si="68"/>
        <v>4.3873104882052045</v>
      </c>
      <c r="N552" s="10">
        <f t="shared" si="74"/>
        <v>2.9545467240956045</v>
      </c>
    </row>
    <row r="553" spans="3:14">
      <c r="C553" s="4">
        <f>Pressure!AB553*1000000</f>
        <v>6359831.9497621171</v>
      </c>
      <c r="D553" s="84">
        <f>Pressure!I553</f>
        <v>2.214727558899525E-4</v>
      </c>
      <c r="E553" s="40">
        <f>Pressure!H553</f>
        <v>221.47275588995251</v>
      </c>
      <c r="F553" s="10">
        <f t="shared" si="70"/>
        <v>8</v>
      </c>
      <c r="G553" s="4">
        <f t="shared" si="69"/>
        <v>128142.2419652657</v>
      </c>
      <c r="H553" s="45">
        <f t="shared" si="71"/>
        <v>9.6474650090272434</v>
      </c>
      <c r="I553" s="10">
        <f t="shared" si="72"/>
        <v>1.3865988503230031</v>
      </c>
      <c r="J553" s="4">
        <f t="shared" si="73"/>
        <v>1953.06539770172</v>
      </c>
      <c r="K553" s="4">
        <f t="shared" si="67"/>
        <v>439.06870143017852</v>
      </c>
      <c r="L553" s="45">
        <f>Pressure!Q553</f>
        <v>1.2356478578821009</v>
      </c>
      <c r="M553" s="10">
        <f t="shared" si="68"/>
        <v>4.3865002188167175</v>
      </c>
      <c r="N553" s="10">
        <f t="shared" si="74"/>
        <v>2.9545467240956045</v>
      </c>
    </row>
    <row r="554" spans="3:14">
      <c r="C554" s="4">
        <f>Pressure!AB554*1000000</f>
        <v>6358868.2734829802</v>
      </c>
      <c r="D554" s="84">
        <f>Pressure!I554</f>
        <v>2.214727558899525E-4</v>
      </c>
      <c r="E554" s="40">
        <f>Pressure!H554</f>
        <v>221.47275588995251</v>
      </c>
      <c r="F554" s="10">
        <f t="shared" si="70"/>
        <v>8</v>
      </c>
      <c r="G554" s="4">
        <f t="shared" si="69"/>
        <v>128122.8251567851</v>
      </c>
      <c r="H554" s="45">
        <f t="shared" si="71"/>
        <v>9.6463097769458308</v>
      </c>
      <c r="I554" s="10">
        <f t="shared" si="72"/>
        <v>1.3865795964961869</v>
      </c>
      <c r="J554" s="4">
        <f t="shared" si="73"/>
        <v>1952.742343151067</v>
      </c>
      <c r="K554" s="4">
        <f t="shared" si="67"/>
        <v>438.99607552517131</v>
      </c>
      <c r="L554" s="45">
        <f>Pressure!Q554</f>
        <v>1.2378935809160003</v>
      </c>
      <c r="M554" s="10">
        <f t="shared" si="68"/>
        <v>4.3856812048079812</v>
      </c>
      <c r="N554" s="10">
        <f t="shared" si="74"/>
        <v>2.9545467240956045</v>
      </c>
    </row>
    <row r="555" spans="3:14">
      <c r="C555" s="4">
        <f>Pressure!AB555*1000000</f>
        <v>6357894.3454900747</v>
      </c>
      <c r="D555" s="84">
        <f>Pressure!I555</f>
        <v>2.214727558899525E-4</v>
      </c>
      <c r="E555" s="40">
        <f>Pressure!H555</f>
        <v>221.47275588995251</v>
      </c>
      <c r="F555" s="10">
        <f t="shared" si="70"/>
        <v>8</v>
      </c>
      <c r="G555" s="4">
        <f t="shared" si="69"/>
        <v>128103.201789767</v>
      </c>
      <c r="H555" s="45">
        <f t="shared" si="71"/>
        <v>9.645142224478704</v>
      </c>
      <c r="I555" s="10">
        <f t="shared" si="72"/>
        <v>1.3865601319145193</v>
      </c>
      <c r="J555" s="4">
        <f t="shared" si="73"/>
        <v>1952.4158519040288</v>
      </c>
      <c r="K555" s="4">
        <f t="shared" si="67"/>
        <v>438.92267701632773</v>
      </c>
      <c r="L555" s="45">
        <f>Pressure!Q555</f>
        <v>1.240139253550564</v>
      </c>
      <c r="M555" s="10">
        <f t="shared" si="68"/>
        <v>4.3848534461386137</v>
      </c>
      <c r="N555" s="10">
        <f t="shared" si="74"/>
        <v>2.9545467240956045</v>
      </c>
    </row>
    <row r="556" spans="3:14">
      <c r="C556" s="4">
        <f>Pressure!AB556*1000000</f>
        <v>6356910.1649812879</v>
      </c>
      <c r="D556" s="84">
        <f>Pressure!I556</f>
        <v>2.214727558899525E-4</v>
      </c>
      <c r="E556" s="40">
        <f>Pressure!H556</f>
        <v>221.47275588995251</v>
      </c>
      <c r="F556" s="10">
        <f t="shared" si="70"/>
        <v>8</v>
      </c>
      <c r="G556" s="4">
        <f t="shared" si="69"/>
        <v>128083.37184804988</v>
      </c>
      <c r="H556" s="45">
        <f t="shared" si="71"/>
        <v>9.6439623496781284</v>
      </c>
      <c r="I556" s="10">
        <f t="shared" si="72"/>
        <v>1.3865404563709232</v>
      </c>
      <c r="J556" s="4">
        <f t="shared" si="73"/>
        <v>1952.0859236917117</v>
      </c>
      <c r="K556" s="4">
        <f t="shared" si="67"/>
        <v>438.84850584319764</v>
      </c>
      <c r="L556" s="45">
        <f>Pressure!Q556</f>
        <v>1.2423848752430258</v>
      </c>
      <c r="M556" s="10">
        <f t="shared" si="68"/>
        <v>4.3840169427666771</v>
      </c>
      <c r="N556" s="10">
        <f t="shared" si="74"/>
        <v>2.9545467240956045</v>
      </c>
    </row>
    <row r="557" spans="3:14">
      <c r="C557" s="4">
        <f>Pressure!AB557*1000000</f>
        <v>6355915.7311458215</v>
      </c>
      <c r="D557" s="84">
        <f>Pressure!I557</f>
        <v>2.214727558899525E-4</v>
      </c>
      <c r="E557" s="40">
        <f>Pressure!H557</f>
        <v>221.47275588995251</v>
      </c>
      <c r="F557" s="10">
        <f t="shared" si="70"/>
        <v>8</v>
      </c>
      <c r="G557" s="4">
        <f t="shared" si="69"/>
        <v>128063.33531529723</v>
      </c>
      <c r="H557" s="45">
        <f t="shared" si="71"/>
        <v>9.6427701505751422</v>
      </c>
      <c r="I557" s="10">
        <f t="shared" si="72"/>
        <v>1.386520569655969</v>
      </c>
      <c r="J557" s="4">
        <f t="shared" si="73"/>
        <v>1951.7525582423116</v>
      </c>
      <c r="K557" s="4">
        <f t="shared" si="67"/>
        <v>438.77356194467689</v>
      </c>
      <c r="L557" s="45">
        <f>Pressure!Q557</f>
        <v>1.2446304454503658</v>
      </c>
      <c r="M557" s="10">
        <f t="shared" si="68"/>
        <v>4.3831716946493531</v>
      </c>
      <c r="N557" s="10">
        <f t="shared" si="74"/>
        <v>2.9545467240956045</v>
      </c>
    </row>
    <row r="558" spans="3:14">
      <c r="C558" s="4">
        <f>Pressure!AB558*1000000</f>
        <v>6354911.0431634514</v>
      </c>
      <c r="D558" s="84">
        <f>Pressure!I558</f>
        <v>2.214727558899525E-4</v>
      </c>
      <c r="E558" s="40">
        <f>Pressure!H558</f>
        <v>221.47275588995251</v>
      </c>
      <c r="F558" s="10">
        <f t="shared" si="70"/>
        <v>8</v>
      </c>
      <c r="G558" s="4">
        <f t="shared" si="69"/>
        <v>128043.09217498259</v>
      </c>
      <c r="H558" s="45">
        <f t="shared" si="71"/>
        <v>9.6415656251786892</v>
      </c>
      <c r="I558" s="10">
        <f t="shared" si="72"/>
        <v>1.3865004715578533</v>
      </c>
      <c r="J558" s="4">
        <f t="shared" si="73"/>
        <v>1951.4157552808631</v>
      </c>
      <c r="K558" s="4">
        <f t="shared" si="67"/>
        <v>438.69784525895039</v>
      </c>
      <c r="L558" s="45">
        <f>Pressure!Q558</f>
        <v>1.2468759636293076</v>
      </c>
      <c r="M558" s="10">
        <f t="shared" si="68"/>
        <v>4.3823177017429629</v>
      </c>
      <c r="N558" s="10">
        <f t="shared" si="74"/>
        <v>2.9545467240956045</v>
      </c>
    </row>
    <row r="559" spans="3:14">
      <c r="C559" s="4">
        <f>Pressure!AB559*1000000</f>
        <v>6353896.1002047919</v>
      </c>
      <c r="D559" s="84">
        <f>Pressure!I559</f>
        <v>2.214727558899525E-4</v>
      </c>
      <c r="E559" s="40">
        <f>Pressure!H559</f>
        <v>221.47275588995251</v>
      </c>
      <c r="F559" s="10">
        <f t="shared" si="70"/>
        <v>8</v>
      </c>
      <c r="G559" s="4">
        <f t="shared" si="69"/>
        <v>128022.64241039497</v>
      </c>
      <c r="H559" s="45">
        <f t="shared" si="71"/>
        <v>9.6403487714759049</v>
      </c>
      <c r="I559" s="10">
        <f t="shared" si="72"/>
        <v>1.386480161862399</v>
      </c>
      <c r="J559" s="4">
        <f t="shared" si="73"/>
        <v>1951.0755145293299</v>
      </c>
      <c r="K559" s="4">
        <f t="shared" si="67"/>
        <v>438.62135572351286</v>
      </c>
      <c r="L559" s="45">
        <f>Pressure!Q559</f>
        <v>1.2491214292363155</v>
      </c>
      <c r="M559" s="10">
        <f t="shared" si="68"/>
        <v>4.3814549640036695</v>
      </c>
      <c r="N559" s="10">
        <f t="shared" si="74"/>
        <v>2.9545467240956045</v>
      </c>
    </row>
    <row r="560" spans="3:14">
      <c r="C560" s="4">
        <f>Pressure!AB560*1000000</f>
        <v>6352870.9014313156</v>
      </c>
      <c r="D560" s="84">
        <f>Pressure!I560</f>
        <v>2.214727558899525E-4</v>
      </c>
      <c r="E560" s="40">
        <f>Pressure!H560</f>
        <v>221.47275588995251</v>
      </c>
      <c r="F560" s="10">
        <f t="shared" si="70"/>
        <v>8</v>
      </c>
      <c r="G560" s="4">
        <f t="shared" si="69"/>
        <v>128001.98600463913</v>
      </c>
      <c r="H560" s="45">
        <f t="shared" si="71"/>
        <v>9.6391195874320967</v>
      </c>
      <c r="I560" s="10">
        <f t="shared" si="72"/>
        <v>1.38645964035305</v>
      </c>
      <c r="J560" s="4">
        <f t="shared" si="73"/>
        <v>1950.7318357066115</v>
      </c>
      <c r="K560" s="4">
        <f t="shared" si="67"/>
        <v>438.5440932751701</v>
      </c>
      <c r="L560" s="45">
        <f>Pressure!Q560</f>
        <v>1.2513668417275914</v>
      </c>
      <c r="M560" s="10">
        <f t="shared" si="68"/>
        <v>4.3805834813858642</v>
      </c>
      <c r="N560" s="10">
        <f t="shared" si="74"/>
        <v>2.9545467240956045</v>
      </c>
    </row>
    <row r="561" spans="3:14">
      <c r="C561" s="4">
        <f>Pressure!AB561*1000000</f>
        <v>6351835.4459954109</v>
      </c>
      <c r="D561" s="84">
        <f>Pressure!I561</f>
        <v>2.214727558899525E-4</v>
      </c>
      <c r="E561" s="40">
        <f>Pressure!H561</f>
        <v>221.47275588995251</v>
      </c>
      <c r="F561" s="10">
        <f t="shared" si="70"/>
        <v>8</v>
      </c>
      <c r="G561" s="4">
        <f t="shared" si="69"/>
        <v>127981.12294063679</v>
      </c>
      <c r="H561" s="45">
        <f t="shared" si="71"/>
        <v>9.6378780709908458</v>
      </c>
      <c r="I561" s="10">
        <f t="shared" si="72"/>
        <v>1.3864389068108662</v>
      </c>
      <c r="J561" s="4">
        <f t="shared" si="73"/>
        <v>1950.3847185285613</v>
      </c>
      <c r="K561" s="4">
        <f t="shared" si="67"/>
        <v>438.466057850043</v>
      </c>
      <c r="L561" s="45">
        <f>Pressure!Q561</f>
        <v>1.253612200559072</v>
      </c>
      <c r="M561" s="10">
        <f t="shared" si="68"/>
        <v>4.3797032538435205</v>
      </c>
      <c r="N561" s="10">
        <f t="shared" si="74"/>
        <v>2.9545467240956045</v>
      </c>
    </row>
    <row r="562" spans="3:14">
      <c r="C562" s="4">
        <f>Pressure!AB562*1000000</f>
        <v>6350789.7330401288</v>
      </c>
      <c r="D562" s="84">
        <f>Pressure!I562</f>
        <v>2.214727558899525E-4</v>
      </c>
      <c r="E562" s="40">
        <f>Pressure!H562</f>
        <v>221.47275588995251</v>
      </c>
      <c r="F562" s="10">
        <f t="shared" si="70"/>
        <v>8</v>
      </c>
      <c r="G562" s="4">
        <f t="shared" si="69"/>
        <v>127960.05320112158</v>
      </c>
      <c r="H562" s="45">
        <f t="shared" si="71"/>
        <v>9.6366242200736725</v>
      </c>
      <c r="I562" s="10">
        <f t="shared" si="72"/>
        <v>1.3864179610145131</v>
      </c>
      <c r="J562" s="4">
        <f t="shared" si="73"/>
        <v>1950.034162707904</v>
      </c>
      <c r="K562" s="4">
        <f t="shared" si="67"/>
        <v>438.38724938354932</v>
      </c>
      <c r="L562" s="45">
        <f>Pressure!Q562</f>
        <v>1.255857505186426</v>
      </c>
      <c r="M562" s="10">
        <f t="shared" si="68"/>
        <v>4.3788142813296931</v>
      </c>
      <c r="N562" s="10">
        <f t="shared" si="74"/>
        <v>2.9545467240956045</v>
      </c>
    </row>
    <row r="563" spans="3:14">
      <c r="C563" s="4">
        <f>Pressure!AB563*1000000</f>
        <v>6349733.7616995182</v>
      </c>
      <c r="D563" s="84">
        <f>Pressure!I563</f>
        <v>2.214727558899525E-4</v>
      </c>
      <c r="E563" s="40">
        <f>Pressure!H563</f>
        <v>221.47275588995251</v>
      </c>
      <c r="F563" s="10">
        <f t="shared" si="70"/>
        <v>8</v>
      </c>
      <c r="G563" s="4">
        <f t="shared" si="69"/>
        <v>127938.77676864574</v>
      </c>
      <c r="H563" s="45">
        <f t="shared" si="71"/>
        <v>9.63535803258039</v>
      </c>
      <c r="I563" s="10">
        <f t="shared" si="72"/>
        <v>1.3863968027402616</v>
      </c>
      <c r="J563" s="4">
        <f t="shared" si="73"/>
        <v>1949.6801679543453</v>
      </c>
      <c r="K563" s="4">
        <f t="shared" si="67"/>
        <v>438.30766781042786</v>
      </c>
      <c r="L563" s="45">
        <f>Pressure!Q563</f>
        <v>1.2581027550650516</v>
      </c>
      <c r="M563" s="10">
        <f t="shared" si="68"/>
        <v>4.3779165637970054</v>
      </c>
      <c r="N563" s="10">
        <f t="shared" si="74"/>
        <v>2.9545467240956045</v>
      </c>
    </row>
    <row r="564" spans="3:14">
      <c r="C564" s="4">
        <f>Pressure!AB564*1000000</f>
        <v>6348667.5310981004</v>
      </c>
      <c r="D564" s="84">
        <f>Pressure!I564</f>
        <v>2.214727558899525E-4</v>
      </c>
      <c r="E564" s="40">
        <f>Pressure!H564</f>
        <v>221.47275588995251</v>
      </c>
      <c r="F564" s="10">
        <f t="shared" si="70"/>
        <v>8</v>
      </c>
      <c r="G564" s="4">
        <f t="shared" si="69"/>
        <v>127917.29362556948</v>
      </c>
      <c r="H564" s="45">
        <f t="shared" si="71"/>
        <v>9.6340795063885309</v>
      </c>
      <c r="I564" s="10">
        <f t="shared" si="72"/>
        <v>1.3863754317619725</v>
      </c>
      <c r="J564" s="4">
        <f t="shared" si="73"/>
        <v>1949.3227339743969</v>
      </c>
      <c r="K564" s="4">
        <f t="shared" si="67"/>
        <v>438.22731306469962</v>
      </c>
      <c r="L564" s="45">
        <f>Pressure!Q564</f>
        <v>1.2603479496500734</v>
      </c>
      <c r="M564" s="10">
        <f t="shared" si="68"/>
        <v>4.3770101011971603</v>
      </c>
      <c r="N564" s="10">
        <f t="shared" si="74"/>
        <v>2.9545467240956045</v>
      </c>
    </row>
    <row r="565" spans="3:14">
      <c r="C565" s="4">
        <f>Pressure!AB565*1000000</f>
        <v>6347591.0403515995</v>
      </c>
      <c r="D565" s="84">
        <f>Pressure!I565</f>
        <v>2.214727558899525E-4</v>
      </c>
      <c r="E565" s="40">
        <f>Pressure!H565</f>
        <v>221.47275588995251</v>
      </c>
      <c r="F565" s="10">
        <f t="shared" si="70"/>
        <v>8</v>
      </c>
      <c r="G565" s="4">
        <f t="shared" si="69"/>
        <v>127895.60375407584</v>
      </c>
      <c r="H565" s="45">
        <f t="shared" si="71"/>
        <v>9.6327886393541071</v>
      </c>
      <c r="I565" s="10">
        <f t="shared" si="72"/>
        <v>1.3863538478511042</v>
      </c>
      <c r="J565" s="4">
        <f t="shared" si="73"/>
        <v>1948.961860471622</v>
      </c>
      <c r="K565" s="4">
        <f t="shared" si="67"/>
        <v>438.14618507972261</v>
      </c>
      <c r="L565" s="45">
        <f>Pressure!Q565</f>
        <v>1.2625930883963388</v>
      </c>
      <c r="M565" s="10">
        <f t="shared" si="68"/>
        <v>4.3760948934801647</v>
      </c>
      <c r="N565" s="10">
        <f t="shared" si="74"/>
        <v>2.9545467240956045</v>
      </c>
    </row>
    <row r="566" spans="3:14">
      <c r="C566" s="4">
        <f>Pressure!AB566*1000000</f>
        <v>6346504.2885662392</v>
      </c>
      <c r="D566" s="84">
        <f>Pressure!I566</f>
        <v>2.214727558899525E-4</v>
      </c>
      <c r="E566" s="40">
        <f>Pressure!H566</f>
        <v>221.47275588995251</v>
      </c>
      <c r="F566" s="10">
        <f t="shared" si="70"/>
        <v>8</v>
      </c>
      <c r="G566" s="4">
        <f t="shared" si="69"/>
        <v>127873.7071361564</v>
      </c>
      <c r="H566" s="45">
        <f t="shared" si="71"/>
        <v>9.6314854293108514</v>
      </c>
      <c r="I566" s="10">
        <f t="shared" si="72"/>
        <v>1.3863320507766932</v>
      </c>
      <c r="J566" s="4">
        <f t="shared" si="73"/>
        <v>1948.5975471463992</v>
      </c>
      <c r="K566" s="4">
        <f t="shared" si="67"/>
        <v>438.06428378813882</v>
      </c>
      <c r="L566" s="45">
        <f>Pressure!Q566</f>
        <v>1.2648381707584164</v>
      </c>
      <c r="M566" s="10">
        <f t="shared" si="68"/>
        <v>4.3751709405965267</v>
      </c>
      <c r="N566" s="10">
        <f t="shared" si="74"/>
        <v>2.9545467240956045</v>
      </c>
    </row>
    <row r="567" spans="3:14">
      <c r="C567" s="4">
        <f>Pressure!AB567*1000000</f>
        <v>6345407.2748390278</v>
      </c>
      <c r="D567" s="84">
        <f>Pressure!I567</f>
        <v>2.214727558899525E-4</v>
      </c>
      <c r="E567" s="40">
        <f>Pressure!H567</f>
        <v>221.47275588995251</v>
      </c>
      <c r="F567" s="10">
        <f t="shared" si="70"/>
        <v>8</v>
      </c>
      <c r="G567" s="4">
        <f t="shared" si="69"/>
        <v>127851.60375361705</v>
      </c>
      <c r="H567" s="45">
        <f t="shared" si="71"/>
        <v>9.6301698740704893</v>
      </c>
      <c r="I567" s="10">
        <f t="shared" si="72"/>
        <v>1.3863100403053525</v>
      </c>
      <c r="J567" s="4">
        <f t="shared" si="73"/>
        <v>1948.2297936960163</v>
      </c>
      <c r="K567" s="4">
        <f t="shared" si="67"/>
        <v>437.98160912189564</v>
      </c>
      <c r="L567" s="45">
        <f>Pressure!Q567</f>
        <v>1.2670831961905924</v>
      </c>
      <c r="M567" s="10">
        <f t="shared" si="68"/>
        <v>4.3742382424949469</v>
      </c>
      <c r="N567" s="10">
        <f t="shared" si="74"/>
        <v>2.9545467240956045</v>
      </c>
    </row>
    <row r="568" spans="3:14">
      <c r="C568" s="4">
        <f>Pressure!AB568*1000000</f>
        <v>6344299.998257841</v>
      </c>
      <c r="D568" s="84">
        <f>Pressure!I568</f>
        <v>2.214727558899525E-4</v>
      </c>
      <c r="E568" s="40">
        <f>Pressure!H568</f>
        <v>221.47275588995251</v>
      </c>
      <c r="F568" s="10">
        <f t="shared" si="70"/>
        <v>8</v>
      </c>
      <c r="G568" s="4">
        <f t="shared" si="69"/>
        <v>127829.2935880797</v>
      </c>
      <c r="H568" s="45">
        <f t="shared" si="71"/>
        <v>9.6288419714228137</v>
      </c>
      <c r="I568" s="10">
        <f t="shared" si="72"/>
        <v>1.3862878162012684</v>
      </c>
      <c r="J568" s="4">
        <f t="shared" si="73"/>
        <v>1947.8585998147009</v>
      </c>
      <c r="K568" s="4">
        <f t="shared" si="67"/>
        <v>437.89816101225239</v>
      </c>
      <c r="L568" s="45">
        <f>Pressure!Q568</f>
        <v>1.2693281641468677</v>
      </c>
      <c r="M568" s="10">
        <f t="shared" si="68"/>
        <v>4.3732967991237732</v>
      </c>
      <c r="N568" s="10">
        <f t="shared" si="74"/>
        <v>2.9545467240956045</v>
      </c>
    </row>
    <row r="569" spans="3:14">
      <c r="C569" s="4">
        <f>Pressure!AB569*1000000</f>
        <v>6343182.4579014303</v>
      </c>
      <c r="D569" s="84">
        <f>Pressure!I569</f>
        <v>2.214727558899525E-4</v>
      </c>
      <c r="E569" s="40">
        <f>Pressure!H569</f>
        <v>221.47275588995251</v>
      </c>
      <c r="F569" s="10">
        <f t="shared" si="70"/>
        <v>8</v>
      </c>
      <c r="G569" s="4">
        <f t="shared" si="69"/>
        <v>127806.7766209824</v>
      </c>
      <c r="H569" s="45">
        <f t="shared" si="71"/>
        <v>9.6275017191357222</v>
      </c>
      <c r="I569" s="10">
        <f t="shared" si="72"/>
        <v>1.3862653782261931</v>
      </c>
      <c r="J569" s="4">
        <f t="shared" si="73"/>
        <v>1947.4839651936225</v>
      </c>
      <c r="K569" s="4">
        <f t="shared" si="67"/>
        <v>437.81393938978067</v>
      </c>
      <c r="L569" s="45">
        <f>Pressure!Q569</f>
        <v>1.271573074080955</v>
      </c>
      <c r="M569" s="10">
        <f t="shared" si="68"/>
        <v>4.3723466104301929</v>
      </c>
      <c r="N569" s="10">
        <f t="shared" si="74"/>
        <v>2.9545467240956045</v>
      </c>
    </row>
    <row r="570" spans="3:14">
      <c r="C570" s="4">
        <f>Pressure!AB570*1000000</f>
        <v>6342054.6528388774</v>
      </c>
      <c r="D570" s="84">
        <f>Pressure!I570</f>
        <v>2.214727558899525E-4</v>
      </c>
      <c r="E570" s="40">
        <f>Pressure!H570</f>
        <v>221.47275588995251</v>
      </c>
      <c r="F570" s="10">
        <f t="shared" si="70"/>
        <v>8</v>
      </c>
      <c r="G570" s="4">
        <f t="shared" si="69"/>
        <v>127784.05283356838</v>
      </c>
      <c r="H570" s="45">
        <f t="shared" si="71"/>
        <v>9.626149114954508</v>
      </c>
      <c r="I570" s="10">
        <f t="shared" si="72"/>
        <v>1.3862427261394275</v>
      </c>
      <c r="J570" s="4">
        <f t="shared" si="73"/>
        <v>1947.1058895207073</v>
      </c>
      <c r="K570" s="4">
        <f t="shared" si="67"/>
        <v>437.72894418432338</v>
      </c>
      <c r="L570" s="45">
        <f>Pressure!Q570</f>
        <v>1.2738179254462767</v>
      </c>
      <c r="M570" s="10">
        <f t="shared" si="68"/>
        <v>4.3713876763617705</v>
      </c>
      <c r="N570" s="10">
        <f t="shared" si="74"/>
        <v>2.9545467240956045</v>
      </c>
    </row>
    <row r="571" spans="3:14">
      <c r="C571" s="4">
        <f>Pressure!AB571*1000000</f>
        <v>6340916.5821303222</v>
      </c>
      <c r="D571" s="84">
        <f>Pressure!I571</f>
        <v>2.214727558899525E-4</v>
      </c>
      <c r="E571" s="40">
        <f>Pressure!H571</f>
        <v>221.47275588995251</v>
      </c>
      <c r="F571" s="10">
        <f t="shared" si="70"/>
        <v>8</v>
      </c>
      <c r="G571" s="4">
        <f t="shared" si="69"/>
        <v>127761.12220690069</v>
      </c>
      <c r="H571" s="45">
        <f t="shared" si="71"/>
        <v>9.6247841566027343</v>
      </c>
      <c r="I571" s="10">
        <f t="shared" si="72"/>
        <v>1.3862198596978297</v>
      </c>
      <c r="J571" s="4">
        <f t="shared" si="73"/>
        <v>1946.7243724808843</v>
      </c>
      <c r="K571" s="4">
        <f t="shared" si="67"/>
        <v>437.6431753250493</v>
      </c>
      <c r="L571" s="45">
        <f>Pressure!Q571</f>
        <v>1.2760627176959607</v>
      </c>
      <c r="M571" s="10">
        <f t="shared" si="68"/>
        <v>4.3704199968630784</v>
      </c>
      <c r="N571" s="10">
        <f t="shared" si="74"/>
        <v>2.9545467240956045</v>
      </c>
    </row>
    <row r="572" spans="3:14">
      <c r="C572" s="4">
        <f>Pressure!AB572*1000000</f>
        <v>6339768.2448266773</v>
      </c>
      <c r="D572" s="84">
        <f>Pressure!I572</f>
        <v>2.214727558899525E-4</v>
      </c>
      <c r="E572" s="40">
        <f>Pressure!H572</f>
        <v>221.47275588995251</v>
      </c>
      <c r="F572" s="10">
        <f t="shared" si="70"/>
        <v>8</v>
      </c>
      <c r="G572" s="4">
        <f t="shared" si="69"/>
        <v>127737.98472185647</v>
      </c>
      <c r="H572" s="45">
        <f t="shared" si="71"/>
        <v>9.6234068417818737</v>
      </c>
      <c r="I572" s="10">
        <f t="shared" si="72"/>
        <v>1.3861967786558023</v>
      </c>
      <c r="J572" s="4">
        <f t="shared" si="73"/>
        <v>1946.3394137559899</v>
      </c>
      <c r="K572" s="4">
        <f t="shared" si="67"/>
        <v>437.55663274043206</v>
      </c>
      <c r="L572" s="45">
        <f>Pressure!Q572</f>
        <v>1.2783074502828384</v>
      </c>
      <c r="M572" s="10">
        <f t="shared" si="68"/>
        <v>4.3694435718797742</v>
      </c>
      <c r="N572" s="10">
        <f t="shared" si="74"/>
        <v>2.9545467240956045</v>
      </c>
    </row>
    <row r="573" spans="3:14">
      <c r="C573" s="4">
        <f>Pressure!AB573*1000000</f>
        <v>6338609.639969334</v>
      </c>
      <c r="D573" s="84">
        <f>Pressure!I573</f>
        <v>2.214727558899525E-4</v>
      </c>
      <c r="E573" s="40">
        <f>Pressure!H573</f>
        <v>221.47275588995251</v>
      </c>
      <c r="F573" s="10">
        <f t="shared" si="70"/>
        <v>8</v>
      </c>
      <c r="G573" s="4">
        <f t="shared" si="69"/>
        <v>127714.640359121</v>
      </c>
      <c r="H573" s="45">
        <f t="shared" si="71"/>
        <v>9.6220171681709292</v>
      </c>
      <c r="I573" s="10">
        <f t="shared" si="72"/>
        <v>1.3861734827652803</v>
      </c>
      <c r="J573" s="4">
        <f t="shared" si="73"/>
        <v>1945.951013024669</v>
      </c>
      <c r="K573" s="4">
        <f t="shared" si="67"/>
        <v>437.46931635822784</v>
      </c>
      <c r="L573" s="45">
        <f>Pressure!Q573</f>
        <v>1.2805521226594418</v>
      </c>
      <c r="M573" s="10">
        <f t="shared" si="68"/>
        <v>4.3684584013562375</v>
      </c>
      <c r="N573" s="10">
        <f t="shared" si="74"/>
        <v>2.9545467240956045</v>
      </c>
    </row>
    <row r="574" spans="3:14">
      <c r="C574" s="4">
        <f>Pressure!AB574*1000000</f>
        <v>6337440.7665905925</v>
      </c>
      <c r="D574" s="84">
        <f>Pressure!I574</f>
        <v>2.214727558899525E-4</v>
      </c>
      <c r="E574" s="40">
        <f>Pressure!H574</f>
        <v>221.47275588995251</v>
      </c>
      <c r="F574" s="10">
        <f t="shared" si="70"/>
        <v>8</v>
      </c>
      <c r="G574" s="4">
        <f t="shared" si="69"/>
        <v>127691.08909919643</v>
      </c>
      <c r="H574" s="45">
        <f t="shared" si="71"/>
        <v>9.620615133426945</v>
      </c>
      <c r="I574" s="10">
        <f t="shared" si="72"/>
        <v>1.3861499717757324</v>
      </c>
      <c r="J574" s="4">
        <f t="shared" si="73"/>
        <v>1945.5591699625174</v>
      </c>
      <c r="K574" s="4">
        <f t="shared" si="67"/>
        <v>437.38122610550727</v>
      </c>
      <c r="L574" s="45">
        <f>Pressure!Q574</f>
        <v>1.282796734278</v>
      </c>
      <c r="M574" s="10">
        <f t="shared" si="68"/>
        <v>4.3674644852352085</v>
      </c>
      <c r="N574" s="10">
        <f t="shared" si="74"/>
        <v>2.9545467240956045</v>
      </c>
    </row>
    <row r="575" spans="3:14">
      <c r="C575" s="4">
        <f>Pressure!AB575*1000000</f>
        <v>6336261.6237134011</v>
      </c>
      <c r="D575" s="84">
        <f>Pressure!I575</f>
        <v>2.214727558899525E-4</v>
      </c>
      <c r="E575" s="40">
        <f>Pressure!H575</f>
        <v>221.47275588995251</v>
      </c>
      <c r="F575" s="10">
        <f t="shared" si="70"/>
        <v>8</v>
      </c>
      <c r="G575" s="4">
        <f t="shared" si="69"/>
        <v>127667.33092239645</v>
      </c>
      <c r="H575" s="45">
        <f t="shared" si="71"/>
        <v>9.6192007351846733</v>
      </c>
      <c r="I575" s="10">
        <f t="shared" si="72"/>
        <v>1.386126245434149</v>
      </c>
      <c r="J575" s="4">
        <f t="shared" si="73"/>
        <v>1945.1638842419973</v>
      </c>
      <c r="K575" s="4">
        <f t="shared" si="67"/>
        <v>437.29236190863662</v>
      </c>
      <c r="L575" s="45">
        <f>Pressure!Q575</f>
        <v>1.2850412845904366</v>
      </c>
      <c r="M575" s="10">
        <f t="shared" si="68"/>
        <v>4.3664618234595984</v>
      </c>
      <c r="N575" s="10">
        <f t="shared" si="74"/>
        <v>2.9545467240956045</v>
      </c>
    </row>
    <row r="576" spans="3:14">
      <c r="C576" s="4">
        <f>Pressure!AB576*1000000</f>
        <v>6335072.2103512436</v>
      </c>
      <c r="D576" s="84">
        <f>Pressure!I576</f>
        <v>2.214727558899525E-4</v>
      </c>
      <c r="E576" s="40">
        <f>Pressure!H576</f>
        <v>221.47275588995251</v>
      </c>
      <c r="F576" s="10">
        <f t="shared" si="70"/>
        <v>8</v>
      </c>
      <c r="G576" s="4">
        <f t="shared" si="69"/>
        <v>127643.36580884403</v>
      </c>
      <c r="H576" s="45">
        <f t="shared" si="71"/>
        <v>9.6177739710564172</v>
      </c>
      <c r="I576" s="10">
        <f t="shared" si="72"/>
        <v>1.3861023034850337</v>
      </c>
      <c r="J576" s="4">
        <f t="shared" si="73"/>
        <v>1944.7651555323969</v>
      </c>
      <c r="K576" s="4">
        <f t="shared" si="67"/>
        <v>437.20272369326847</v>
      </c>
      <c r="L576" s="45">
        <f>Pressure!Q576</f>
        <v>1.2872857730483673</v>
      </c>
      <c r="M576" s="10">
        <f t="shared" si="68"/>
        <v>4.3654504159715053</v>
      </c>
      <c r="N576" s="10">
        <f t="shared" si="74"/>
        <v>2.9545467240956045</v>
      </c>
    </row>
    <row r="577" spans="3:14">
      <c r="C577" s="4">
        <f>Pressure!AB577*1000000</f>
        <v>6333872.5255085966</v>
      </c>
      <c r="D577" s="84">
        <f>Pressure!I577</f>
        <v>2.214727558899525E-4</v>
      </c>
      <c r="E577" s="40">
        <f>Pressure!H577</f>
        <v>221.47275588995251</v>
      </c>
      <c r="F577" s="10">
        <f t="shared" si="70"/>
        <v>8</v>
      </c>
      <c r="G577" s="4">
        <f t="shared" si="69"/>
        <v>127619.19373848071</v>
      </c>
      <c r="H577" s="45">
        <f t="shared" si="71"/>
        <v>9.616334838632568</v>
      </c>
      <c r="I577" s="10">
        <f t="shared" si="72"/>
        <v>1.386078145670405</v>
      </c>
      <c r="J577" s="4">
        <f t="shared" si="73"/>
        <v>1944.3629834999861</v>
      </c>
      <c r="K577" s="4">
        <f t="shared" si="67"/>
        <v>437.11231138437705</v>
      </c>
      <c r="L577" s="45">
        <f>Pressure!Q577</f>
        <v>1.2895301991030959</v>
      </c>
      <c r="M577" s="10">
        <f t="shared" si="68"/>
        <v>4.3644302627110632</v>
      </c>
      <c r="N577" s="10">
        <f t="shared" si="74"/>
        <v>2.9545467240956045</v>
      </c>
    </row>
    <row r="578" spans="3:14">
      <c r="C578" s="4">
        <f>Pressure!AB578*1000000</f>
        <v>6332662.5681803422</v>
      </c>
      <c r="D578" s="84">
        <f>Pressure!I578</f>
        <v>2.214727558899525E-4</v>
      </c>
      <c r="E578" s="40">
        <f>Pressure!H578</f>
        <v>221.47275588995251</v>
      </c>
      <c r="F578" s="10">
        <f t="shared" si="70"/>
        <v>8</v>
      </c>
      <c r="G578" s="4">
        <f t="shared" si="69"/>
        <v>127594.81469105468</v>
      </c>
      <c r="H578" s="45">
        <f t="shared" si="71"/>
        <v>9.6148833354808794</v>
      </c>
      <c r="I578" s="10">
        <f t="shared" si="72"/>
        <v>1.3860537717297772</v>
      </c>
      <c r="J578" s="4">
        <f t="shared" si="73"/>
        <v>1943.9573678078175</v>
      </c>
      <c r="K578" s="4">
        <f t="shared" si="67"/>
        <v>437.02112490621317</v>
      </c>
      <c r="L578" s="45">
        <f>Pressure!Q578</f>
        <v>1.2917745622056123</v>
      </c>
      <c r="M578" s="10">
        <f t="shared" si="68"/>
        <v>4.3634013636194418</v>
      </c>
      <c r="N578" s="10">
        <f t="shared" si="74"/>
        <v>2.9545467240956045</v>
      </c>
    </row>
    <row r="579" spans="3:14">
      <c r="C579" s="4">
        <f>Pressure!AB579*1000000</f>
        <v>6331442.3373522554</v>
      </c>
      <c r="D579" s="84">
        <f>Pressure!I579</f>
        <v>2.214727558899525E-4</v>
      </c>
      <c r="E579" s="40">
        <f>Pressure!H579</f>
        <v>221.47275588995251</v>
      </c>
      <c r="F579" s="10">
        <f t="shared" si="70"/>
        <v>8</v>
      </c>
      <c r="G579" s="4">
        <f t="shared" si="69"/>
        <v>127570.22864613064</v>
      </c>
      <c r="H579" s="45">
        <f t="shared" si="71"/>
        <v>9.6134194591470337</v>
      </c>
      <c r="I579" s="10">
        <f t="shared" si="72"/>
        <v>1.3860291814001635</v>
      </c>
      <c r="J579" s="4">
        <f t="shared" si="73"/>
        <v>1943.5483081158911</v>
      </c>
      <c r="K579" s="4">
        <f t="shared" si="67"/>
        <v>436.92916418234142</v>
      </c>
      <c r="L579" s="45">
        <f>Pressure!Q579</f>
        <v>1.2940188618065889</v>
      </c>
      <c r="M579" s="10">
        <f t="shared" si="68"/>
        <v>4.3623637186349367</v>
      </c>
      <c r="N579" s="10">
        <f t="shared" si="74"/>
        <v>2.9545467240956045</v>
      </c>
    </row>
    <row r="580" spans="3:14">
      <c r="C580" s="4">
        <f>Pressure!AB580*1000000</f>
        <v>6330211.8320003962</v>
      </c>
      <c r="D580" s="84">
        <f>Pressure!I580</f>
        <v>2.214727558899525E-4</v>
      </c>
      <c r="E580" s="40">
        <f>Pressure!H580</f>
        <v>221.47275588995251</v>
      </c>
      <c r="F580" s="10">
        <f t="shared" si="70"/>
        <v>8</v>
      </c>
      <c r="G580" s="4">
        <f t="shared" si="69"/>
        <v>127545.43558307756</v>
      </c>
      <c r="H580" s="45">
        <f t="shared" si="71"/>
        <v>9.6119432071538977</v>
      </c>
      <c r="I580" s="10">
        <f t="shared" si="72"/>
        <v>1.3860043744160568</v>
      </c>
      <c r="J580" s="4">
        <f t="shared" si="73"/>
        <v>1943.1358040809498</v>
      </c>
      <c r="K580" s="4">
        <f t="shared" si="67"/>
        <v>436.83642913559413</v>
      </c>
      <c r="L580" s="45">
        <f>Pressure!Q580</f>
        <v>1.2962630973563785</v>
      </c>
      <c r="M580" s="10">
        <f t="shared" si="68"/>
        <v>4.3613173276972637</v>
      </c>
      <c r="N580" s="10">
        <f t="shared" si="74"/>
        <v>2.9545467240956045</v>
      </c>
    </row>
    <row r="581" spans="3:14">
      <c r="C581" s="4">
        <f>Pressure!AB581*1000000</f>
        <v>6328971.0510919048</v>
      </c>
      <c r="D581" s="84">
        <f>Pressure!I581</f>
        <v>2.214727558899525E-4</v>
      </c>
      <c r="E581" s="40">
        <f>Pressure!H581</f>
        <v>221.47275588995251</v>
      </c>
      <c r="F581" s="10">
        <f t="shared" si="70"/>
        <v>8</v>
      </c>
      <c r="G581" s="4">
        <f t="shared" si="69"/>
        <v>127520.43548108466</v>
      </c>
      <c r="H581" s="45">
        <f t="shared" si="71"/>
        <v>9.6104545770024714</v>
      </c>
      <c r="I581" s="10">
        <f t="shared" si="72"/>
        <v>1.385979350509438</v>
      </c>
      <c r="J581" s="4">
        <f t="shared" si="73"/>
        <v>1942.7198553567466</v>
      </c>
      <c r="K581" s="4">
        <f t="shared" si="67"/>
        <v>436.74291968813151</v>
      </c>
      <c r="L581" s="45">
        <f>Pressure!Q581</f>
        <v>1.2985072683050101</v>
      </c>
      <c r="M581" s="10">
        <f t="shared" si="68"/>
        <v>4.3602621907428976</v>
      </c>
      <c r="N581" s="10">
        <f t="shared" si="74"/>
        <v>2.9545467240956045</v>
      </c>
    </row>
    <row r="582" spans="3:14">
      <c r="C582" s="4">
        <f>Pressure!AB582*1000000</f>
        <v>6327719.9935842557</v>
      </c>
      <c r="D582" s="84">
        <f>Pressure!I582</f>
        <v>2.214727558899525E-4</v>
      </c>
      <c r="E582" s="40">
        <f>Pressure!H582</f>
        <v>221.47275588995251</v>
      </c>
      <c r="F582" s="10">
        <f t="shared" si="70"/>
        <v>8</v>
      </c>
      <c r="G582" s="4">
        <f t="shared" si="69"/>
        <v>127495.22831914641</v>
      </c>
      <c r="H582" s="45">
        <f t="shared" si="71"/>
        <v>9.6089535661709178</v>
      </c>
      <c r="I582" s="10">
        <f t="shared" si="72"/>
        <v>1.3859541094097536</v>
      </c>
      <c r="J582" s="4">
        <f t="shared" si="73"/>
        <v>1942.3004615937948</v>
      </c>
      <c r="K582" s="4">
        <f t="shared" si="67"/>
        <v>436.64863576138549</v>
      </c>
      <c r="L582" s="45">
        <f>Pressure!Q582</f>
        <v>1.3007513741021872</v>
      </c>
      <c r="M582" s="10">
        <f t="shared" si="68"/>
        <v>4.3591983077098666</v>
      </c>
      <c r="N582" s="10">
        <f t="shared" si="74"/>
        <v>2.9545467240956045</v>
      </c>
    </row>
    <row r="583" spans="3:14">
      <c r="C583" s="4">
        <f>Pressure!AB583*1000000</f>
        <v>6326458.6584256915</v>
      </c>
      <c r="D583" s="84">
        <f>Pressure!I583</f>
        <v>2.214727558899525E-4</v>
      </c>
      <c r="E583" s="40">
        <f>Pressure!H583</f>
        <v>221.47275588995251</v>
      </c>
      <c r="F583" s="10">
        <f t="shared" si="70"/>
        <v>8</v>
      </c>
      <c r="G583" s="4">
        <f t="shared" si="69"/>
        <v>127469.81407607131</v>
      </c>
      <c r="H583" s="45">
        <f t="shared" si="71"/>
        <v>9.6074401721151546</v>
      </c>
      <c r="I583" s="10">
        <f t="shared" si="72"/>
        <v>1.3859286508439175</v>
      </c>
      <c r="J583" s="4">
        <f t="shared" si="73"/>
        <v>1941.8776224395115</v>
      </c>
      <c r="K583" s="4">
        <f t="shared" si="67"/>
        <v>436.5535772760918</v>
      </c>
      <c r="L583" s="45">
        <f>Pressure!Q583</f>
        <v>1.3029954141972842</v>
      </c>
      <c r="M583" s="10">
        <f t="shared" si="68"/>
        <v>4.3581256785337619</v>
      </c>
      <c r="N583" s="10">
        <f t="shared" si="74"/>
        <v>2.9545467240956045</v>
      </c>
    </row>
    <row r="584" spans="3:14">
      <c r="C584" s="4">
        <f>Pressure!AB584*1000000</f>
        <v>6325187.0445551034</v>
      </c>
      <c r="D584" s="84">
        <f>Pressure!I584</f>
        <v>2.214727558899525E-4</v>
      </c>
      <c r="E584" s="40">
        <f>Pressure!H584</f>
        <v>221.47275588995251</v>
      </c>
      <c r="F584" s="10">
        <f t="shared" si="70"/>
        <v>8</v>
      </c>
      <c r="G584" s="4">
        <f t="shared" si="69"/>
        <v>127444.19273047941</v>
      </c>
      <c r="H584" s="45">
        <f t="shared" si="71"/>
        <v>9.6059143922686197</v>
      </c>
      <c r="I584" s="10">
        <f t="shared" si="72"/>
        <v>1.3859029745363003</v>
      </c>
      <c r="J584" s="4">
        <f t="shared" si="73"/>
        <v>1941.45133753818</v>
      </c>
      <c r="K584" s="4">
        <f t="shared" si="67"/>
        <v>436.45774415228186</v>
      </c>
      <c r="L584" s="45">
        <f>Pressure!Q584</f>
        <v>1.3052393880393431</v>
      </c>
      <c r="M584" s="10">
        <f t="shared" si="68"/>
        <v>4.3570443031500377</v>
      </c>
      <c r="N584" s="10">
        <f t="shared" si="74"/>
        <v>2.9545467240956045</v>
      </c>
    </row>
    <row r="585" spans="3:14">
      <c r="C585" s="4">
        <f>Pressure!AB585*1000000</f>
        <v>6323905.1509017581</v>
      </c>
      <c r="D585" s="84">
        <f>Pressure!I585</f>
        <v>2.214727558899525E-4</v>
      </c>
      <c r="E585" s="40">
        <f>Pressure!H585</f>
        <v>221.47275588995251</v>
      </c>
      <c r="F585" s="10">
        <f t="shared" si="70"/>
        <v>8</v>
      </c>
      <c r="G585" s="4">
        <f t="shared" si="69"/>
        <v>127418.36426079684</v>
      </c>
      <c r="H585" s="45">
        <f t="shared" si="71"/>
        <v>9.6043762240419497</v>
      </c>
      <c r="I585" s="10">
        <f t="shared" si="72"/>
        <v>1.3858770802087175</v>
      </c>
      <c r="J585" s="4">
        <f t="shared" si="73"/>
        <v>1941.0216065308575</v>
      </c>
      <c r="K585" s="4">
        <f t="shared" si="67"/>
        <v>436.36113630926161</v>
      </c>
      <c r="L585" s="45">
        <f>Pressure!Q585</f>
        <v>1.3074832950770716</v>
      </c>
      <c r="M585" s="10">
        <f t="shared" si="68"/>
        <v>4.3559541814934555</v>
      </c>
      <c r="N585" s="10">
        <f t="shared" si="74"/>
        <v>2.9545467240956045</v>
      </c>
    </row>
    <row r="586" spans="3:14">
      <c r="C586" s="4">
        <f>Pressure!AB586*1000000</f>
        <v>6322612.9763857489</v>
      </c>
      <c r="D586" s="84">
        <f>Pressure!I586</f>
        <v>2.214727558899525E-4</v>
      </c>
      <c r="E586" s="40">
        <f>Pressure!H586</f>
        <v>221.47275588995251</v>
      </c>
      <c r="F586" s="10">
        <f t="shared" si="70"/>
        <v>8</v>
      </c>
      <c r="G586" s="4">
        <f t="shared" si="69"/>
        <v>127392.32864526489</v>
      </c>
      <c r="H586" s="45">
        <f t="shared" si="71"/>
        <v>9.6028256648235217</v>
      </c>
      <c r="I586" s="10">
        <f t="shared" si="72"/>
        <v>1.3858509675804296</v>
      </c>
      <c r="J586" s="4">
        <f t="shared" si="73"/>
        <v>1940.5884290555246</v>
      </c>
      <c r="K586" s="4">
        <f t="shared" si="67"/>
        <v>436.26375366564554</v>
      </c>
      <c r="L586" s="45">
        <f>Pressure!Q586</f>
        <v>1.3097271347588391</v>
      </c>
      <c r="M586" s="10">
        <f t="shared" si="68"/>
        <v>4.354855313497735</v>
      </c>
      <c r="N586" s="10">
        <f t="shared" si="74"/>
        <v>2.9545467240956045</v>
      </c>
    </row>
    <row r="587" spans="3:14">
      <c r="C587" s="4">
        <f>Pressure!AB587*1000000</f>
        <v>6321310.5199177396</v>
      </c>
      <c r="D587" s="84">
        <f>Pressure!I587</f>
        <v>2.214727558899525E-4</v>
      </c>
      <c r="E587" s="40">
        <f>Pressure!H587</f>
        <v>221.47275588995251</v>
      </c>
      <c r="F587" s="10">
        <f t="shared" si="70"/>
        <v>8</v>
      </c>
      <c r="G587" s="4">
        <f t="shared" si="69"/>
        <v>127366.08586193487</v>
      </c>
      <c r="H587" s="45">
        <f t="shared" si="71"/>
        <v>9.6012627119790803</v>
      </c>
      <c r="I587" s="10">
        <f t="shared" si="72"/>
        <v>1.3858246363681297</v>
      </c>
      <c r="J587" s="4">
        <f t="shared" si="73"/>
        <v>1940.1518047470017</v>
      </c>
      <c r="K587" s="4">
        <f t="shared" si="67"/>
        <v>436.16559613933765</v>
      </c>
      <c r="L587" s="45">
        <f>Pressure!Q587</f>
        <v>1.3119709065326739</v>
      </c>
      <c r="M587" s="10">
        <f t="shared" si="68"/>
        <v>4.3537476990956536</v>
      </c>
      <c r="N587" s="10">
        <f t="shared" si="74"/>
        <v>2.9545467240956045</v>
      </c>
    </row>
    <row r="588" spans="3:14">
      <c r="C588" s="4">
        <f>Pressure!AB588*1000000</f>
        <v>6319997.7803988094</v>
      </c>
      <c r="D588" s="84">
        <f>Pressure!I588</f>
        <v>2.214727558899525E-4</v>
      </c>
      <c r="E588" s="40">
        <f>Pressure!H588</f>
        <v>221.47275588995251</v>
      </c>
      <c r="F588" s="10">
        <f t="shared" si="70"/>
        <v>8</v>
      </c>
      <c r="G588" s="4">
        <f t="shared" si="69"/>
        <v>127339.635888665</v>
      </c>
      <c r="H588" s="45">
        <f t="shared" si="71"/>
        <v>9.5996873628515758</v>
      </c>
      <c r="I588" s="10">
        <f t="shared" si="72"/>
        <v>1.3857980862859329</v>
      </c>
      <c r="J588" s="4">
        <f t="shared" si="73"/>
        <v>1939.7117332368962</v>
      </c>
      <c r="K588" s="4">
        <f t="shared" si="67"/>
        <v>436.06666364751948</v>
      </c>
      <c r="L588" s="45">
        <f>Pressure!Q588</f>
        <v>1.3142146098462606</v>
      </c>
      <c r="M588" s="10">
        <f t="shared" si="68"/>
        <v>4.3526313382193402</v>
      </c>
      <c r="N588" s="10">
        <f t="shared" si="74"/>
        <v>2.9545467240956045</v>
      </c>
    </row>
    <row r="589" spans="3:14">
      <c r="C589" s="4">
        <f>Pressure!AB589*1000000</f>
        <v>6318674.756720745</v>
      </c>
      <c r="D589" s="84">
        <f>Pressure!I589</f>
        <v>2.214727558899525E-4</v>
      </c>
      <c r="E589" s="40">
        <f>Pressure!H589</f>
        <v>221.47275588995251</v>
      </c>
      <c r="F589" s="10">
        <f t="shared" si="70"/>
        <v>8</v>
      </c>
      <c r="G589" s="4">
        <f t="shared" si="69"/>
        <v>127312.97870312621</v>
      </c>
      <c r="H589" s="45">
        <f t="shared" si="71"/>
        <v>9.5980996147614643</v>
      </c>
      <c r="I589" s="10">
        <f t="shared" si="72"/>
        <v>1.3857713170453743</v>
      </c>
      <c r="J589" s="4">
        <f t="shared" si="73"/>
        <v>1939.2682141537002</v>
      </c>
      <c r="K589" s="4">
        <f t="shared" si="67"/>
        <v>435.9669561066724</v>
      </c>
      <c r="L589" s="45">
        <f>Pressure!Q589</f>
        <v>1.316458244146937</v>
      </c>
      <c r="M589" s="10">
        <f t="shared" si="68"/>
        <v>4.3515062308007835</v>
      </c>
      <c r="N589" s="10">
        <f t="shared" si="74"/>
        <v>2.9545467240956045</v>
      </c>
    </row>
    <row r="590" spans="3:14">
      <c r="C590" s="4">
        <f>Pressure!AB590*1000000</f>
        <v>6317341.4477657955</v>
      </c>
      <c r="D590" s="84">
        <f>Pressure!I590</f>
        <v>2.214727558899525E-4</v>
      </c>
      <c r="E590" s="40">
        <f>Pressure!H590</f>
        <v>221.47275588995251</v>
      </c>
      <c r="F590" s="10">
        <f t="shared" si="70"/>
        <v>8</v>
      </c>
      <c r="G590" s="4">
        <f t="shared" si="69"/>
        <v>127286.11428279731</v>
      </c>
      <c r="H590" s="45">
        <f t="shared" si="71"/>
        <v>9.5964994650064384</v>
      </c>
      <c r="I590" s="10">
        <f t="shared" si="72"/>
        <v>1.3857443283553952</v>
      </c>
      <c r="J590" s="4">
        <f t="shared" si="73"/>
        <v>1938.8212471227084</v>
      </c>
      <c r="K590" s="4">
        <f t="shared" si="67"/>
        <v>435.86647343255891</v>
      </c>
      <c r="L590" s="45">
        <f>Pressure!Q590</f>
        <v>1.3187018088816909</v>
      </c>
      <c r="M590" s="10">
        <f t="shared" si="68"/>
        <v>4.3503723767701432</v>
      </c>
      <c r="N590" s="10">
        <f t="shared" si="74"/>
        <v>2.9545467240956045</v>
      </c>
    </row>
    <row r="591" spans="3:14">
      <c r="C591" s="4">
        <f>Pressure!AB591*1000000</f>
        <v>6315997.8524067681</v>
      </c>
      <c r="D591" s="84">
        <f>Pressure!I591</f>
        <v>2.214727558899525E-4</v>
      </c>
      <c r="E591" s="40">
        <f>Pressure!H591</f>
        <v>221.47275588995251</v>
      </c>
      <c r="F591" s="10">
        <f t="shared" si="70"/>
        <v>8</v>
      </c>
      <c r="G591" s="4">
        <f t="shared" si="69"/>
        <v>127259.04260496685</v>
      </c>
      <c r="H591" s="45">
        <f t="shared" si="71"/>
        <v>9.5948869108614492</v>
      </c>
      <c r="I591" s="10">
        <f t="shared" si="72"/>
        <v>1.3857171199223381</v>
      </c>
      <c r="J591" s="4">
        <f t="shared" si="73"/>
        <v>1938.3708317660503</v>
      </c>
      <c r="K591" s="4">
        <f t="shared" ref="K591:K654" si="75">J591/4.4482</f>
        <v>435.7652155402298</v>
      </c>
      <c r="L591" s="45">
        <f>Pressure!Q591</f>
        <v>1.320945303497157</v>
      </c>
      <c r="M591" s="10">
        <f t="shared" ref="M591:M654" si="76">(J591+J590)/2*(L591-L590)</f>
        <v>4.3492297760574399</v>
      </c>
      <c r="N591" s="10">
        <f t="shared" si="74"/>
        <v>2.9545467240956045</v>
      </c>
    </row>
    <row r="592" spans="3:14">
      <c r="C592" s="4">
        <f>Pressure!AB592*1000000</f>
        <v>6314643.9695070451</v>
      </c>
      <c r="D592" s="84">
        <f>Pressure!I592</f>
        <v>2.214727558899525E-4</v>
      </c>
      <c r="E592" s="40">
        <f>Pressure!H592</f>
        <v>221.47275588995251</v>
      </c>
      <c r="F592" s="10">
        <f t="shared" si="70"/>
        <v>8</v>
      </c>
      <c r="G592" s="4">
        <f t="shared" si="69"/>
        <v>127231.76364673345</v>
      </c>
      <c r="H592" s="45">
        <f t="shared" si="71"/>
        <v>9.593261949578773</v>
      </c>
      <c r="I592" s="10">
        <f t="shared" si="72"/>
        <v>1.3856896914499386</v>
      </c>
      <c r="J592" s="4">
        <f t="shared" si="73"/>
        <v>1937.9169677026966</v>
      </c>
      <c r="K592" s="4">
        <f t="shared" si="75"/>
        <v>435.66318234402604</v>
      </c>
      <c r="L592" s="45">
        <f>Pressure!Q592</f>
        <v>1.3231887274396144</v>
      </c>
      <c r="M592" s="10">
        <f t="shared" si="76"/>
        <v>4.348078428591764</v>
      </c>
      <c r="N592" s="10">
        <f t="shared" si="74"/>
        <v>2.9545467240956045</v>
      </c>
    </row>
    <row r="593" spans="3:14">
      <c r="C593" s="4">
        <f>Pressure!AB593*1000000</f>
        <v>6313279.7979204785</v>
      </c>
      <c r="D593" s="84">
        <f>Pressure!I593</f>
        <v>2.214727558899525E-4</v>
      </c>
      <c r="E593" s="40">
        <f>Pressure!H593</f>
        <v>221.47275588995251</v>
      </c>
      <c r="F593" s="10">
        <f t="shared" si="70"/>
        <v>8</v>
      </c>
      <c r="G593" s="4">
        <f t="shared" si="69"/>
        <v>127204.27738500376</v>
      </c>
      <c r="H593" s="45">
        <f t="shared" si="71"/>
        <v>9.5916245783878438</v>
      </c>
      <c r="I593" s="10">
        <f t="shared" si="72"/>
        <v>1.3856620426393143</v>
      </c>
      <c r="J593" s="4">
        <f t="shared" si="73"/>
        <v>1937.4596545484214</v>
      </c>
      <c r="K593" s="4">
        <f t="shared" si="75"/>
        <v>435.56037375756966</v>
      </c>
      <c r="L593" s="45">
        <f>Pressure!Q593</f>
        <v>1.3254320801549828</v>
      </c>
      <c r="M593" s="10">
        <f t="shared" si="76"/>
        <v>4.3469183343012539</v>
      </c>
      <c r="N593" s="10">
        <f t="shared" si="74"/>
        <v>2.9545467240956045</v>
      </c>
    </row>
    <row r="594" spans="3:14">
      <c r="C594" s="4">
        <f>Pressure!AB594*1000000</f>
        <v>6311905.3364915447</v>
      </c>
      <c r="D594" s="84">
        <f>Pressure!I594</f>
        <v>2.214727558899525E-4</v>
      </c>
      <c r="E594" s="40">
        <f>Pressure!H594</f>
        <v>221.47275588995251</v>
      </c>
      <c r="F594" s="10">
        <f t="shared" si="70"/>
        <v>8</v>
      </c>
      <c r="G594" s="4">
        <f t="shared" si="69"/>
        <v>127176.58379649551</v>
      </c>
      <c r="H594" s="45">
        <f t="shared" si="71"/>
        <v>9.5899747944954079</v>
      </c>
      <c r="I594" s="10">
        <f t="shared" si="72"/>
        <v>1.3856341731889608</v>
      </c>
      <c r="J594" s="4">
        <f t="shared" si="73"/>
        <v>1936.9988919158579</v>
      </c>
      <c r="K594" s="4">
        <f t="shared" si="75"/>
        <v>435.45678969377678</v>
      </c>
      <c r="L594" s="45">
        <f>Pressure!Q594</f>
        <v>1.3276753610888201</v>
      </c>
      <c r="M594" s="10">
        <f t="shared" si="76"/>
        <v>4.3457494931131473</v>
      </c>
      <c r="N594" s="10">
        <f t="shared" si="74"/>
        <v>2.9545467240956045</v>
      </c>
    </row>
    <row r="595" spans="3:14">
      <c r="C595" s="4">
        <f>Pressure!AB595*1000000</f>
        <v>6310520.5840550913</v>
      </c>
      <c r="D595" s="84">
        <f>Pressure!I595</f>
        <v>2.214727558899525E-4</v>
      </c>
      <c r="E595" s="40">
        <f>Pressure!H595</f>
        <v>221.47275588995251</v>
      </c>
      <c r="F595" s="10">
        <f t="shared" si="70"/>
        <v>8</v>
      </c>
      <c r="G595" s="4">
        <f t="shared" si="69"/>
        <v>127148.6828577324</v>
      </c>
      <c r="H595" s="45">
        <f t="shared" si="71"/>
        <v>9.5883125950852026</v>
      </c>
      <c r="I595" s="10">
        <f t="shared" si="72"/>
        <v>1.3856060827947374</v>
      </c>
      <c r="J595" s="4">
        <f t="shared" si="73"/>
        <v>1936.5346794144095</v>
      </c>
      <c r="K595" s="4">
        <f t="shared" si="75"/>
        <v>435.35243006483739</v>
      </c>
      <c r="L595" s="45">
        <f>Pressure!Q595</f>
        <v>1.3299185696863192</v>
      </c>
      <c r="M595" s="10">
        <f t="shared" si="76"/>
        <v>4.3445719049546216</v>
      </c>
      <c r="N595" s="10">
        <f t="shared" si="74"/>
        <v>2.9545467240956045</v>
      </c>
    </row>
    <row r="596" spans="3:14">
      <c r="C596" s="4">
        <f>Pressure!AB596*1000000</f>
        <v>6309125.5394364307</v>
      </c>
      <c r="D596" s="84">
        <f>Pressure!I596</f>
        <v>2.214727558899525E-4</v>
      </c>
      <c r="E596" s="40">
        <f>Pressure!H596</f>
        <v>221.47275588995251</v>
      </c>
      <c r="F596" s="10">
        <f t="shared" si="70"/>
        <v>8</v>
      </c>
      <c r="G596" s="4">
        <f t="shared" si="69"/>
        <v>127120.57454504602</v>
      </c>
      <c r="H596" s="45">
        <f t="shared" si="71"/>
        <v>9.5866379773180501</v>
      </c>
      <c r="I596" s="10">
        <f t="shared" si="72"/>
        <v>1.3855777711498611</v>
      </c>
      <c r="J596" s="4">
        <f t="shared" si="73"/>
        <v>1936.067016650285</v>
      </c>
      <c r="K596" s="4">
        <f t="shared" si="75"/>
        <v>435.24729478222315</v>
      </c>
      <c r="L596" s="45">
        <f>Pressure!Q596</f>
        <v>1.3321617053923047</v>
      </c>
      <c r="M596" s="10">
        <f t="shared" si="76"/>
        <v>4.3433855697514687</v>
      </c>
      <c r="N596" s="10">
        <f t="shared" si="74"/>
        <v>2.9545467240956045</v>
      </c>
    </row>
    <row r="597" spans="3:14">
      <c r="C597" s="4">
        <f>Pressure!AB597*1000000</f>
        <v>6307720.2014514823</v>
      </c>
      <c r="D597" s="84">
        <f>Pressure!I597</f>
        <v>2.214727558899525E-4</v>
      </c>
      <c r="E597" s="40">
        <f>Pressure!H597</f>
        <v>221.47275588995251</v>
      </c>
      <c r="F597" s="10">
        <f t="shared" si="70"/>
        <v>8</v>
      </c>
      <c r="G597" s="4">
        <f t="shared" si="69"/>
        <v>127092.25883457871</v>
      </c>
      <c r="H597" s="45">
        <f t="shared" si="71"/>
        <v>9.5849509383320193</v>
      </c>
      <c r="I597" s="10">
        <f t="shared" si="72"/>
        <v>1.3855492379449006</v>
      </c>
      <c r="J597" s="4">
        <f t="shared" si="73"/>
        <v>1935.5959032265432</v>
      </c>
      <c r="K597" s="4">
        <f t="shared" si="75"/>
        <v>435.14138375669779</v>
      </c>
      <c r="L597" s="45">
        <f>Pressure!Q597</f>
        <v>1.3344047676512303</v>
      </c>
      <c r="M597" s="10">
        <f t="shared" si="76"/>
        <v>4.3421904874286348</v>
      </c>
      <c r="N597" s="10">
        <f t="shared" si="74"/>
        <v>2.9545467240956045</v>
      </c>
    </row>
    <row r="598" spans="3:14">
      <c r="C598" s="4">
        <f>Pressure!AB598*1000000</f>
        <v>6306304.568906555</v>
      </c>
      <c r="D598" s="84">
        <f>Pressure!I598</f>
        <v>2.214727558899525E-4</v>
      </c>
      <c r="E598" s="40">
        <f>Pressure!H598</f>
        <v>221.47275588995251</v>
      </c>
      <c r="F598" s="10">
        <f t="shared" si="70"/>
        <v>8</v>
      </c>
      <c r="G598" s="4">
        <f t="shared" si="69"/>
        <v>127063.73570227915</v>
      </c>
      <c r="H598" s="45">
        <f t="shared" si="71"/>
        <v>9.5832514752421218</v>
      </c>
      <c r="I598" s="10">
        <f t="shared" si="72"/>
        <v>1.385520482867763</v>
      </c>
      <c r="J598" s="4">
        <f t="shared" si="73"/>
        <v>1935.1213387430205</v>
      </c>
      <c r="K598" s="4">
        <f t="shared" si="75"/>
        <v>435.03469689830052</v>
      </c>
      <c r="L598" s="45">
        <f>Pressure!Q598</f>
        <v>1.3366477559071754</v>
      </c>
      <c r="M598" s="10">
        <f t="shared" si="76"/>
        <v>4.3409866579110767</v>
      </c>
      <c r="N598" s="10">
        <f t="shared" si="74"/>
        <v>2.9545467240956045</v>
      </c>
    </row>
    <row r="599" spans="3:14">
      <c r="C599" s="4">
        <f>Pressure!AB599*1000000</f>
        <v>6304878.6405983865</v>
      </c>
      <c r="D599" s="84">
        <f>Pressure!I599</f>
        <v>2.214727558899525E-4</v>
      </c>
      <c r="E599" s="40">
        <f>Pressure!H599</f>
        <v>221.47275588995251</v>
      </c>
      <c r="F599" s="10">
        <f t="shared" si="70"/>
        <v>8</v>
      </c>
      <c r="G599" s="4">
        <f t="shared" si="69"/>
        <v>127035.00512390322</v>
      </c>
      <c r="H599" s="45">
        <f t="shared" si="71"/>
        <v>9.5815395851403533</v>
      </c>
      <c r="I599" s="10">
        <f t="shared" si="72"/>
        <v>1.3854915056036865</v>
      </c>
      <c r="J599" s="4">
        <f t="shared" si="73"/>
        <v>1934.6433227963466</v>
      </c>
      <c r="K599" s="4">
        <f t="shared" si="75"/>
        <v>434.92723411634967</v>
      </c>
      <c r="L599" s="45">
        <f>Pressure!Q599</f>
        <v>1.3388906696038421</v>
      </c>
      <c r="M599" s="10">
        <f t="shared" si="76"/>
        <v>4.3397740811215684</v>
      </c>
      <c r="N599" s="10">
        <f t="shared" si="74"/>
        <v>2.9545467240956045</v>
      </c>
    </row>
    <row r="600" spans="3:14">
      <c r="C600" s="4">
        <f>Pressure!AB600*1000000</f>
        <v>6303442.4153141622</v>
      </c>
      <c r="D600" s="84">
        <f>Pressure!I600</f>
        <v>2.214727558899525E-4</v>
      </c>
      <c r="E600" s="40">
        <f>Pressure!H600</f>
        <v>221.47275588995251</v>
      </c>
      <c r="F600" s="10">
        <f t="shared" si="70"/>
        <v>8</v>
      </c>
      <c r="G600" s="4">
        <f t="shared" si="69"/>
        <v>127006.06707501427</v>
      </c>
      <c r="H600" s="45">
        <f t="shared" si="71"/>
        <v>9.5798152650956911</v>
      </c>
      <c r="I600" s="10">
        <f t="shared" si="72"/>
        <v>1.3854623058352322</v>
      </c>
      <c r="J600" s="4">
        <f t="shared" si="73"/>
        <v>1934.1618549799475</v>
      </c>
      <c r="K600" s="4">
        <f t="shared" si="75"/>
        <v>434.81899531944327</v>
      </c>
      <c r="L600" s="45">
        <f>Pressure!Q600</f>
        <v>1.3411335081845521</v>
      </c>
      <c r="M600" s="10">
        <f t="shared" si="76"/>
        <v>4.3385527569837583</v>
      </c>
      <c r="N600" s="10">
        <f t="shared" si="74"/>
        <v>2.9545467240956045</v>
      </c>
    </row>
    <row r="601" spans="3:14">
      <c r="C601" s="4">
        <f>Pressure!AB601*1000000</f>
        <v>6301995.8918315796</v>
      </c>
      <c r="D601" s="84">
        <f>Pressure!I601</f>
        <v>2.214727558899525E-4</v>
      </c>
      <c r="E601" s="40">
        <f>Pressure!H601</f>
        <v>221.47275588995251</v>
      </c>
      <c r="F601" s="10">
        <f t="shared" si="70"/>
        <v>8</v>
      </c>
      <c r="G601" s="4">
        <f t="shared" si="69"/>
        <v>126976.92153098453</v>
      </c>
      <c r="H601" s="45">
        <f t="shared" si="71"/>
        <v>9.5780785121541356</v>
      </c>
      <c r="I601" s="10">
        <f t="shared" si="72"/>
        <v>1.3854328832422753</v>
      </c>
      <c r="J601" s="4">
        <f t="shared" si="73"/>
        <v>1933.6769348840687</v>
      </c>
      <c r="K601" s="4">
        <f t="shared" si="75"/>
        <v>434.70998041546437</v>
      </c>
      <c r="L601" s="45">
        <f>Pressure!Q601</f>
        <v>1.3433762710922439</v>
      </c>
      <c r="M601" s="10">
        <f t="shared" si="76"/>
        <v>4.337322685419208</v>
      </c>
      <c r="N601" s="10">
        <f t="shared" si="74"/>
        <v>2.9545467240956045</v>
      </c>
    </row>
    <row r="602" spans="3:14">
      <c r="C602" s="4">
        <f>Pressure!AB602*1000000</f>
        <v>6300539.0689185914</v>
      </c>
      <c r="D602" s="84">
        <f>Pressure!I602</f>
        <v>2.214727558899525E-4</v>
      </c>
      <c r="E602" s="40">
        <f>Pressure!H602</f>
        <v>221.47275588995251</v>
      </c>
      <c r="F602" s="10">
        <f t="shared" si="70"/>
        <v>8</v>
      </c>
      <c r="G602" s="4">
        <f t="shared" si="69"/>
        <v>126947.56846698986</v>
      </c>
      <c r="H602" s="45">
        <f t="shared" si="71"/>
        <v>9.5763293233384168</v>
      </c>
      <c r="I602" s="10">
        <f t="shared" si="72"/>
        <v>1.3854032375019922</v>
      </c>
      <c r="J602" s="4">
        <f t="shared" si="73"/>
        <v>1933.1885620956903</v>
      </c>
      <c r="K602" s="4">
        <f t="shared" si="75"/>
        <v>434.60018931156202</v>
      </c>
      <c r="L602" s="45">
        <f>Pressure!Q602</f>
        <v>1.3456189577694693</v>
      </c>
      <c r="M602" s="10">
        <f t="shared" si="76"/>
        <v>4.3360838663495027</v>
      </c>
      <c r="N602" s="10">
        <f t="shared" si="74"/>
        <v>2.9545467240956045</v>
      </c>
    </row>
    <row r="603" spans="3:14">
      <c r="C603" s="4">
        <f>Pressure!AB603*1000000</f>
        <v>6299071.945333791</v>
      </c>
      <c r="D603" s="84">
        <f>Pressure!I603</f>
        <v>2.214727558899525E-4</v>
      </c>
      <c r="E603" s="40">
        <f>Pressure!H603</f>
        <v>221.47275588995251</v>
      </c>
      <c r="F603" s="10">
        <f t="shared" si="70"/>
        <v>8</v>
      </c>
      <c r="G603" s="4">
        <f t="shared" si="69"/>
        <v>126918.00785801756</v>
      </c>
      <c r="H603" s="45">
        <f t="shared" si="71"/>
        <v>9.5745676956483887</v>
      </c>
      <c r="I603" s="10">
        <f t="shared" si="72"/>
        <v>1.3853733682888589</v>
      </c>
      <c r="J603" s="4">
        <f t="shared" si="73"/>
        <v>1932.6967361986524</v>
      </c>
      <c r="K603" s="4">
        <f t="shared" si="75"/>
        <v>434.48962191417934</v>
      </c>
      <c r="L603" s="45">
        <f>Pressure!Q603</f>
        <v>1.3478615676583903</v>
      </c>
      <c r="M603" s="10">
        <f t="shared" si="76"/>
        <v>4.334836299694599</v>
      </c>
      <c r="N603" s="10">
        <f t="shared" si="74"/>
        <v>2.9545467240956045</v>
      </c>
    </row>
    <row r="604" spans="3:14">
      <c r="C604" s="4">
        <f>Pressure!AB604*1000000</f>
        <v>6297594.5198258879</v>
      </c>
      <c r="D604" s="84">
        <f>Pressure!I604</f>
        <v>2.214727558899525E-4</v>
      </c>
      <c r="E604" s="40">
        <f>Pressure!H604</f>
        <v>221.47275588995251</v>
      </c>
      <c r="F604" s="10">
        <f t="shared" si="70"/>
        <v>8</v>
      </c>
      <c r="G604" s="4">
        <f t="shared" ref="G604:G667" si="77">IF(C604/(1+(k-1)/2*N604^2)^(k/(k-1))&lt;patm*1000000,patm*1000000,C604/(1+(k-1)/2*N604^2)^(k/(k-1)))</f>
        <v>126888.23967885578</v>
      </c>
      <c r="H604" s="45">
        <f t="shared" si="71"/>
        <v>9.5727936260603972</v>
      </c>
      <c r="I604" s="10">
        <f t="shared" si="72"/>
        <v>1.3853432752746311</v>
      </c>
      <c r="J604" s="4">
        <f t="shared" si="73"/>
        <v>1932.2014567734846</v>
      </c>
      <c r="K604" s="4">
        <f t="shared" si="75"/>
        <v>434.37827812901503</v>
      </c>
      <c r="L604" s="45">
        <f>Pressure!Q604</f>
        <v>1.3501041002007768</v>
      </c>
      <c r="M604" s="10">
        <f t="shared" si="76"/>
        <v>4.3335799853753754</v>
      </c>
      <c r="N604" s="10">
        <f t="shared" si="74"/>
        <v>2.9545467240956045</v>
      </c>
    </row>
    <row r="605" spans="3:14">
      <c r="C605" s="4">
        <f>Pressure!AB605*1000000</f>
        <v>6296106.7911341945</v>
      </c>
      <c r="D605" s="84">
        <f>Pressure!I605</f>
        <v>2.214727558899525E-4</v>
      </c>
      <c r="E605" s="40">
        <f>Pressure!H605</f>
        <v>221.47275588995251</v>
      </c>
      <c r="F605" s="10">
        <f t="shared" ref="F605:F668" si="78">aexit/E605</f>
        <v>8</v>
      </c>
      <c r="G605" s="4">
        <f t="shared" si="77"/>
        <v>126858.26390410331</v>
      </c>
      <c r="H605" s="45">
        <f t="shared" ref="H605:H668" si="79">1/(((k+1)/2)^(1/(k-1))*(patm*1000000/C605)^(1/k)*SQRT((k+1)/(k-1)*(1-(patm*1000000/C605)^((k-1)/k))))</f>
        <v>9.5710071115278605</v>
      </c>
      <c r="I605" s="10">
        <f t="shared" ref="I605:I668" si="80">etanoz*SQRT(2*k^2/(k-1)*(2/(k+1))^((k+1)/(k-1))*(1-(G605/C605)^((k-1)/k)))+(G605-patm*1000000)/C605*(aexit/E605)</f>
        <v>1.3853129581283445</v>
      </c>
      <c r="J605" s="4">
        <f t="shared" ref="J605:J668" si="81">I605*D605*C605</f>
        <v>1931.7027233975637</v>
      </c>
      <c r="K605" s="4">
        <f t="shared" si="75"/>
        <v>434.26615786105924</v>
      </c>
      <c r="L605" s="45">
        <f>Pressure!Q605</f>
        <v>1.3523465548380023</v>
      </c>
      <c r="M605" s="10">
        <f t="shared" si="76"/>
        <v>4.3323149233097791</v>
      </c>
      <c r="N605" s="10">
        <f t="shared" si="74"/>
        <v>2.9545467240956045</v>
      </c>
    </row>
    <row r="606" spans="3:14">
      <c r="C606" s="4">
        <f>Pressure!AB606*1000000</f>
        <v>6294608.7579882769</v>
      </c>
      <c r="D606" s="84">
        <f>Pressure!I606</f>
        <v>2.214727558899525E-4</v>
      </c>
      <c r="E606" s="40">
        <f>Pressure!H606</f>
        <v>221.47275588995251</v>
      </c>
      <c r="F606" s="10">
        <f t="shared" si="78"/>
        <v>8</v>
      </c>
      <c r="G606" s="4">
        <f t="shared" si="77"/>
        <v>126828.08050816257</v>
      </c>
      <c r="H606" s="45">
        <f t="shared" si="79"/>
        <v>9.569208148980799</v>
      </c>
      <c r="I606" s="10">
        <f t="shared" si="80"/>
        <v>1.3852824165162994</v>
      </c>
      <c r="J606" s="4">
        <f t="shared" si="81"/>
        <v>1931.2005356450006</v>
      </c>
      <c r="K606" s="4">
        <f t="shared" si="75"/>
        <v>434.15326101456782</v>
      </c>
      <c r="L606" s="45">
        <f>Pressure!Q606</f>
        <v>1.3545889310110417</v>
      </c>
      <c r="M606" s="10">
        <f t="shared" si="76"/>
        <v>4.3310411134167648</v>
      </c>
      <c r="N606" s="10">
        <f t="shared" ref="N606:N669" si="82">N605-1/834*(me-mef)</f>
        <v>2.9545467240956045</v>
      </c>
    </row>
    <row r="607" spans="3:14">
      <c r="C607" s="4">
        <f>Pressure!AB607*1000000</f>
        <v>6293100.4191081254</v>
      </c>
      <c r="D607" s="84">
        <f>Pressure!I607</f>
        <v>2.214727558899525E-4</v>
      </c>
      <c r="E607" s="40">
        <f>Pressure!H607</f>
        <v>221.47275588995251</v>
      </c>
      <c r="F607" s="10">
        <f t="shared" si="78"/>
        <v>8</v>
      </c>
      <c r="G607" s="4">
        <f t="shared" si="77"/>
        <v>126797.68946524309</v>
      </c>
      <c r="H607" s="45">
        <f t="shared" si="79"/>
        <v>9.5673967353260299</v>
      </c>
      <c r="I607" s="10">
        <f t="shared" si="80"/>
        <v>1.3852516501020542</v>
      </c>
      <c r="J607" s="4">
        <f t="shared" si="81"/>
        <v>1930.6948930866963</v>
      </c>
      <c r="K607" s="4">
        <f t="shared" si="75"/>
        <v>434.03958749307503</v>
      </c>
      <c r="L607" s="45">
        <f>Pressure!Q607</f>
        <v>1.3568312281604678</v>
      </c>
      <c r="M607" s="10">
        <f t="shared" si="76"/>
        <v>4.3297585556132523</v>
      </c>
      <c r="N607" s="10">
        <f t="shared" si="82"/>
        <v>2.9545467240956045</v>
      </c>
    </row>
    <row r="608" spans="3:14">
      <c r="C608" s="4">
        <f>Pressure!AB608*1000000</f>
        <v>6291581.7732039969</v>
      </c>
      <c r="D608" s="84">
        <f>Pressure!I608</f>
        <v>2.214727558899525E-4</v>
      </c>
      <c r="E608" s="40">
        <f>Pressure!H608</f>
        <v>221.47275588995251</v>
      </c>
      <c r="F608" s="10">
        <f t="shared" si="78"/>
        <v>8</v>
      </c>
      <c r="G608" s="4">
        <f t="shared" si="77"/>
        <v>126767.09074935821</v>
      </c>
      <c r="H608" s="45">
        <f t="shared" si="79"/>
        <v>9.5655728674469618</v>
      </c>
      <c r="I608" s="10">
        <f t="shared" si="80"/>
        <v>1.3852206585464126</v>
      </c>
      <c r="J608" s="4">
        <f t="shared" si="81"/>
        <v>1930.1857952902881</v>
      </c>
      <c r="K608" s="4">
        <f t="shared" si="75"/>
        <v>433.92513719938137</v>
      </c>
      <c r="L608" s="45">
        <f>Pressure!Q608</f>
        <v>1.3590734457264479</v>
      </c>
      <c r="M608" s="10">
        <f t="shared" si="76"/>
        <v>4.3284672498162964</v>
      </c>
      <c r="N608" s="10">
        <f t="shared" si="82"/>
        <v>2.9545467240956045</v>
      </c>
    </row>
    <row r="609" spans="3:14">
      <c r="C609" s="4">
        <f>Pressure!AB609*1000000</f>
        <v>6290052.8189765373</v>
      </c>
      <c r="D609" s="84">
        <f>Pressure!I609</f>
        <v>2.214727558899525E-4</v>
      </c>
      <c r="E609" s="40">
        <f>Pressure!H609</f>
        <v>221.47275588995251</v>
      </c>
      <c r="F609" s="10">
        <f t="shared" si="78"/>
        <v>8</v>
      </c>
      <c r="G609" s="4">
        <f t="shared" si="77"/>
        <v>126736.28433432765</v>
      </c>
      <c r="H609" s="45">
        <f t="shared" si="79"/>
        <v>9.5637365422036904</v>
      </c>
      <c r="I609" s="10">
        <f t="shared" si="80"/>
        <v>1.3851894415074164</v>
      </c>
      <c r="J609" s="4">
        <f t="shared" si="81"/>
        <v>1929.6732418201916</v>
      </c>
      <c r="K609" s="4">
        <f t="shared" si="75"/>
        <v>433.80991003556306</v>
      </c>
      <c r="L609" s="45">
        <f>Pressure!Q609</f>
        <v>1.3613155831487416</v>
      </c>
      <c r="M609" s="10">
        <f t="shared" si="76"/>
        <v>4.3271671959418159</v>
      </c>
      <c r="N609" s="10">
        <f t="shared" si="82"/>
        <v>2.9545467240956045</v>
      </c>
    </row>
    <row r="610" spans="3:14">
      <c r="C610" s="4">
        <f>Pressure!AB610*1000000</f>
        <v>6288513.5551167233</v>
      </c>
      <c r="D610" s="84">
        <f>Pressure!I610</f>
        <v>2.214727558899525E-4</v>
      </c>
      <c r="E610" s="40">
        <f>Pressure!H610</f>
        <v>221.47275588995251</v>
      </c>
      <c r="F610" s="10">
        <f t="shared" si="78"/>
        <v>8</v>
      </c>
      <c r="G610" s="4">
        <f t="shared" si="77"/>
        <v>126705.27019377633</v>
      </c>
      <c r="H610" s="45">
        <f t="shared" si="79"/>
        <v>9.5618877564329345</v>
      </c>
      <c r="I610" s="10">
        <f t="shared" si="80"/>
        <v>1.3851579986403357</v>
      </c>
      <c r="J610" s="4">
        <f t="shared" si="81"/>
        <v>1929.1572322375816</v>
      </c>
      <c r="K610" s="4">
        <f t="shared" si="75"/>
        <v>433.69390590296786</v>
      </c>
      <c r="L610" s="45">
        <f>Pressure!Q610</f>
        <v>1.3635576398666964</v>
      </c>
      <c r="M610" s="10">
        <f t="shared" si="76"/>
        <v>4.3258583939050732</v>
      </c>
      <c r="N610" s="10">
        <f t="shared" si="82"/>
        <v>2.9545467240956045</v>
      </c>
    </row>
    <row r="611" spans="3:14">
      <c r="C611" s="4">
        <f>Pressure!AB611*1000000</f>
        <v>6286963.9803058188</v>
      </c>
      <c r="D611" s="84">
        <f>Pressure!I611</f>
        <v>2.214727558899525E-4</v>
      </c>
      <c r="E611" s="40">
        <f>Pressure!H611</f>
        <v>221.47275588995251</v>
      </c>
      <c r="F611" s="10">
        <f t="shared" si="78"/>
        <v>8</v>
      </c>
      <c r="G611" s="4">
        <f t="shared" si="77"/>
        <v>126674.04830113346</v>
      </c>
      <c r="H611" s="45">
        <f t="shared" si="79"/>
        <v>9.5600265069479544</v>
      </c>
      <c r="I611" s="10">
        <f t="shared" si="80"/>
        <v>1.3851263295976568</v>
      </c>
      <c r="J611" s="4">
        <f t="shared" si="81"/>
        <v>1928.6377661003758</v>
      </c>
      <c r="K611" s="4">
        <f t="shared" si="75"/>
        <v>433.57712470221117</v>
      </c>
      <c r="L611" s="45">
        <f>Pressure!Q611</f>
        <v>1.3657996153192455</v>
      </c>
      <c r="M611" s="10">
        <f t="shared" si="76"/>
        <v>4.3245408436202304</v>
      </c>
      <c r="N611" s="10">
        <f t="shared" si="82"/>
        <v>2.9545467240956045</v>
      </c>
    </row>
    <row r="612" spans="3:14">
      <c r="C612" s="4">
        <f>Pressure!AB612*1000000</f>
        <v>6285404.0932153212</v>
      </c>
      <c r="D612" s="84">
        <f>Pressure!I612</f>
        <v>2.214727558899525E-4</v>
      </c>
      <c r="E612" s="40">
        <f>Pressure!H612</f>
        <v>221.47275588995251</v>
      </c>
      <c r="F612" s="10">
        <f t="shared" si="78"/>
        <v>8</v>
      </c>
      <c r="G612" s="4">
        <f t="shared" si="77"/>
        <v>126642.61862963144</v>
      </c>
      <c r="H612" s="45">
        <f t="shared" si="79"/>
        <v>9.5581527905384629</v>
      </c>
      <c r="I612" s="10">
        <f t="shared" si="80"/>
        <v>1.3850944340290725</v>
      </c>
      <c r="J612" s="4">
        <f t="shared" si="81"/>
        <v>1928.1148429632185</v>
      </c>
      <c r="K612" s="4">
        <f t="shared" si="75"/>
        <v>433.45956633317263</v>
      </c>
      <c r="L612" s="45">
        <f>Pressure!Q612</f>
        <v>1.3680415089449045</v>
      </c>
      <c r="M612" s="10">
        <f t="shared" si="76"/>
        <v>4.3232145450016253</v>
      </c>
      <c r="N612" s="10">
        <f t="shared" si="82"/>
        <v>2.9545467240956045</v>
      </c>
    </row>
    <row r="613" spans="3:14">
      <c r="C613" s="4">
        <f>Pressure!AB613*1000000</f>
        <v>6283833.8925070306</v>
      </c>
      <c r="D613" s="84">
        <f>Pressure!I613</f>
        <v>2.214727558899525E-4</v>
      </c>
      <c r="E613" s="40">
        <f>Pressure!H613</f>
        <v>221.47275588995251</v>
      </c>
      <c r="F613" s="10">
        <f t="shared" si="78"/>
        <v>8</v>
      </c>
      <c r="G613" s="4">
        <f t="shared" si="77"/>
        <v>126610.98115230731</v>
      </c>
      <c r="H613" s="45">
        <f t="shared" si="79"/>
        <v>9.5562666039706521</v>
      </c>
      <c r="I613" s="10">
        <f t="shared" si="80"/>
        <v>1.3850623115814731</v>
      </c>
      <c r="J613" s="4">
        <f t="shared" si="81"/>
        <v>1927.5884623775034</v>
      </c>
      <c r="K613" s="4">
        <f t="shared" si="75"/>
        <v>433.341230695001</v>
      </c>
      <c r="L613" s="45">
        <f>Pressure!Q613</f>
        <v>1.3702833201817677</v>
      </c>
      <c r="M613" s="10">
        <f t="shared" si="76"/>
        <v>4.3218794979616648</v>
      </c>
      <c r="N613" s="10">
        <f t="shared" si="82"/>
        <v>2.9545467240956045</v>
      </c>
    </row>
    <row r="614" spans="3:14">
      <c r="C614" s="4">
        <f>Pressure!AB614*1000000</f>
        <v>6282253.376833125</v>
      </c>
      <c r="D614" s="84">
        <f>Pressure!I614</f>
        <v>2.214727558899525E-4</v>
      </c>
      <c r="E614" s="40">
        <f>Pressure!H614</f>
        <v>221.47275588995251</v>
      </c>
      <c r="F614" s="10">
        <f t="shared" si="78"/>
        <v>8</v>
      </c>
      <c r="G614" s="4">
        <f t="shared" si="77"/>
        <v>126579.13584200425</v>
      </c>
      <c r="H614" s="45">
        <f t="shared" si="79"/>
        <v>9.554367943987323</v>
      </c>
      <c r="I614" s="10">
        <f t="shared" si="80"/>
        <v>1.3850299618989375</v>
      </c>
      <c r="J614" s="4">
        <f t="shared" si="81"/>
        <v>1927.0586238913977</v>
      </c>
      <c r="K614" s="4">
        <f t="shared" si="75"/>
        <v>433.2221176861197</v>
      </c>
      <c r="L614" s="45">
        <f>Pressure!Q614</f>
        <v>1.3725250484675053</v>
      </c>
      <c r="M614" s="10">
        <f t="shared" si="76"/>
        <v>4.3205357024126139</v>
      </c>
      <c r="N614" s="10">
        <f t="shared" si="82"/>
        <v>2.9545467240956045</v>
      </c>
    </row>
    <row r="615" spans="3:14">
      <c r="C615" s="4">
        <f>Pressure!AB615*1000000</f>
        <v>6280662.5448358813</v>
      </c>
      <c r="D615" s="84">
        <f>Pressure!I615</f>
        <v>2.214727558899525E-4</v>
      </c>
      <c r="E615" s="40">
        <f>Pressure!H615</f>
        <v>221.47275588995251</v>
      </c>
      <c r="F615" s="10">
        <f t="shared" si="78"/>
        <v>8</v>
      </c>
      <c r="G615" s="4">
        <f t="shared" si="77"/>
        <v>126547.08267136592</v>
      </c>
      <c r="H615" s="45">
        <f t="shared" si="79"/>
        <v>9.5524568073074576</v>
      </c>
      <c r="I615" s="10">
        <f t="shared" si="80"/>
        <v>1.3849973846227182</v>
      </c>
      <c r="J615" s="4">
        <f t="shared" si="81"/>
        <v>1926.5253270497499</v>
      </c>
      <c r="K615" s="4">
        <f t="shared" si="75"/>
        <v>433.1022272042062</v>
      </c>
      <c r="L615" s="45">
        <f>Pressure!Q615</f>
        <v>1.3747666932393605</v>
      </c>
      <c r="M615" s="10">
        <f t="shared" si="76"/>
        <v>4.3191831582661218</v>
      </c>
      <c r="N615" s="10">
        <f t="shared" si="82"/>
        <v>2.9545467240956045</v>
      </c>
    </row>
    <row r="616" spans="3:14">
      <c r="C616" s="4">
        <f>Pressure!AB616*1000000</f>
        <v>6279061.3951479746</v>
      </c>
      <c r="D616" s="84">
        <f>Pressure!I616</f>
        <v>2.214727558899525E-4</v>
      </c>
      <c r="E616" s="40">
        <f>Pressure!H616</f>
        <v>221.47275588995251</v>
      </c>
      <c r="F616" s="10">
        <f t="shared" si="78"/>
        <v>8</v>
      </c>
      <c r="G616" s="4">
        <f t="shared" si="77"/>
        <v>126514.82161284251</v>
      </c>
      <c r="H616" s="45">
        <f t="shared" si="79"/>
        <v>9.5505331906266129</v>
      </c>
      <c r="I616" s="10">
        <f t="shared" si="80"/>
        <v>1.3849645793912371</v>
      </c>
      <c r="J616" s="4">
        <f t="shared" si="81"/>
        <v>1925.9885713941908</v>
      </c>
      <c r="K616" s="4">
        <f t="shared" si="75"/>
        <v>432.98155914621441</v>
      </c>
      <c r="L616" s="45">
        <f>Pressure!Q616</f>
        <v>1.3770082539341457</v>
      </c>
      <c r="M616" s="10">
        <f t="shared" si="76"/>
        <v>4.3178218654328298</v>
      </c>
      <c r="N616" s="10">
        <f t="shared" si="82"/>
        <v>2.9545467240956045</v>
      </c>
    </row>
    <row r="617" spans="3:14">
      <c r="C617" s="4">
        <f>Pressure!AB617*1000000</f>
        <v>6277449.9263921492</v>
      </c>
      <c r="D617" s="84">
        <f>Pressure!I617</f>
        <v>2.214727558899525E-4</v>
      </c>
      <c r="E617" s="40">
        <f>Pressure!H617</f>
        <v>221.47275588995251</v>
      </c>
      <c r="F617" s="10">
        <f t="shared" si="78"/>
        <v>8</v>
      </c>
      <c r="G617" s="4">
        <f t="shared" si="77"/>
        <v>126482.35263868413</v>
      </c>
      <c r="H617" s="45">
        <f t="shared" si="79"/>
        <v>9.5485970906164663</v>
      </c>
      <c r="I617" s="10">
        <f t="shared" si="80"/>
        <v>1.3849315458400677</v>
      </c>
      <c r="J617" s="4">
        <f t="shared" si="81"/>
        <v>1925.44835646302</v>
      </c>
      <c r="K617" s="4">
        <f t="shared" si="75"/>
        <v>432.86011340834943</v>
      </c>
      <c r="L617" s="45">
        <f>Pressure!Q617</f>
        <v>1.3792497299882398</v>
      </c>
      <c r="M617" s="10">
        <f t="shared" si="76"/>
        <v>4.316451823822808</v>
      </c>
      <c r="N617" s="10">
        <f t="shared" si="82"/>
        <v>2.9545467240956045</v>
      </c>
    </row>
    <row r="618" spans="3:14">
      <c r="C618" s="4">
        <f>Pressure!AB618*1000000</f>
        <v>6275828.1371814413</v>
      </c>
      <c r="D618" s="84">
        <f>Pressure!I618</f>
        <v>2.214727558899525E-4</v>
      </c>
      <c r="E618" s="40">
        <f>Pressure!H618</f>
        <v>221.47275588995251</v>
      </c>
      <c r="F618" s="10">
        <f t="shared" si="78"/>
        <v>8</v>
      </c>
      <c r="G618" s="4">
        <f t="shared" si="77"/>
        <v>126449.67572094529</v>
      </c>
      <c r="H618" s="45">
        <f t="shared" si="79"/>
        <v>9.5466485039250486</v>
      </c>
      <c r="I618" s="10">
        <f t="shared" si="80"/>
        <v>1.3848982836019306</v>
      </c>
      <c r="J618" s="4">
        <f t="shared" si="81"/>
        <v>1924.9046817912845</v>
      </c>
      <c r="K618" s="4">
        <f t="shared" si="75"/>
        <v>432.73788988608527</v>
      </c>
      <c r="L618" s="45">
        <f>Pressure!Q618</f>
        <v>1.3814911208375846</v>
      </c>
      <c r="M618" s="10">
        <f t="shared" si="76"/>
        <v>4.3150730333451239</v>
      </c>
      <c r="N618" s="10">
        <f t="shared" si="82"/>
        <v>2.9545467240956045</v>
      </c>
    </row>
    <row r="619" spans="3:14">
      <c r="C619" s="4">
        <f>Pressure!AB619*1000000</f>
        <v>6274196.0261191111</v>
      </c>
      <c r="D619" s="84">
        <f>Pressure!I619</f>
        <v>2.214727558899525E-4</v>
      </c>
      <c r="E619" s="40">
        <f>Pressure!H619</f>
        <v>221.47275588995251</v>
      </c>
      <c r="F619" s="10">
        <f t="shared" si="78"/>
        <v>8</v>
      </c>
      <c r="G619" s="4">
        <f t="shared" si="77"/>
        <v>126416.79083148354</v>
      </c>
      <c r="H619" s="45">
        <f t="shared" si="79"/>
        <v>9.5446874271766742</v>
      </c>
      <c r="I619" s="10">
        <f t="shared" si="80"/>
        <v>1.3848647923066799</v>
      </c>
      <c r="J619" s="4">
        <f t="shared" si="81"/>
        <v>1924.3575469107525</v>
      </c>
      <c r="K619" s="4">
        <f t="shared" si="75"/>
        <v>432.61488847415865</v>
      </c>
      <c r="L619" s="45">
        <f>Pressure!Q619</f>
        <v>1.383732425917682</v>
      </c>
      <c r="M619" s="10">
        <f t="shared" si="76"/>
        <v>4.3136854939083502</v>
      </c>
      <c r="N619" s="10">
        <f t="shared" si="82"/>
        <v>2.9545467240956045</v>
      </c>
    </row>
    <row r="620" spans="3:14">
      <c r="C620" s="4">
        <f>Pressure!AB620*1000000</f>
        <v>6272553.5917984555</v>
      </c>
      <c r="D620" s="84">
        <f>Pressure!I620</f>
        <v>2.214727558899525E-4</v>
      </c>
      <c r="E620" s="40">
        <f>Pressure!H620</f>
        <v>221.47275588995251</v>
      </c>
      <c r="F620" s="10">
        <f t="shared" si="78"/>
        <v>8</v>
      </c>
      <c r="G620" s="4">
        <f t="shared" si="77"/>
        <v>126383.69794195563</v>
      </c>
      <c r="H620" s="45">
        <f t="shared" si="79"/>
        <v>9.5427138569716625</v>
      </c>
      <c r="I620" s="10">
        <f t="shared" si="80"/>
        <v>1.3848310715812906</v>
      </c>
      <c r="J620" s="4">
        <f t="shared" si="81"/>
        <v>1923.8069513498531</v>
      </c>
      <c r="K620" s="4">
        <f t="shared" si="75"/>
        <v>432.49110906655574</v>
      </c>
      <c r="L620" s="45">
        <f>Pressure!Q620</f>
        <v>1.3859736446635904</v>
      </c>
      <c r="M620" s="10">
        <f t="shared" si="76"/>
        <v>4.3122892054204991</v>
      </c>
      <c r="N620" s="10">
        <f t="shared" si="82"/>
        <v>2.9545467240956045</v>
      </c>
    </row>
    <row r="621" spans="3:14">
      <c r="C621" s="4">
        <f>Pressure!AB621*1000000</f>
        <v>6270900.8328032224</v>
      </c>
      <c r="D621" s="84">
        <f>Pressure!I621</f>
        <v>2.214727558899525E-4</v>
      </c>
      <c r="E621" s="40">
        <f>Pressure!H621</f>
        <v>221.47275588995251</v>
      </c>
      <c r="F621" s="10">
        <f t="shared" si="78"/>
        <v>8</v>
      </c>
      <c r="G621" s="4">
        <f t="shared" si="77"/>
        <v>126350.39702382596</v>
      </c>
      <c r="H621" s="45">
        <f t="shared" si="79"/>
        <v>9.540727789886823</v>
      </c>
      <c r="I621" s="10">
        <f t="shared" si="80"/>
        <v>1.3847971210498553</v>
      </c>
      <c r="J621" s="4">
        <f t="shared" si="81"/>
        <v>1923.2528946338145</v>
      </c>
      <c r="K621" s="4">
        <f t="shared" si="75"/>
        <v>432.36655155654302</v>
      </c>
      <c r="L621" s="45">
        <f>Pressure!Q621</f>
        <v>1.3882147765099215</v>
      </c>
      <c r="M621" s="10">
        <f t="shared" si="76"/>
        <v>4.3108841677878527</v>
      </c>
      <c r="N621" s="10">
        <f t="shared" si="82"/>
        <v>2.9545467240956045</v>
      </c>
    </row>
    <row r="622" spans="3:14">
      <c r="C622" s="4">
        <f>Pressure!AB622*1000000</f>
        <v>6269237.7477070466</v>
      </c>
      <c r="D622" s="84">
        <f>Pressure!I622</f>
        <v>2.214727558899525E-4</v>
      </c>
      <c r="E622" s="40">
        <f>Pressure!H622</f>
        <v>221.47275588995251</v>
      </c>
      <c r="F622" s="10">
        <f t="shared" si="78"/>
        <v>8</v>
      </c>
      <c r="G622" s="4">
        <f t="shared" si="77"/>
        <v>126316.88804835516</v>
      </c>
      <c r="H622" s="45">
        <f t="shared" si="79"/>
        <v>9.5387292224747302</v>
      </c>
      <c r="I622" s="10">
        <f t="shared" si="80"/>
        <v>1.384762940333562</v>
      </c>
      <c r="J622" s="4">
        <f t="shared" si="81"/>
        <v>1922.6953762844739</v>
      </c>
      <c r="K622" s="4">
        <f t="shared" si="75"/>
        <v>432.24121583662469</v>
      </c>
      <c r="L622" s="45">
        <f>Pressure!Q622</f>
        <v>1.3904558208908375</v>
      </c>
      <c r="M622" s="10">
        <f t="shared" si="76"/>
        <v>4.3094703809175003</v>
      </c>
      <c r="N622" s="10">
        <f t="shared" si="82"/>
        <v>2.9545467240956045</v>
      </c>
    </row>
    <row r="623" spans="3:14">
      <c r="C623" s="4">
        <f>Pressure!AB623*1000000</f>
        <v>6267564.3350739311</v>
      </c>
      <c r="D623" s="84">
        <f>Pressure!I623</f>
        <v>2.214727558899525E-4</v>
      </c>
      <c r="E623" s="40">
        <f>Pressure!H623</f>
        <v>221.47275588995251</v>
      </c>
      <c r="F623" s="10">
        <f t="shared" si="78"/>
        <v>8</v>
      </c>
      <c r="G623" s="4">
        <f t="shared" si="77"/>
        <v>126283.17098660978</v>
      </c>
      <c r="H623" s="45">
        <f t="shared" si="79"/>
        <v>9.5367181512643189</v>
      </c>
      <c r="I623" s="10">
        <f t="shared" si="80"/>
        <v>1.3847285290506939</v>
      </c>
      <c r="J623" s="4">
        <f t="shared" si="81"/>
        <v>1922.1343958204407</v>
      </c>
      <c r="K623" s="4">
        <f t="shared" si="75"/>
        <v>432.11510179857936</v>
      </c>
      <c r="L623" s="45">
        <f>Pressure!Q623</f>
        <v>1.3926967772400471</v>
      </c>
      <c r="M623" s="10">
        <f t="shared" si="76"/>
        <v>4.3080478447143458</v>
      </c>
      <c r="N623" s="10">
        <f t="shared" si="82"/>
        <v>2.9545467240956045</v>
      </c>
    </row>
    <row r="624" spans="3:14">
      <c r="C624" s="4">
        <f>Pressure!AB624*1000000</f>
        <v>6265880.5934578115</v>
      </c>
      <c r="D624" s="84">
        <f>Pressure!I624</f>
        <v>2.214727558899525E-4</v>
      </c>
      <c r="E624" s="40">
        <f>Pressure!H624</f>
        <v>221.47275588995251</v>
      </c>
      <c r="F624" s="10">
        <f t="shared" si="78"/>
        <v>8</v>
      </c>
      <c r="G624" s="4">
        <f t="shared" si="77"/>
        <v>126249.24580945351</v>
      </c>
      <c r="H624" s="45">
        <f t="shared" si="79"/>
        <v>9.5346945727602801</v>
      </c>
      <c r="I624" s="10">
        <f t="shared" si="80"/>
        <v>1.3846938868166081</v>
      </c>
      <c r="J624" s="4">
        <f t="shared" si="81"/>
        <v>1921.5699527569475</v>
      </c>
      <c r="K624" s="4">
        <f t="shared" si="75"/>
        <v>431.98820933342643</v>
      </c>
      <c r="L624" s="45">
        <f>Pressure!Q624</f>
        <v>1.3949376449908031</v>
      </c>
      <c r="M624" s="10">
        <f t="shared" si="76"/>
        <v>4.3066165590837135</v>
      </c>
      <c r="N624" s="10">
        <f t="shared" si="82"/>
        <v>2.9545467240956045</v>
      </c>
    </row>
    <row r="625" spans="3:14">
      <c r="C625" s="4">
        <f>Pressure!AB625*1000000</f>
        <v>6264186.5214028209</v>
      </c>
      <c r="D625" s="84">
        <f>Pressure!I625</f>
        <v>2.214727558899525E-4</v>
      </c>
      <c r="E625" s="40">
        <f>Pressure!H625</f>
        <v>221.47275588995251</v>
      </c>
      <c r="F625" s="10">
        <f t="shared" si="78"/>
        <v>8</v>
      </c>
      <c r="G625" s="4">
        <f t="shared" si="77"/>
        <v>126215.11248755256</v>
      </c>
      <c r="H625" s="45">
        <f t="shared" si="79"/>
        <v>9.5326584834433916</v>
      </c>
      <c r="I625" s="10">
        <f t="shared" si="80"/>
        <v>1.3846590132437313</v>
      </c>
      <c r="J625" s="4">
        <f t="shared" si="81"/>
        <v>1921.0020466059427</v>
      </c>
      <c r="K625" s="4">
        <f t="shared" si="75"/>
        <v>431.86053833144706</v>
      </c>
      <c r="L625" s="45">
        <f>Pressure!Q625</f>
        <v>1.3971784235758984</v>
      </c>
      <c r="M625" s="10">
        <f t="shared" si="76"/>
        <v>4.3051765239296058</v>
      </c>
      <c r="N625" s="10">
        <f t="shared" si="82"/>
        <v>2.9545467240956045</v>
      </c>
    </row>
    <row r="626" spans="3:14">
      <c r="C626" s="4">
        <f>Pressure!AB626*1000000</f>
        <v>6262482.1174431937</v>
      </c>
      <c r="D626" s="84">
        <f>Pressure!I626</f>
        <v>2.214727558899525E-4</v>
      </c>
      <c r="E626" s="40">
        <f>Pressure!H626</f>
        <v>221.47275588995251</v>
      </c>
      <c r="F626" s="10">
        <f t="shared" si="78"/>
        <v>8</v>
      </c>
      <c r="G626" s="4">
        <f t="shared" si="77"/>
        <v>126180.77099137368</v>
      </c>
      <c r="H626" s="45">
        <f t="shared" si="79"/>
        <v>9.5306098797703598</v>
      </c>
      <c r="I626" s="10">
        <f t="shared" si="80"/>
        <v>1.3846239079415466</v>
      </c>
      <c r="J626" s="4">
        <f t="shared" si="81"/>
        <v>1920.4306768760562</v>
      </c>
      <c r="K626" s="4">
        <f t="shared" si="75"/>
        <v>431.7320886821762</v>
      </c>
      <c r="L626" s="45">
        <f>Pressure!Q626</f>
        <v>1.3994191124276631</v>
      </c>
      <c r="M626" s="10">
        <f t="shared" si="76"/>
        <v>4.3037277391552289</v>
      </c>
      <c r="N626" s="10">
        <f t="shared" si="82"/>
        <v>2.9545467240956045</v>
      </c>
    </row>
    <row r="627" spans="3:14">
      <c r="C627" s="4">
        <f>Pressure!AB627*1000000</f>
        <v>6260767.3801033385</v>
      </c>
      <c r="D627" s="84">
        <f>Pressure!I627</f>
        <v>2.214727558899525E-4</v>
      </c>
      <c r="E627" s="40">
        <f>Pressure!H627</f>
        <v>221.47275588995251</v>
      </c>
      <c r="F627" s="10">
        <f t="shared" si="78"/>
        <v>8</v>
      </c>
      <c r="G627" s="4">
        <f t="shared" si="77"/>
        <v>126146.22129118563</v>
      </c>
      <c r="H627" s="45">
        <f t="shared" si="79"/>
        <v>9.5285487581739101</v>
      </c>
      <c r="I627" s="10">
        <f t="shared" si="80"/>
        <v>1.3845885705165821</v>
      </c>
      <c r="J627" s="4">
        <f t="shared" si="81"/>
        <v>1919.8558430726225</v>
      </c>
      <c r="K627" s="4">
        <f t="shared" si="75"/>
        <v>431.60286027440821</v>
      </c>
      <c r="L627" s="45">
        <f>Pressure!Q627</f>
        <v>1.4016597109779612</v>
      </c>
      <c r="M627" s="10">
        <f t="shared" si="76"/>
        <v>4.302270204663003</v>
      </c>
      <c r="N627" s="10">
        <f t="shared" si="82"/>
        <v>2.9545467240956045</v>
      </c>
    </row>
    <row r="628" spans="3:14">
      <c r="C628" s="4">
        <f>Pressure!AB628*1000000</f>
        <v>6259042.307897537</v>
      </c>
      <c r="D628" s="84">
        <f>Pressure!I628</f>
        <v>2.214727558899525E-4</v>
      </c>
      <c r="E628" s="40">
        <f>Pressure!H628</f>
        <v>221.47275588995251</v>
      </c>
      <c r="F628" s="10">
        <f t="shared" si="78"/>
        <v>8</v>
      </c>
      <c r="G628" s="4">
        <f t="shared" si="77"/>
        <v>126111.46335705317</v>
      </c>
      <c r="H628" s="45">
        <f t="shared" si="79"/>
        <v>9.5264751150623219</v>
      </c>
      <c r="I628" s="10">
        <f t="shared" si="80"/>
        <v>1.3845530005723958</v>
      </c>
      <c r="J628" s="4">
        <f t="shared" si="81"/>
        <v>1919.2775446975825</v>
      </c>
      <c r="K628" s="4">
        <f t="shared" si="75"/>
        <v>431.47285299617431</v>
      </c>
      <c r="L628" s="45">
        <f>Pressure!Q628</f>
        <v>1.403900218658187</v>
      </c>
      <c r="M628" s="10">
        <f t="shared" si="76"/>
        <v>4.3008039203553698</v>
      </c>
      <c r="N628" s="10">
        <f t="shared" si="82"/>
        <v>2.9545467240956045</v>
      </c>
    </row>
    <row r="629" spans="3:14">
      <c r="C629" s="4">
        <f>Pressure!AB629*1000000</f>
        <v>6257306.8993302966</v>
      </c>
      <c r="D629" s="84">
        <f>Pressure!I629</f>
        <v>2.214727558899525E-4</v>
      </c>
      <c r="E629" s="40">
        <f>Pressure!H629</f>
        <v>221.47275588995251</v>
      </c>
      <c r="F629" s="10">
        <f t="shared" si="78"/>
        <v>8</v>
      </c>
      <c r="G629" s="4">
        <f t="shared" si="77"/>
        <v>126076.49715884407</v>
      </c>
      <c r="H629" s="45">
        <f t="shared" si="79"/>
        <v>9.5243889468199185</v>
      </c>
      <c r="I629" s="10">
        <f t="shared" si="80"/>
        <v>1.3845171977095698</v>
      </c>
      <c r="J629" s="4">
        <f t="shared" si="81"/>
        <v>1918.6957812496003</v>
      </c>
      <c r="K629" s="4">
        <f t="shared" si="75"/>
        <v>431.34206673476916</v>
      </c>
      <c r="L629" s="45">
        <f>Pressure!Q629</f>
        <v>1.4061406348992627</v>
      </c>
      <c r="M629" s="10">
        <f t="shared" si="76"/>
        <v>4.2993288861335541</v>
      </c>
      <c r="N629" s="10">
        <f t="shared" si="82"/>
        <v>2.9545467240956045</v>
      </c>
    </row>
    <row r="630" spans="3:14">
      <c r="C630" s="4">
        <f>Pressure!AB630*1000000</f>
        <v>6255561.1528961267</v>
      </c>
      <c r="D630" s="84">
        <f>Pressure!I630</f>
        <v>2.214727558899525E-4</v>
      </c>
      <c r="E630" s="40">
        <f>Pressure!H630</f>
        <v>221.47275588995251</v>
      </c>
      <c r="F630" s="10">
        <f t="shared" si="78"/>
        <v>8</v>
      </c>
      <c r="G630" s="4">
        <f t="shared" si="77"/>
        <v>126041.3226662247</v>
      </c>
      <c r="H630" s="45">
        <f t="shared" si="79"/>
        <v>9.5222902498067103</v>
      </c>
      <c r="I630" s="10">
        <f t="shared" si="80"/>
        <v>1.3844811615256944</v>
      </c>
      <c r="J630" s="4">
        <f t="shared" si="81"/>
        <v>1918.110552223988</v>
      </c>
      <c r="K630" s="4">
        <f t="shared" si="75"/>
        <v>431.21050137673393</v>
      </c>
      <c r="L630" s="45">
        <f>Pressure!Q630</f>
        <v>1.4083809591316334</v>
      </c>
      <c r="M630" s="10">
        <f t="shared" si="76"/>
        <v>4.2978451018972228</v>
      </c>
      <c r="N630" s="10">
        <f t="shared" si="82"/>
        <v>2.9545467240956045</v>
      </c>
    </row>
    <row r="631" spans="3:14">
      <c r="C631" s="4">
        <f>Pressure!AB631*1000000</f>
        <v>6253805.0670794696</v>
      </c>
      <c r="D631" s="84">
        <f>Pressure!I631</f>
        <v>2.214727558899525E-4</v>
      </c>
      <c r="E631" s="40">
        <f>Pressure!H631</f>
        <v>221.47275588995251</v>
      </c>
      <c r="F631" s="10">
        <f t="shared" si="78"/>
        <v>8</v>
      </c>
      <c r="G631" s="4">
        <f t="shared" si="77"/>
        <v>126005.93984865854</v>
      </c>
      <c r="H631" s="45">
        <f t="shared" si="79"/>
        <v>9.5201790203583023</v>
      </c>
      <c r="I631" s="10">
        <f t="shared" si="80"/>
        <v>1.3844448916153551</v>
      </c>
      <c r="J631" s="4">
        <f t="shared" si="81"/>
        <v>1917.5218571126827</v>
      </c>
      <c r="K631" s="4">
        <f t="shared" si="75"/>
        <v>431.07815680785097</v>
      </c>
      <c r="L631" s="45">
        <f>Pressure!Q631</f>
        <v>1.4106211907852657</v>
      </c>
      <c r="M631" s="10">
        <f t="shared" si="76"/>
        <v>4.2963525675469594</v>
      </c>
      <c r="N631" s="10">
        <f t="shared" si="82"/>
        <v>2.9545467240956045</v>
      </c>
    </row>
    <row r="632" spans="3:14">
      <c r="C632" s="4">
        <f>Pressure!AB632*1000000</f>
        <v>6252038.6403549863</v>
      </c>
      <c r="D632" s="84">
        <f>Pressure!I632</f>
        <v>2.214727558899525E-4</v>
      </c>
      <c r="E632" s="40">
        <f>Pressure!H632</f>
        <v>221.47275588995251</v>
      </c>
      <c r="F632" s="10">
        <f t="shared" si="78"/>
        <v>8</v>
      </c>
      <c r="G632" s="4">
        <f t="shared" si="77"/>
        <v>125970.34867541204</v>
      </c>
      <c r="H632" s="45">
        <f t="shared" si="79"/>
        <v>9.518055254786205</v>
      </c>
      <c r="I632" s="10">
        <f t="shared" si="80"/>
        <v>1.3844083875701274</v>
      </c>
      <c r="J632" s="4">
        <f t="shared" si="81"/>
        <v>1916.9296954043439</v>
      </c>
      <c r="K632" s="4">
        <f t="shared" si="75"/>
        <v>430.94503291316573</v>
      </c>
      <c r="L632" s="45">
        <f>Pressure!Q632</f>
        <v>1.412861329289643</v>
      </c>
      <c r="M632" s="10">
        <f t="shared" si="76"/>
        <v>4.2948512829813925</v>
      </c>
      <c r="N632" s="10">
        <f t="shared" si="82"/>
        <v>2.9545467240956045</v>
      </c>
    </row>
    <row r="633" spans="3:14">
      <c r="C633" s="4">
        <f>Pressure!AB633*1000000</f>
        <v>6250261.8711870816</v>
      </c>
      <c r="D633" s="84">
        <f>Pressure!I633</f>
        <v>2.214727558899525E-4</v>
      </c>
      <c r="E633" s="40">
        <f>Pressure!H633</f>
        <v>221.47275588995251</v>
      </c>
      <c r="F633" s="10">
        <f t="shared" si="78"/>
        <v>8</v>
      </c>
      <c r="G633" s="4">
        <f t="shared" si="77"/>
        <v>125934.54911554496</v>
      </c>
      <c r="H633" s="45">
        <f t="shared" si="79"/>
        <v>9.5159189493772391</v>
      </c>
      <c r="I633" s="10">
        <f t="shared" si="80"/>
        <v>1.3843716489785538</v>
      </c>
      <c r="J633" s="4">
        <f t="shared" si="81"/>
        <v>1916.3340665841906</v>
      </c>
      <c r="K633" s="4">
        <f t="shared" si="75"/>
        <v>430.81112957695035</v>
      </c>
      <c r="L633" s="45">
        <f>Pressure!Q633</f>
        <v>1.415101374073763</v>
      </c>
      <c r="M633" s="10">
        <f t="shared" si="76"/>
        <v>4.2933412480992894</v>
      </c>
      <c r="N633" s="10">
        <f t="shared" si="82"/>
        <v>2.9545467240956045</v>
      </c>
    </row>
    <row r="634" spans="3:14">
      <c r="C634" s="4">
        <f>Pressure!AB634*1000000</f>
        <v>6248474.7580303857</v>
      </c>
      <c r="D634" s="84">
        <f>Pressure!I634</f>
        <v>2.214727558899525E-4</v>
      </c>
      <c r="E634" s="40">
        <f>Pressure!H634</f>
        <v>221.47275588995251</v>
      </c>
      <c r="F634" s="10">
        <f t="shared" si="78"/>
        <v>8</v>
      </c>
      <c r="G634" s="4">
        <f t="shared" si="77"/>
        <v>125898.54113792014</v>
      </c>
      <c r="H634" s="45">
        <f t="shared" si="79"/>
        <v>9.5137701003940922</v>
      </c>
      <c r="I634" s="10">
        <f t="shared" si="80"/>
        <v>1.3843346754261432</v>
      </c>
      <c r="J634" s="4">
        <f t="shared" si="81"/>
        <v>1915.7349701341673</v>
      </c>
      <c r="K634" s="4">
        <f t="shared" si="75"/>
        <v>430.67644668274073</v>
      </c>
      <c r="L634" s="45">
        <f>Pressure!Q634</f>
        <v>1.4173413245661335</v>
      </c>
      <c r="M634" s="10">
        <f t="shared" si="76"/>
        <v>4.2918224627974562</v>
      </c>
      <c r="N634" s="10">
        <f t="shared" si="82"/>
        <v>2.9545467240956045</v>
      </c>
    </row>
    <row r="635" spans="3:14">
      <c r="C635" s="4">
        <f>Pressure!AB635*1000000</f>
        <v>6246677.2993292324</v>
      </c>
      <c r="D635" s="84">
        <f>Pressure!I635</f>
        <v>2.214727558899525E-4</v>
      </c>
      <c r="E635" s="40">
        <f>Pressure!H635</f>
        <v>221.47275588995251</v>
      </c>
      <c r="F635" s="10">
        <f t="shared" si="78"/>
        <v>8</v>
      </c>
      <c r="G635" s="4">
        <f t="shared" si="77"/>
        <v>125862.32471119295</v>
      </c>
      <c r="H635" s="45">
        <f t="shared" si="79"/>
        <v>9.5116087040746446</v>
      </c>
      <c r="I635" s="10">
        <f t="shared" si="80"/>
        <v>1.3842974664953471</v>
      </c>
      <c r="J635" s="4">
        <f t="shared" si="81"/>
        <v>1915.1324055327655</v>
      </c>
      <c r="K635" s="4">
        <f t="shared" si="75"/>
        <v>430.54098411329647</v>
      </c>
      <c r="L635" s="45">
        <f>Pressure!Q635</f>
        <v>1.41958118019477</v>
      </c>
      <c r="M635" s="10">
        <f t="shared" si="76"/>
        <v>4.2902949269737372</v>
      </c>
      <c r="N635" s="10">
        <f t="shared" si="82"/>
        <v>2.9545467240956045</v>
      </c>
    </row>
    <row r="636" spans="3:14">
      <c r="C636" s="4">
        <f>Pressure!AB636*1000000</f>
        <v>6244869.4935182398</v>
      </c>
      <c r="D636" s="84">
        <f>Pressure!I636</f>
        <v>2.214727558899525E-4</v>
      </c>
      <c r="E636" s="40">
        <f>Pressure!H636</f>
        <v>221.47275588995251</v>
      </c>
      <c r="F636" s="10">
        <f t="shared" si="78"/>
        <v>8</v>
      </c>
      <c r="G636" s="4">
        <f t="shared" si="77"/>
        <v>125825.89980382302</v>
      </c>
      <c r="H636" s="45">
        <f t="shared" si="79"/>
        <v>9.5094347566326665</v>
      </c>
      <c r="I636" s="10">
        <f t="shared" si="80"/>
        <v>1.3842600217655598</v>
      </c>
      <c r="J636" s="4">
        <f t="shared" si="81"/>
        <v>1914.5263722552197</v>
      </c>
      <c r="K636" s="4">
        <f t="shared" si="75"/>
        <v>430.40474175064514</v>
      </c>
      <c r="L636" s="45">
        <f>Pressure!Q636</f>
        <v>1.4218209403871915</v>
      </c>
      <c r="M636" s="10">
        <f t="shared" si="76"/>
        <v>4.2887586405236631</v>
      </c>
      <c r="N636" s="10">
        <f t="shared" si="82"/>
        <v>2.9545467240956045</v>
      </c>
    </row>
    <row r="637" spans="3:14">
      <c r="C637" s="4">
        <f>Pressure!AB637*1000000</f>
        <v>6243051.3390216259</v>
      </c>
      <c r="D637" s="84">
        <f>Pressure!I637</f>
        <v>2.214727558899525E-4</v>
      </c>
      <c r="E637" s="40">
        <f>Pressure!H637</f>
        <v>221.47275588995251</v>
      </c>
      <c r="F637" s="10">
        <f t="shared" si="78"/>
        <v>8</v>
      </c>
      <c r="G637" s="4">
        <f t="shared" si="77"/>
        <v>125789.26638406041</v>
      </c>
      <c r="H637" s="45">
        <f t="shared" si="79"/>
        <v>9.5072482542569254</v>
      </c>
      <c r="I637" s="10">
        <f t="shared" si="80"/>
        <v>1.3842223408130918</v>
      </c>
      <c r="J637" s="4">
        <f t="shared" si="81"/>
        <v>1913.9168697732787</v>
      </c>
      <c r="K637" s="4">
        <f t="shared" si="75"/>
        <v>430.26771947603044</v>
      </c>
      <c r="L637" s="45">
        <f>Pressure!Q637</f>
        <v>1.4240606045704178</v>
      </c>
      <c r="M637" s="10">
        <f t="shared" si="76"/>
        <v>4.2872136033429982</v>
      </c>
      <c r="N637" s="10">
        <f t="shared" si="82"/>
        <v>2.9545467240956045</v>
      </c>
    </row>
    <row r="638" spans="3:14">
      <c r="C638" s="4">
        <f>Pressure!AB638*1000000</f>
        <v>6241222.8342537209</v>
      </c>
      <c r="D638" s="84">
        <f>Pressure!I638</f>
        <v>2.214727558899525E-4</v>
      </c>
      <c r="E638" s="40">
        <f>Pressure!H638</f>
        <v>221.47275588995251</v>
      </c>
      <c r="F638" s="10">
        <f t="shared" si="78"/>
        <v>8</v>
      </c>
      <c r="G638" s="4">
        <f t="shared" si="77"/>
        <v>125752.42441995595</v>
      </c>
      <c r="H638" s="45">
        <f t="shared" si="79"/>
        <v>9.5050491931118071</v>
      </c>
      <c r="I638" s="10">
        <f t="shared" si="80"/>
        <v>1.3841844232111686</v>
      </c>
      <c r="J638" s="4">
        <f t="shared" si="81"/>
        <v>1913.3038975553759</v>
      </c>
      <c r="K638" s="4">
        <f t="shared" si="75"/>
        <v>430.129917169951</v>
      </c>
      <c r="L638" s="45">
        <f>Pressure!Q638</f>
        <v>1.4263001721709656</v>
      </c>
      <c r="M638" s="10">
        <f t="shared" si="76"/>
        <v>4.2856598153264267</v>
      </c>
      <c r="N638" s="10">
        <f t="shared" si="82"/>
        <v>2.9545467240956045</v>
      </c>
    </row>
    <row r="639" spans="3:14">
      <c r="C639" s="4">
        <f>Pressure!AB639*1000000</f>
        <v>6239383.9776186869</v>
      </c>
      <c r="D639" s="84">
        <f>Pressure!I639</f>
        <v>2.214727558899525E-4</v>
      </c>
      <c r="E639" s="40">
        <f>Pressure!H639</f>
        <v>221.47275588995251</v>
      </c>
      <c r="F639" s="10">
        <f t="shared" si="78"/>
        <v>8</v>
      </c>
      <c r="G639" s="4">
        <f t="shared" si="77"/>
        <v>125715.37387935561</v>
      </c>
      <c r="H639" s="45">
        <f t="shared" si="79"/>
        <v>9.5028375693369505</v>
      </c>
      <c r="I639" s="10">
        <f t="shared" si="80"/>
        <v>1.3841462685299115</v>
      </c>
      <c r="J639" s="4">
        <f t="shared" si="81"/>
        <v>1912.6874550665368</v>
      </c>
      <c r="K639" s="4">
        <f t="shared" si="75"/>
        <v>429.99133471213901</v>
      </c>
      <c r="L639" s="45">
        <f>Pressure!Q639</f>
        <v>1.4285396426148456</v>
      </c>
      <c r="M639" s="10">
        <f t="shared" si="76"/>
        <v>4.2840972763685299</v>
      </c>
      <c r="N639" s="10">
        <f t="shared" si="82"/>
        <v>2.9545467240956045</v>
      </c>
    </row>
    <row r="640" spans="3:14">
      <c r="C640" s="4">
        <f>Pressure!AB640*1000000</f>
        <v>6237534.7675106246</v>
      </c>
      <c r="D640" s="84">
        <f>Pressure!I640</f>
        <v>2.214727558899525E-4</v>
      </c>
      <c r="E640" s="40">
        <f>Pressure!H640</f>
        <v>221.47275588995251</v>
      </c>
      <c r="F640" s="10">
        <f t="shared" si="78"/>
        <v>8</v>
      </c>
      <c r="G640" s="4">
        <f t="shared" si="77"/>
        <v>125678.11472990265</v>
      </c>
      <c r="H640" s="45">
        <f t="shared" si="79"/>
        <v>9.5006133790473122</v>
      </c>
      <c r="I640" s="10">
        <f t="shared" si="80"/>
        <v>1.3841078763363279</v>
      </c>
      <c r="J640" s="4">
        <f t="shared" si="81"/>
        <v>1912.0675417684133</v>
      </c>
      <c r="K640" s="4">
        <f t="shared" si="75"/>
        <v>429.85197198156857</v>
      </c>
      <c r="L640" s="45">
        <f>Pressure!Q640</f>
        <v>1.4307790153275584</v>
      </c>
      <c r="M640" s="10">
        <f t="shared" si="76"/>
        <v>4.2825259863620504</v>
      </c>
      <c r="N640" s="10">
        <f t="shared" si="82"/>
        <v>2.9545467240956045</v>
      </c>
    </row>
    <row r="641" spans="3:14">
      <c r="C641" s="4">
        <f>Pressure!AB641*1000000</f>
        <v>6235675.2023134995</v>
      </c>
      <c r="D641" s="84">
        <f>Pressure!I641</f>
        <v>2.214727558899525E-4</v>
      </c>
      <c r="E641" s="40">
        <f>Pressure!H641</f>
        <v>221.47275588995251</v>
      </c>
      <c r="F641" s="10">
        <f t="shared" si="78"/>
        <v>8</v>
      </c>
      <c r="G641" s="4">
        <f t="shared" si="77"/>
        <v>125640.64693903609</v>
      </c>
      <c r="H641" s="45">
        <f t="shared" si="79"/>
        <v>9.4983766183330811</v>
      </c>
      <c r="I641" s="10">
        <f t="shared" si="80"/>
        <v>1.3840692461942967</v>
      </c>
      <c r="J641" s="4">
        <f t="shared" si="81"/>
        <v>1911.4441571192597</v>
      </c>
      <c r="K641" s="4">
        <f t="shared" si="75"/>
        <v>429.71182885644976</v>
      </c>
      <c r="L641" s="45">
        <f>Pressure!Q641</f>
        <v>1.4330182897340915</v>
      </c>
      <c r="M641" s="10">
        <f t="shared" si="76"/>
        <v>4.2809459451996323</v>
      </c>
      <c r="N641" s="10">
        <f t="shared" si="82"/>
        <v>2.9545467240956045</v>
      </c>
    </row>
    <row r="642" spans="3:14">
      <c r="C642" s="4">
        <f>Pressure!AB642*1000000</f>
        <v>6233805.2804010827</v>
      </c>
      <c r="D642" s="84">
        <f>Pressure!I642</f>
        <v>2.214727558899525E-4</v>
      </c>
      <c r="E642" s="40">
        <f>Pressure!H642</f>
        <v>221.47275588995251</v>
      </c>
      <c r="F642" s="10">
        <f t="shared" si="78"/>
        <v>8</v>
      </c>
      <c r="G642" s="4">
        <f t="shared" si="77"/>
        <v>125602.97047398954</v>
      </c>
      <c r="H642" s="45">
        <f t="shared" si="79"/>
        <v>9.4961272832595665</v>
      </c>
      <c r="I642" s="10">
        <f t="shared" si="80"/>
        <v>1.3840303776645544</v>
      </c>
      <c r="J642" s="4">
        <f t="shared" si="81"/>
        <v>1910.8173005739129</v>
      </c>
      <c r="K642" s="4">
        <f t="shared" si="75"/>
        <v>429.57090521422441</v>
      </c>
      <c r="L642" s="45">
        <f>Pressure!Q642</f>
        <v>1.4352574652589163</v>
      </c>
      <c r="M642" s="10">
        <f t="shared" si="76"/>
        <v>4.2793571527738132</v>
      </c>
      <c r="N642" s="10">
        <f t="shared" si="82"/>
        <v>2.9545467240956045</v>
      </c>
    </row>
    <row r="643" spans="3:14">
      <c r="C643" s="4">
        <f>Pressure!AB643*1000000</f>
        <v>6231925.0001370944</v>
      </c>
      <c r="D643" s="84">
        <f>Pressure!I643</f>
        <v>2.214727558899525E-4</v>
      </c>
      <c r="E643" s="40">
        <f>Pressure!H643</f>
        <v>221.47275588995251</v>
      </c>
      <c r="F643" s="10">
        <f t="shared" si="78"/>
        <v>8</v>
      </c>
      <c r="G643" s="4">
        <f t="shared" si="77"/>
        <v>125565.08530179416</v>
      </c>
      <c r="H643" s="45">
        <f t="shared" si="79"/>
        <v>9.4938653698673328</v>
      </c>
      <c r="I643" s="10">
        <f t="shared" si="80"/>
        <v>1.3839912703046853</v>
      </c>
      <c r="J643" s="4">
        <f t="shared" si="81"/>
        <v>1910.1869715838409</v>
      </c>
      <c r="K643" s="4">
        <f t="shared" si="75"/>
        <v>429.42920093157704</v>
      </c>
      <c r="L643" s="45">
        <f>Pressure!Q643</f>
        <v>1.4374965413259837</v>
      </c>
      <c r="M643" s="10">
        <f t="shared" si="76"/>
        <v>4.2777596089753844</v>
      </c>
      <c r="N643" s="10">
        <f t="shared" si="82"/>
        <v>2.9545467240956045</v>
      </c>
    </row>
    <row r="644" spans="3:14">
      <c r="C644" s="4">
        <f>Pressure!AB644*1000000</f>
        <v>6230034.3598748762</v>
      </c>
      <c r="D644" s="84">
        <f>Pressure!I644</f>
        <v>2.214727558899525E-4</v>
      </c>
      <c r="E644" s="40">
        <f>Pressure!H644</f>
        <v>221.47275588995251</v>
      </c>
      <c r="F644" s="10">
        <f t="shared" si="78"/>
        <v>8</v>
      </c>
      <c r="G644" s="4">
        <f t="shared" si="77"/>
        <v>125526.99138927191</v>
      </c>
      <c r="H644" s="45">
        <f t="shared" si="79"/>
        <v>9.4915908741717914</v>
      </c>
      <c r="I644" s="10">
        <f t="shared" si="80"/>
        <v>1.3839519236691014</v>
      </c>
      <c r="J644" s="4">
        <f t="shared" si="81"/>
        <v>1909.5531695970321</v>
      </c>
      <c r="K644" s="4">
        <f t="shared" si="75"/>
        <v>429.28671588440989</v>
      </c>
      <c r="L644" s="45">
        <f>Pressure!Q644</f>
        <v>1.4397355173587216</v>
      </c>
      <c r="M644" s="10">
        <f t="shared" si="76"/>
        <v>4.276153313695481</v>
      </c>
      <c r="N644" s="10">
        <f t="shared" si="82"/>
        <v>2.9545467240956045</v>
      </c>
    </row>
    <row r="645" spans="3:14">
      <c r="C645" s="4">
        <f>Pressure!AB645*1000000</f>
        <v>6228133.3579576919</v>
      </c>
      <c r="D645" s="84">
        <f>Pressure!I645</f>
        <v>2.214727558899525E-4</v>
      </c>
      <c r="E645" s="40">
        <f>Pressure!H645</f>
        <v>221.47275588995251</v>
      </c>
      <c r="F645" s="10">
        <f t="shared" si="78"/>
        <v>8</v>
      </c>
      <c r="G645" s="4">
        <f t="shared" si="77"/>
        <v>125488.68870304174</v>
      </c>
      <c r="H645" s="45">
        <f t="shared" si="79"/>
        <v>9.4893037921634935</v>
      </c>
      <c r="I645" s="10">
        <f t="shared" si="80"/>
        <v>1.3839123373090358</v>
      </c>
      <c r="J645" s="4">
        <f t="shared" si="81"/>
        <v>1908.9158940580962</v>
      </c>
      <c r="K645" s="4">
        <f t="shared" si="75"/>
        <v>429.14344994786569</v>
      </c>
      <c r="L645" s="45">
        <f>Pressure!Q645</f>
        <v>1.441974392780031</v>
      </c>
      <c r="M645" s="10">
        <f t="shared" si="76"/>
        <v>4.2745382668239031</v>
      </c>
      <c r="N645" s="10">
        <f t="shared" si="82"/>
        <v>2.9545467240956045</v>
      </c>
    </row>
    <row r="646" spans="3:14">
      <c r="C646" s="4">
        <f>Pressure!AB646*1000000</f>
        <v>6226221.9927186677</v>
      </c>
      <c r="D646" s="84">
        <f>Pressure!I646</f>
        <v>2.214727558899525E-4</v>
      </c>
      <c r="E646" s="40">
        <f>Pressure!H646</f>
        <v>221.47275588995251</v>
      </c>
      <c r="F646" s="10">
        <f t="shared" si="78"/>
        <v>8</v>
      </c>
      <c r="G646" s="4">
        <f t="shared" si="77"/>
        <v>125450.17720951837</v>
      </c>
      <c r="H646" s="45">
        <f t="shared" si="79"/>
        <v>9.4870041198080912</v>
      </c>
      <c r="I646" s="10">
        <f t="shared" si="80"/>
        <v>1.3838725107725278</v>
      </c>
      <c r="J646" s="4">
        <f t="shared" si="81"/>
        <v>1908.2751444082448</v>
      </c>
      <c r="K646" s="4">
        <f t="shared" si="75"/>
        <v>428.99940299632323</v>
      </c>
      <c r="L646" s="45">
        <f>Pressure!Q646</f>
        <v>1.4442131670122824</v>
      </c>
      <c r="M646" s="10">
        <f t="shared" si="76"/>
        <v>4.272914468249672</v>
      </c>
      <c r="N646" s="10">
        <f t="shared" si="82"/>
        <v>2.9545467240956045</v>
      </c>
    </row>
    <row r="647" spans="3:14">
      <c r="C647" s="4">
        <f>Pressure!AB647*1000000</f>
        <v>6224300.262480624</v>
      </c>
      <c r="D647" s="84">
        <f>Pressure!I647</f>
        <v>2.214727558899525E-4</v>
      </c>
      <c r="E647" s="40">
        <f>Pressure!H647</f>
        <v>221.47275588995251</v>
      </c>
      <c r="F647" s="10">
        <f t="shared" si="78"/>
        <v>8</v>
      </c>
      <c r="G647" s="4">
        <f t="shared" si="77"/>
        <v>125411.45687490881</v>
      </c>
      <c r="H647" s="45">
        <f t="shared" si="79"/>
        <v>9.4846918530460336</v>
      </c>
      <c r="I647" s="10">
        <f t="shared" si="80"/>
        <v>1.3838324436044063</v>
      </c>
      <c r="J647" s="4">
        <f t="shared" si="81"/>
        <v>1907.6309200852347</v>
      </c>
      <c r="K647" s="4">
        <f t="shared" si="75"/>
        <v>428.85457490338445</v>
      </c>
      <c r="L647" s="45">
        <f>Pressure!Q647</f>
        <v>1.4464518394773125</v>
      </c>
      <c r="M647" s="10">
        <f t="shared" si="76"/>
        <v>4.2712819178614003</v>
      </c>
      <c r="N647" s="10">
        <f t="shared" si="82"/>
        <v>2.9545467240956045</v>
      </c>
    </row>
    <row r="648" spans="3:14">
      <c r="C648" s="4">
        <f>Pressure!AB648*1000000</f>
        <v>6222368.1655561365</v>
      </c>
      <c r="D648" s="84">
        <f>Pressure!I648</f>
        <v>2.214727558899525E-4</v>
      </c>
      <c r="E648" s="40">
        <f>Pressure!H648</f>
        <v>221.47275588995251</v>
      </c>
      <c r="F648" s="10">
        <f t="shared" si="78"/>
        <v>8</v>
      </c>
      <c r="G648" s="4">
        <f t="shared" si="77"/>
        <v>125372.52766521368</v>
      </c>
      <c r="H648" s="45">
        <f t="shared" si="79"/>
        <v>9.4823669877926609</v>
      </c>
      <c r="I648" s="10">
        <f t="shared" si="80"/>
        <v>1.3837921353462774</v>
      </c>
      <c r="J648" s="4">
        <f t="shared" si="81"/>
        <v>1906.9832205233884</v>
      </c>
      <c r="K648" s="4">
        <f t="shared" si="75"/>
        <v>428.70896554187948</v>
      </c>
      <c r="L648" s="45">
        <f>Pressure!Q648</f>
        <v>1.4486904095964206</v>
      </c>
      <c r="M648" s="10">
        <f t="shared" si="76"/>
        <v>4.2696406155468587</v>
      </c>
      <c r="N648" s="10">
        <f t="shared" si="82"/>
        <v>2.9545467240956045</v>
      </c>
    </row>
    <row r="649" spans="3:14">
      <c r="C649" s="4">
        <f>Pressure!AB649*1000000</f>
        <v>6220425.7002475029</v>
      </c>
      <c r="D649" s="84">
        <f>Pressure!I649</f>
        <v>2.214727558899525E-4</v>
      </c>
      <c r="E649" s="40">
        <f>Pressure!H649</f>
        <v>221.47275588995251</v>
      </c>
      <c r="F649" s="10">
        <f t="shared" si="78"/>
        <v>8</v>
      </c>
      <c r="G649" s="4">
        <f t="shared" si="77"/>
        <v>125333.38954622654</v>
      </c>
      <c r="H649" s="45">
        <f t="shared" si="79"/>
        <v>9.4800295199381104</v>
      </c>
      <c r="I649" s="10">
        <f t="shared" si="80"/>
        <v>1.383751585536511</v>
      </c>
      <c r="J649" s="4">
        <f t="shared" si="81"/>
        <v>1906.3320451535831</v>
      </c>
      <c r="K649" s="4">
        <f t="shared" si="75"/>
        <v>428.56257478386385</v>
      </c>
      <c r="L649" s="45">
        <f>Pressure!Q649</f>
        <v>1.4509288767903654</v>
      </c>
      <c r="M649" s="10">
        <f t="shared" si="76"/>
        <v>4.2679905611934501</v>
      </c>
      <c r="N649" s="10">
        <f t="shared" si="82"/>
        <v>2.9545467240956045</v>
      </c>
    </row>
    <row r="650" spans="3:14">
      <c r="C650" s="4">
        <f>Pressure!AB650*1000000</f>
        <v>6218472.8648468088</v>
      </c>
      <c r="D650" s="84">
        <f>Pressure!I650</f>
        <v>2.214727558899525E-4</v>
      </c>
      <c r="E650" s="40">
        <f>Pressure!H650</f>
        <v>221.47275588995251</v>
      </c>
      <c r="F650" s="10">
        <f t="shared" si="78"/>
        <v>8</v>
      </c>
      <c r="G650" s="4">
        <f t="shared" si="77"/>
        <v>125294.04248353513</v>
      </c>
      <c r="H650" s="45">
        <f t="shared" si="79"/>
        <v>9.4776794453473627</v>
      </c>
      <c r="I650" s="10">
        <f t="shared" si="80"/>
        <v>1.3837107937102264</v>
      </c>
      <c r="J650" s="4">
        <f t="shared" si="81"/>
        <v>1905.6773934032713</v>
      </c>
      <c r="K650" s="4">
        <f t="shared" si="75"/>
        <v>428.41540250062303</v>
      </c>
      <c r="L650" s="45">
        <f>Pressure!Q650</f>
        <v>1.4531672404793612</v>
      </c>
      <c r="M650" s="10">
        <f t="shared" si="76"/>
        <v>4.2663317546874078</v>
      </c>
      <c r="N650" s="10">
        <f t="shared" si="82"/>
        <v>2.9545467240956045</v>
      </c>
    </row>
    <row r="651" spans="3:14">
      <c r="C651" s="4">
        <f>Pressure!AB651*1000000</f>
        <v>6216509.6576357204</v>
      </c>
      <c r="D651" s="84">
        <f>Pressure!I651</f>
        <v>2.214727558899525E-4</v>
      </c>
      <c r="E651" s="40">
        <f>Pressure!H651</f>
        <v>221.47275588995251</v>
      </c>
      <c r="F651" s="10">
        <f t="shared" si="78"/>
        <v>8</v>
      </c>
      <c r="G651" s="4">
        <f t="shared" si="77"/>
        <v>125254.48644251731</v>
      </c>
      <c r="H651" s="45">
        <f t="shared" si="79"/>
        <v>9.4753167598599664</v>
      </c>
      <c r="I651" s="10">
        <f t="shared" si="80"/>
        <v>1.3836697593992764</v>
      </c>
      <c r="J651" s="4">
        <f t="shared" si="81"/>
        <v>1905.0192646964144</v>
      </c>
      <c r="K651" s="4">
        <f t="shared" si="75"/>
        <v>428.26744856265782</v>
      </c>
      <c r="L651" s="45">
        <f>Pressure!Q651</f>
        <v>1.4554055000830746</v>
      </c>
      <c r="M651" s="10">
        <f t="shared" si="76"/>
        <v>4.2646641959150475</v>
      </c>
      <c r="N651" s="10">
        <f t="shared" si="82"/>
        <v>2.9545467240956045</v>
      </c>
    </row>
    <row r="652" spans="3:14">
      <c r="C652" s="4">
        <f>Pressure!AB652*1000000</f>
        <v>6214536.0768857263</v>
      </c>
      <c r="D652" s="84">
        <f>Pressure!I652</f>
        <v>2.214727558899525E-4</v>
      </c>
      <c r="E652" s="40">
        <f>Pressure!H652</f>
        <v>221.47275588995251</v>
      </c>
      <c r="F652" s="10">
        <f t="shared" si="78"/>
        <v>8</v>
      </c>
      <c r="G652" s="4">
        <f t="shared" si="77"/>
        <v>125214.72138834585</v>
      </c>
      <c r="H652" s="45">
        <f t="shared" si="79"/>
        <v>9.4729414592902845</v>
      </c>
      <c r="I652" s="10">
        <f t="shared" si="80"/>
        <v>1.3836284821322373</v>
      </c>
      <c r="J652" s="4">
        <f t="shared" si="81"/>
        <v>1904.3576584535606</v>
      </c>
      <c r="K652" s="4">
        <f t="shared" si="75"/>
        <v>428.11871283970157</v>
      </c>
      <c r="L652" s="45">
        <f>Pressure!Q652</f>
        <v>1.4576436550206207</v>
      </c>
      <c r="M652" s="10">
        <f t="shared" si="76"/>
        <v>4.262987884761122</v>
      </c>
      <c r="N652" s="10">
        <f t="shared" si="82"/>
        <v>2.9545467240956045</v>
      </c>
    </row>
    <row r="653" spans="3:14">
      <c r="C653" s="4">
        <f>Pressure!AB653*1000000</f>
        <v>6212552.1208579931</v>
      </c>
      <c r="D653" s="84">
        <f>Pressure!I653</f>
        <v>2.214727558899525E-4</v>
      </c>
      <c r="E653" s="40">
        <f>Pressure!H653</f>
        <v>221.47275588995251</v>
      </c>
      <c r="F653" s="10">
        <f t="shared" si="78"/>
        <v>8</v>
      </c>
      <c r="G653" s="4">
        <f t="shared" si="77"/>
        <v>125174.74728598552</v>
      </c>
      <c r="H653" s="45">
        <f t="shared" si="79"/>
        <v>9.4705535394273035</v>
      </c>
      <c r="I653" s="10">
        <f t="shared" si="80"/>
        <v>1.3835869614343919</v>
      </c>
      <c r="J653" s="4">
        <f t="shared" si="81"/>
        <v>1903.6925740917986</v>
      </c>
      <c r="K653" s="4">
        <f t="shared" si="75"/>
        <v>427.96919520071009</v>
      </c>
      <c r="L653" s="45">
        <f>Pressure!Q653</f>
        <v>1.4598817047105597</v>
      </c>
      <c r="M653" s="10">
        <f t="shared" si="76"/>
        <v>4.2613028211101662</v>
      </c>
      <c r="N653" s="10">
        <f t="shared" si="82"/>
        <v>2.9545467240956045</v>
      </c>
    </row>
    <row r="654" spans="3:14">
      <c r="C654" s="4">
        <f>Pressure!AB654*1000000</f>
        <v>6210557.7878030874</v>
      </c>
      <c r="D654" s="84">
        <f>Pressure!I654</f>
        <v>2.214727558899525E-4</v>
      </c>
      <c r="E654" s="40">
        <f>Pressure!H654</f>
        <v>221.47275588995251</v>
      </c>
      <c r="F654" s="10">
        <f t="shared" si="78"/>
        <v>8</v>
      </c>
      <c r="G654" s="4">
        <f t="shared" si="77"/>
        <v>125134.56410018756</v>
      </c>
      <c r="H654" s="45">
        <f t="shared" si="79"/>
        <v>9.468152996034279</v>
      </c>
      <c r="I654" s="10">
        <f t="shared" si="80"/>
        <v>1.383545196827709</v>
      </c>
      <c r="J654" s="4">
        <f t="shared" si="81"/>
        <v>1903.0240110246634</v>
      </c>
      <c r="K654" s="4">
        <f t="shared" si="75"/>
        <v>427.81889551384006</v>
      </c>
      <c r="L654" s="45">
        <f>Pressure!Q654</f>
        <v>1.4621196485708936</v>
      </c>
      <c r="M654" s="10">
        <f t="shared" si="76"/>
        <v>4.2596090048463751</v>
      </c>
      <c r="N654" s="10">
        <f t="shared" si="82"/>
        <v>2.9545467240956045</v>
      </c>
    </row>
    <row r="655" spans="3:14">
      <c r="C655" s="4">
        <f>Pressure!AB655*1000000</f>
        <v>6208553.0759615116</v>
      </c>
      <c r="D655" s="84">
        <f>Pressure!I655</f>
        <v>2.214727558899525E-4</v>
      </c>
      <c r="E655" s="40">
        <f>Pressure!H655</f>
        <v>221.47275588995251</v>
      </c>
      <c r="F655" s="10">
        <f t="shared" si="78"/>
        <v>8</v>
      </c>
      <c r="G655" s="4">
        <f t="shared" si="77"/>
        <v>125094.17179550041</v>
      </c>
      <c r="H655" s="45">
        <f t="shared" si="79"/>
        <v>9.465739824849285</v>
      </c>
      <c r="I655" s="10">
        <f t="shared" si="80"/>
        <v>1.3835031878308419</v>
      </c>
      <c r="J655" s="4">
        <f t="shared" si="81"/>
        <v>1902.3519686623163</v>
      </c>
      <c r="K655" s="4">
        <f t="shared" ref="K655:K718" si="83">J655/4.4482</f>
        <v>427.66781364648989</v>
      </c>
      <c r="L655" s="45">
        <f>Pressure!Q655</f>
        <v>1.4643574860190622</v>
      </c>
      <c r="M655" s="10">
        <f t="shared" ref="M655:M718" si="84">(J655+J654)/2*(L655-L654)</f>
        <v>4.2579064358524628</v>
      </c>
      <c r="N655" s="10">
        <f t="shared" si="82"/>
        <v>2.9545467240956045</v>
      </c>
    </row>
    <row r="656" spans="3:14">
      <c r="C656" s="4">
        <f>Pressure!AB656*1000000</f>
        <v>6206537.9835632453</v>
      </c>
      <c r="D656" s="84">
        <f>Pressure!I656</f>
        <v>2.214727558899525E-4</v>
      </c>
      <c r="E656" s="40">
        <f>Pressure!H656</f>
        <v>221.47275588995251</v>
      </c>
      <c r="F656" s="10">
        <f t="shared" si="78"/>
        <v>8</v>
      </c>
      <c r="G656" s="4">
        <f t="shared" si="77"/>
        <v>125053.5703362605</v>
      </c>
      <c r="H656" s="45">
        <f t="shared" si="79"/>
        <v>9.4633140215847078</v>
      </c>
      <c r="I656" s="10">
        <f t="shared" si="80"/>
        <v>1.3834609339591022</v>
      </c>
      <c r="J656" s="4">
        <f t="shared" si="81"/>
        <v>1901.6764464113901</v>
      </c>
      <c r="K656" s="4">
        <f t="shared" si="83"/>
        <v>427.51594946526461</v>
      </c>
      <c r="L656" s="45">
        <f>Pressure!Q656</f>
        <v>1.4665952164719398</v>
      </c>
      <c r="M656" s="10">
        <f t="shared" si="84"/>
        <v>4.2561951140109997</v>
      </c>
      <c r="N656" s="10">
        <f t="shared" si="82"/>
        <v>2.9545467240956045</v>
      </c>
    </row>
    <row r="657" spans="3:14">
      <c r="C657" s="4">
        <f>Pressure!AB657*1000000</f>
        <v>6204512.5088278707</v>
      </c>
      <c r="D657" s="84">
        <f>Pressure!I657</f>
        <v>2.214727558899525E-4</v>
      </c>
      <c r="E657" s="40">
        <f>Pressure!H657</f>
        <v>221.47275588995251</v>
      </c>
      <c r="F657" s="10">
        <f t="shared" si="78"/>
        <v>8</v>
      </c>
      <c r="G657" s="4">
        <f t="shared" si="77"/>
        <v>125012.75968659473</v>
      </c>
      <c r="H657" s="45">
        <f t="shared" si="79"/>
        <v>9.4608755819273043</v>
      </c>
      <c r="I657" s="10">
        <f t="shared" si="80"/>
        <v>1.38341843472445</v>
      </c>
      <c r="J657" s="4">
        <f t="shared" si="81"/>
        <v>1900.9974436750338</v>
      </c>
      <c r="K657" s="4">
        <f t="shared" si="83"/>
        <v>427.36330283598619</v>
      </c>
      <c r="L657" s="45">
        <f>Pressure!Q657</f>
        <v>1.4688328393458314</v>
      </c>
      <c r="M657" s="10">
        <f t="shared" si="84"/>
        <v>4.2544750392039061</v>
      </c>
      <c r="N657" s="10">
        <f t="shared" si="82"/>
        <v>2.9545467240956045</v>
      </c>
    </row>
    <row r="658" spans="3:14">
      <c r="C658" s="4">
        <f>Pressure!AB658*1000000</f>
        <v>6202476.6499645831</v>
      </c>
      <c r="D658" s="84">
        <f>Pressure!I658</f>
        <v>2.214727558899525E-4</v>
      </c>
      <c r="E658" s="40">
        <f>Pressure!H658</f>
        <v>221.47275588995251</v>
      </c>
      <c r="F658" s="10">
        <f t="shared" si="78"/>
        <v>8</v>
      </c>
      <c r="G658" s="4">
        <f t="shared" si="77"/>
        <v>124971.73981042075</v>
      </c>
      <c r="H658" s="45">
        <f t="shared" si="79"/>
        <v>9.4584245015382145</v>
      </c>
      <c r="I658" s="10">
        <f t="shared" si="80"/>
        <v>1.3833756896354779</v>
      </c>
      <c r="J658" s="4">
        <f t="shared" si="81"/>
        <v>1900.314959852913</v>
      </c>
      <c r="K658" s="4">
        <f t="shared" si="83"/>
        <v>427.2098736236934</v>
      </c>
      <c r="L658" s="45">
        <f>Pressure!Q658</f>
        <v>1.4710703540564696</v>
      </c>
      <c r="M658" s="10">
        <f t="shared" si="84"/>
        <v>4.2527462113125329</v>
      </c>
      <c r="N658" s="10">
        <f t="shared" si="82"/>
        <v>2.9545467240956045</v>
      </c>
    </row>
    <row r="659" spans="3:14">
      <c r="C659" s="4">
        <f>Pressure!AB659*1000000</f>
        <v>6200430.4051719755</v>
      </c>
      <c r="D659" s="84">
        <f>Pressure!I659</f>
        <v>2.214727558899525E-4</v>
      </c>
      <c r="E659" s="40">
        <f>Pressure!H659</f>
        <v>221.47275588995251</v>
      </c>
      <c r="F659" s="10">
        <f t="shared" si="78"/>
        <v>8</v>
      </c>
      <c r="G659" s="4">
        <f t="shared" si="77"/>
        <v>124930.51067144259</v>
      </c>
      <c r="H659" s="45">
        <f t="shared" si="79"/>
        <v>9.4559607760526507</v>
      </c>
      <c r="I659" s="10">
        <f t="shared" si="80"/>
        <v>1.3833326981973921</v>
      </c>
      <c r="J659" s="4">
        <f t="shared" si="81"/>
        <v>1899.6289943411393</v>
      </c>
      <c r="K659" s="4">
        <f t="shared" si="83"/>
        <v>427.05566169262607</v>
      </c>
      <c r="L659" s="45">
        <f>Pressure!Q659</f>
        <v>1.4733077600190103</v>
      </c>
      <c r="M659" s="10">
        <f t="shared" si="84"/>
        <v>4.2510086302172034</v>
      </c>
      <c r="N659" s="10">
        <f t="shared" si="82"/>
        <v>2.9545467240956045</v>
      </c>
    </row>
    <row r="660" spans="3:14">
      <c r="C660" s="4">
        <f>Pressure!AB660*1000000</f>
        <v>6198373.7726384439</v>
      </c>
      <c r="D660" s="84">
        <f>Pressure!I660</f>
        <v>2.214727558899525E-4</v>
      </c>
      <c r="E660" s="40">
        <f>Pressure!H660</f>
        <v>221.47275588995251</v>
      </c>
      <c r="F660" s="10">
        <f t="shared" si="78"/>
        <v>8</v>
      </c>
      <c r="G660" s="4">
        <f t="shared" si="77"/>
        <v>124889.0722331588</v>
      </c>
      <c r="H660" s="45">
        <f t="shared" si="79"/>
        <v>9.453484401080356</v>
      </c>
      <c r="I660" s="10">
        <f t="shared" si="80"/>
        <v>1.3832894599120065</v>
      </c>
      <c r="J660" s="4">
        <f t="shared" si="81"/>
        <v>1898.9395465324069</v>
      </c>
      <c r="K660" s="4">
        <f t="shared" si="83"/>
        <v>426.90066690625576</v>
      </c>
      <c r="L660" s="45">
        <f>Pressure!Q660</f>
        <v>1.4755450566480297</v>
      </c>
      <c r="M660" s="10">
        <f t="shared" si="84"/>
        <v>4.2492622957977471</v>
      </c>
      <c r="N660" s="10">
        <f t="shared" si="82"/>
        <v>2.9545467240956045</v>
      </c>
    </row>
    <row r="661" spans="3:14">
      <c r="C661" s="4">
        <f>Pressure!AB661*1000000</f>
        <v>6196306.7505417727</v>
      </c>
      <c r="D661" s="84">
        <f>Pressure!I661</f>
        <v>2.214727558899525E-4</v>
      </c>
      <c r="E661" s="40">
        <f>Pressure!H661</f>
        <v>221.47275588995251</v>
      </c>
      <c r="F661" s="10">
        <f t="shared" si="78"/>
        <v>8</v>
      </c>
      <c r="G661" s="4">
        <f t="shared" si="77"/>
        <v>124847.42445885416</v>
      </c>
      <c r="H661" s="45">
        <f t="shared" si="79"/>
        <v>9.450995372205071</v>
      </c>
      <c r="I661" s="10">
        <f t="shared" si="80"/>
        <v>1.3832459742777181</v>
      </c>
      <c r="J661" s="4">
        <f t="shared" si="81"/>
        <v>1898.2466158158506</v>
      </c>
      <c r="K661" s="4">
        <f t="shared" si="83"/>
        <v>426.74488912725388</v>
      </c>
      <c r="L661" s="45">
        <f>Pressure!Q661</f>
        <v>1.4777822433575203</v>
      </c>
      <c r="M661" s="10">
        <f t="shared" si="84"/>
        <v>4.2475072079335296</v>
      </c>
      <c r="N661" s="10">
        <f t="shared" si="82"/>
        <v>2.9545467240956045</v>
      </c>
    </row>
    <row r="662" spans="3:14">
      <c r="C662" s="4">
        <f>Pressure!AB662*1000000</f>
        <v>6194229.3370492393</v>
      </c>
      <c r="D662" s="84">
        <f>Pressure!I662</f>
        <v>2.214727558899525E-4</v>
      </c>
      <c r="E662" s="40">
        <f>Pressure!H662</f>
        <v>221.47275588995251</v>
      </c>
      <c r="F662" s="10">
        <f t="shared" si="78"/>
        <v>8</v>
      </c>
      <c r="G662" s="4">
        <f t="shared" si="77"/>
        <v>124805.5673116017</v>
      </c>
      <c r="H662" s="45">
        <f t="shared" si="79"/>
        <v>9.4484936849846317</v>
      </c>
      <c r="I662" s="10">
        <f t="shared" si="80"/>
        <v>1.3832022407894953</v>
      </c>
      <c r="J662" s="4">
        <f t="shared" si="81"/>
        <v>1897.5502015770858</v>
      </c>
      <c r="K662" s="4">
        <f t="shared" si="83"/>
        <v>426.58832821750053</v>
      </c>
      <c r="L662" s="45">
        <f>Pressure!Q662</f>
        <v>1.4800193195608871</v>
      </c>
      <c r="M662" s="10">
        <f t="shared" si="84"/>
        <v>4.2457433665025341</v>
      </c>
      <c r="N662" s="10">
        <f t="shared" si="82"/>
        <v>2.9545467240956045</v>
      </c>
    </row>
    <row r="663" spans="3:14">
      <c r="C663" s="4">
        <f>Pressure!AB663*1000000</f>
        <v>6192141.5303176101</v>
      </c>
      <c r="D663" s="84">
        <f>Pressure!I663</f>
        <v>2.214727558899525E-4</v>
      </c>
      <c r="E663" s="40">
        <f>Pressure!H663</f>
        <v>221.47275588995251</v>
      </c>
      <c r="F663" s="10">
        <f t="shared" si="78"/>
        <v>8</v>
      </c>
      <c r="G663" s="4">
        <f t="shared" si="77"/>
        <v>124763.50075426268</v>
      </c>
      <c r="H663" s="45">
        <f t="shared" si="79"/>
        <v>9.4459793349508949</v>
      </c>
      <c r="I663" s="10">
        <f t="shared" si="80"/>
        <v>1.3831582589388607</v>
      </c>
      <c r="J663" s="4">
        <f t="shared" si="81"/>
        <v>1896.8503031982013</v>
      </c>
      <c r="K663" s="4">
        <f t="shared" si="83"/>
        <v>426.43098403808312</v>
      </c>
      <c r="L663" s="45">
        <f>Pressure!Q663</f>
        <v>1.4822562846709446</v>
      </c>
      <c r="M663" s="10">
        <f t="shared" si="84"/>
        <v>4.2439707713835437</v>
      </c>
      <c r="N663" s="10">
        <f t="shared" si="82"/>
        <v>2.9545467240956045</v>
      </c>
    </row>
    <row r="664" spans="3:14">
      <c r="C664" s="4">
        <f>Pressure!AB664*1000000</f>
        <v>6190043.3284931118</v>
      </c>
      <c r="D664" s="84">
        <f>Pressure!I664</f>
        <v>2.214727558899525E-4</v>
      </c>
      <c r="E664" s="40">
        <f>Pressure!H664</f>
        <v>221.47275588995251</v>
      </c>
      <c r="F664" s="10">
        <f t="shared" si="78"/>
        <v>8</v>
      </c>
      <c r="G664" s="4">
        <f t="shared" si="77"/>
        <v>124721.22474948603</v>
      </c>
      <c r="H664" s="45">
        <f t="shared" si="79"/>
        <v>9.4434523176097294</v>
      </c>
      <c r="I664" s="10">
        <f t="shared" si="80"/>
        <v>1.3831140282138767</v>
      </c>
      <c r="J664" s="4">
        <f t="shared" si="81"/>
        <v>1896.1469200577551</v>
      </c>
      <c r="K664" s="4">
        <f t="shared" si="83"/>
        <v>426.27285644929526</v>
      </c>
      <c r="L664" s="45">
        <f>Pressure!Q664</f>
        <v>1.4844931380999129</v>
      </c>
      <c r="M664" s="10">
        <f t="shared" si="84"/>
        <v>4.2421894224536416</v>
      </c>
      <c r="N664" s="10">
        <f t="shared" si="82"/>
        <v>2.9545467240956045</v>
      </c>
    </row>
    <row r="665" spans="3:14">
      <c r="C665" s="4">
        <f>Pressure!AB665*1000000</f>
        <v>6187934.7297114246</v>
      </c>
      <c r="D665" s="84">
        <f>Pressure!I665</f>
        <v>2.214727558899525E-4</v>
      </c>
      <c r="E665" s="40">
        <f>Pressure!H665</f>
        <v>221.47275588995251</v>
      </c>
      <c r="F665" s="10">
        <f t="shared" si="78"/>
        <v>8</v>
      </c>
      <c r="G665" s="4">
        <f t="shared" si="77"/>
        <v>124678.73925970816</v>
      </c>
      <c r="H665" s="45">
        <f t="shared" si="79"/>
        <v>9.440912628440925</v>
      </c>
      <c r="I665" s="10">
        <f t="shared" si="80"/>
        <v>1.3830695480991293</v>
      </c>
      <c r="J665" s="4">
        <f t="shared" si="81"/>
        <v>1895.4400515307684</v>
      </c>
      <c r="K665" s="4">
        <f t="shared" si="83"/>
        <v>426.11394531063542</v>
      </c>
      <c r="L665" s="45">
        <f>Pressure!Q665</f>
        <v>1.4867298792594135</v>
      </c>
      <c r="M665" s="10">
        <f t="shared" si="84"/>
        <v>4.240399319589077</v>
      </c>
      <c r="N665" s="10">
        <f t="shared" si="82"/>
        <v>2.9545467240956045</v>
      </c>
    </row>
    <row r="666" spans="3:14">
      <c r="C666" s="4">
        <f>Pressure!AB666*1000000</f>
        <v>6185815.7320976984</v>
      </c>
      <c r="D666" s="84">
        <f>Pressure!I666</f>
        <v>2.214727558899525E-4</v>
      </c>
      <c r="E666" s="40">
        <f>Pressure!H666</f>
        <v>221.47275588995251</v>
      </c>
      <c r="F666" s="10">
        <f t="shared" si="78"/>
        <v>8</v>
      </c>
      <c r="G666" s="4">
        <f t="shared" si="77"/>
        <v>124636.0442471533</v>
      </c>
      <c r="H666" s="45">
        <f t="shared" si="79"/>
        <v>9.4383602628981667</v>
      </c>
      <c r="I666" s="10">
        <f t="shared" si="80"/>
        <v>1.3830248180757119</v>
      </c>
      <c r="J666" s="4">
        <f t="shared" si="81"/>
        <v>1894.7296969887323</v>
      </c>
      <c r="K666" s="4">
        <f t="shared" si="83"/>
        <v>425.95425048080847</v>
      </c>
      <c r="L666" s="45">
        <f>Pressure!Q666</f>
        <v>1.4889665075604659</v>
      </c>
      <c r="M666" s="10">
        <f t="shared" si="84"/>
        <v>4.2386004626657314</v>
      </c>
      <c r="N666" s="10">
        <f t="shared" si="82"/>
        <v>2.9545467240956045</v>
      </c>
    </row>
    <row r="667" spans="3:14">
      <c r="C667" s="4">
        <f>Pressure!AB667*1000000</f>
        <v>6183686.3337664194</v>
      </c>
      <c r="D667" s="84">
        <f>Pressure!I667</f>
        <v>2.214727558899525E-4</v>
      </c>
      <c r="E667" s="40">
        <f>Pressure!H667</f>
        <v>221.47275588995251</v>
      </c>
      <c r="F667" s="10">
        <f t="shared" si="78"/>
        <v>8</v>
      </c>
      <c r="G667" s="4">
        <f t="shared" si="77"/>
        <v>124593.13967383082</v>
      </c>
      <c r="H667" s="45">
        <f t="shared" si="79"/>
        <v>9.4357952164088985</v>
      </c>
      <c r="I667" s="10">
        <f t="shared" si="80"/>
        <v>1.3829798376212077</v>
      </c>
      <c r="J667" s="4">
        <f t="shared" si="81"/>
        <v>1894.0158557995635</v>
      </c>
      <c r="K667" s="4">
        <f t="shared" si="83"/>
        <v>425.79377181771582</v>
      </c>
      <c r="L667" s="45">
        <f>Pressure!Q667</f>
        <v>1.4912030224134845</v>
      </c>
      <c r="M667" s="10">
        <f t="shared" si="84"/>
        <v>4.2367928515595334</v>
      </c>
      <c r="N667" s="10">
        <f t="shared" si="82"/>
        <v>2.9545467240956045</v>
      </c>
    </row>
    <row r="668" spans="3:14">
      <c r="C668" s="4">
        <f>Pressure!AB668*1000000</f>
        <v>6181546.5328215854</v>
      </c>
      <c r="D668" s="84">
        <f>Pressure!I668</f>
        <v>2.214727558899525E-4</v>
      </c>
      <c r="E668" s="40">
        <f>Pressure!H668</f>
        <v>221.47275588995251</v>
      </c>
      <c r="F668" s="10">
        <f t="shared" si="78"/>
        <v>8</v>
      </c>
      <c r="G668" s="4">
        <f t="shared" ref="G668:G731" si="85">IF(C668/(1+(k-1)/2*N668^2)^(k/(k-1))&lt;patm*1000000,patm*1000000,C668/(1+(k-1)/2*N668^2)^(k/(k-1)))</f>
        <v>124550.0255015388</v>
      </c>
      <c r="H668" s="45">
        <f t="shared" si="79"/>
        <v>9.4332174843744276</v>
      </c>
      <c r="I668" s="10">
        <f t="shared" si="80"/>
        <v>1.3829346062096777</v>
      </c>
      <c r="J668" s="4">
        <f t="shared" si="81"/>
        <v>1893.2985273276624</v>
      </c>
      <c r="K668" s="4">
        <f t="shared" si="83"/>
        <v>425.63250917846824</v>
      </c>
      <c r="L668" s="45">
        <f>Pressure!Q668</f>
        <v>1.4934394232282737</v>
      </c>
      <c r="M668" s="10">
        <f t="shared" si="84"/>
        <v>4.2349764861444124</v>
      </c>
      <c r="N668" s="10">
        <f t="shared" si="82"/>
        <v>2.9545467240956045</v>
      </c>
    </row>
    <row r="669" spans="3:14">
      <c r="C669" s="4">
        <f>Pressure!AB669*1000000</f>
        <v>6179396.3273563944</v>
      </c>
      <c r="D669" s="84">
        <f>Pressure!I669</f>
        <v>2.214727558899525E-4</v>
      </c>
      <c r="E669" s="40">
        <f>Pressure!H669</f>
        <v>221.47275588995251</v>
      </c>
      <c r="F669" s="10">
        <f t="shared" ref="F669:F732" si="86">aexit/E669</f>
        <v>8</v>
      </c>
      <c r="G669" s="4">
        <f t="shared" si="85"/>
        <v>124506.70169185764</v>
      </c>
      <c r="H669" s="45">
        <f t="shared" ref="H669:H732" si="87">1/(((k+1)/2)^(1/(k-1))*(patm*1000000/C669)^(1/k)*SQRT((k+1)/(k-1)*(1-(patm*1000000/C669)^((k-1)/k))))</f>
        <v>9.4306270621695596</v>
      </c>
      <c r="I669" s="10">
        <f t="shared" ref="I669:I732" si="88">etanoz*SQRT(2*k^2/(k-1)*(2/(k+1))^((k+1)/(k-1))*(1-(G669/C669)^((k-1)/k)))+(G669-patm*1000000)/C669*(aexit/E669)</f>
        <v>1.3828891233116369</v>
      </c>
      <c r="J669" s="4">
        <f t="shared" ref="J669:J732" si="89">I669*D669*C669</f>
        <v>1892.5777109338094</v>
      </c>
      <c r="K669" s="4">
        <f t="shared" si="83"/>
        <v>425.47046241936278</v>
      </c>
      <c r="L669" s="45">
        <f>Pressure!Q669</f>
        <v>1.4956757094140256</v>
      </c>
      <c r="M669" s="10">
        <f t="shared" si="84"/>
        <v>4.23315136629523</v>
      </c>
      <c r="N669" s="10">
        <f t="shared" si="82"/>
        <v>2.9545467240956045</v>
      </c>
    </row>
    <row r="670" spans="3:14">
      <c r="C670" s="4">
        <f>Pressure!AB670*1000000</f>
        <v>6177235.7154534841</v>
      </c>
      <c r="D670" s="84">
        <f>Pressure!I670</f>
        <v>2.214727558899525E-4</v>
      </c>
      <c r="E670" s="40">
        <f>Pressure!H670</f>
        <v>221.47275588995251</v>
      </c>
      <c r="F670" s="10">
        <f t="shared" si="86"/>
        <v>8</v>
      </c>
      <c r="G670" s="4">
        <f t="shared" si="85"/>
        <v>124463.16820615507</v>
      </c>
      <c r="H670" s="45">
        <f t="shared" si="87"/>
        <v>9.4280239451428223</v>
      </c>
      <c r="I670" s="10">
        <f t="shared" si="88"/>
        <v>1.3828433883940439</v>
      </c>
      <c r="J670" s="4">
        <f t="shared" si="89"/>
        <v>1891.8534059752442</v>
      </c>
      <c r="K670" s="4">
        <f t="shared" si="83"/>
        <v>425.30763139590039</v>
      </c>
      <c r="L670" s="45">
        <f>Pressure!Q670</f>
        <v>1.4979118803793152</v>
      </c>
      <c r="M670" s="10">
        <f t="shared" si="84"/>
        <v>4.2313174918852736</v>
      </c>
      <c r="N670" s="10">
        <f t="shared" ref="N670:N733" si="90">N669-1/834*(me-mef)</f>
        <v>2.9545467240956045</v>
      </c>
    </row>
    <row r="671" spans="3:14">
      <c r="C671" s="4">
        <f>Pressure!AB671*1000000</f>
        <v>6175064.6951848287</v>
      </c>
      <c r="D671" s="84">
        <f>Pressure!I671</f>
        <v>2.214727558899525E-4</v>
      </c>
      <c r="E671" s="40">
        <f>Pressure!H671</f>
        <v>221.47275588995251</v>
      </c>
      <c r="F671" s="10">
        <f t="shared" si="86"/>
        <v>8</v>
      </c>
      <c r="G671" s="4">
        <f t="shared" si="85"/>
        <v>124419.42500558388</v>
      </c>
      <c r="H671" s="45">
        <f t="shared" si="87"/>
        <v>9.425408128616338</v>
      </c>
      <c r="I671" s="10">
        <f t="shared" si="88"/>
        <v>1.3827974009202819</v>
      </c>
      <c r="J671" s="4">
        <f t="shared" si="89"/>
        <v>1891.1256118056322</v>
      </c>
      <c r="K671" s="4">
        <f t="shared" si="83"/>
        <v>425.14401596277867</v>
      </c>
      <c r="L671" s="45">
        <f>Pressure!Q671</f>
        <v>1.5001479355320968</v>
      </c>
      <c r="M671" s="10">
        <f t="shared" si="84"/>
        <v>4.2294748627867635</v>
      </c>
      <c r="N671" s="10">
        <f t="shared" si="90"/>
        <v>2.9545467240956045</v>
      </c>
    </row>
    <row r="672" spans="3:14">
      <c r="C672" s="4">
        <f>Pressure!AB672*1000000</f>
        <v>6172883.2646116968</v>
      </c>
      <c r="D672" s="84">
        <f>Pressure!I672</f>
        <v>2.214727558899525E-4</v>
      </c>
      <c r="E672" s="40">
        <f>Pressure!H672</f>
        <v>221.47275588995251</v>
      </c>
      <c r="F672" s="10">
        <f t="shared" si="86"/>
        <v>8</v>
      </c>
      <c r="G672" s="4">
        <f t="shared" si="85"/>
        <v>124375.47205108117</v>
      </c>
      <c r="H672" s="45">
        <f t="shared" si="87"/>
        <v>9.4227796078856834</v>
      </c>
      <c r="I672" s="10">
        <f t="shared" si="88"/>
        <v>1.3827511603501419</v>
      </c>
      <c r="J672" s="4">
        <f t="shared" si="89"/>
        <v>1890.3943277750493</v>
      </c>
      <c r="K672" s="4">
        <f t="shared" si="83"/>
        <v>424.97961597388814</v>
      </c>
      <c r="L672" s="45">
        <f>Pressure!Q672</f>
        <v>1.5023838742797007</v>
      </c>
      <c r="M672" s="10">
        <f t="shared" si="84"/>
        <v>4.2276234788725278</v>
      </c>
      <c r="N672" s="10">
        <f t="shared" si="90"/>
        <v>2.9545467240956045</v>
      </c>
    </row>
    <row r="673" spans="3:14">
      <c r="C673" s="4">
        <f>Pressure!AB673*1000000</f>
        <v>6170691.421784698</v>
      </c>
      <c r="D673" s="84">
        <f>Pressure!I673</f>
        <v>2.214727558899525E-4</v>
      </c>
      <c r="E673" s="40">
        <f>Pressure!H673</f>
        <v>221.47275588995251</v>
      </c>
      <c r="F673" s="10">
        <f t="shared" si="86"/>
        <v>8</v>
      </c>
      <c r="G673" s="4">
        <f t="shared" si="85"/>
        <v>124331.30930336933</v>
      </c>
      <c r="H673" s="45">
        <f t="shared" si="87"/>
        <v>9.4201383782199564</v>
      </c>
      <c r="I673" s="10">
        <f t="shared" si="88"/>
        <v>1.382704666139807</v>
      </c>
      <c r="J673" s="4">
        <f t="shared" si="89"/>
        <v>1889.6595532299996</v>
      </c>
      <c r="K673" s="4">
        <f t="shared" si="83"/>
        <v>424.81443128231638</v>
      </c>
      <c r="L673" s="45">
        <f>Pressure!Q673</f>
        <v>1.5046196960288289</v>
      </c>
      <c r="M673" s="10">
        <f t="shared" si="84"/>
        <v>4.2257633400139376</v>
      </c>
      <c r="N673" s="10">
        <f t="shared" si="90"/>
        <v>2.9545467240956045</v>
      </c>
    </row>
    <row r="674" spans="3:14">
      <c r="C674" s="4">
        <f>Pressure!AB674*1000000</f>
        <v>6168489.1647435138</v>
      </c>
      <c r="D674" s="84">
        <f>Pressure!I674</f>
        <v>2.214727558899525E-4</v>
      </c>
      <c r="E674" s="40">
        <f>Pressure!H674</f>
        <v>221.47275588995251</v>
      </c>
      <c r="F674" s="10">
        <f t="shared" si="86"/>
        <v>8</v>
      </c>
      <c r="G674" s="4">
        <f t="shared" si="85"/>
        <v>124286.93672295049</v>
      </c>
      <c r="H674" s="45">
        <f t="shared" si="87"/>
        <v>9.4174844348613966</v>
      </c>
      <c r="I674" s="10">
        <f t="shared" si="88"/>
        <v>1.382657917741829</v>
      </c>
      <c r="J674" s="4">
        <f t="shared" si="89"/>
        <v>1888.9212875133214</v>
      </c>
      <c r="K674" s="4">
        <f t="shared" si="83"/>
        <v>424.64846174032675</v>
      </c>
      <c r="L674" s="45">
        <f>Pressure!Q674</f>
        <v>1.5068554001855521</v>
      </c>
      <c r="M674" s="10">
        <f t="shared" si="84"/>
        <v>4.2238944460821291</v>
      </c>
      <c r="N674" s="10">
        <f t="shared" si="90"/>
        <v>2.9545467240956045</v>
      </c>
    </row>
    <row r="675" spans="3:14">
      <c r="C675" s="4">
        <f>Pressure!AB675*1000000</f>
        <v>6166276.4915173091</v>
      </c>
      <c r="D675" s="84">
        <f>Pressure!I675</f>
        <v>2.214727558899525E-4</v>
      </c>
      <c r="E675" s="40">
        <f>Pressure!H675</f>
        <v>221.47275588995251</v>
      </c>
      <c r="F675" s="10">
        <f t="shared" si="86"/>
        <v>8</v>
      </c>
      <c r="G675" s="4">
        <f t="shared" si="85"/>
        <v>124242.35427011493</v>
      </c>
      <c r="H675" s="45">
        <f t="shared" si="87"/>
        <v>9.4148177730258329</v>
      </c>
      <c r="I675" s="10">
        <f t="shared" si="88"/>
        <v>1.3826109146051218</v>
      </c>
      <c r="J675" s="4">
        <f t="shared" si="89"/>
        <v>1888.17952996433</v>
      </c>
      <c r="K675" s="4">
        <f t="shared" si="83"/>
        <v>424.48170719939077</v>
      </c>
      <c r="L675" s="45">
        <f>Pressure!Q675</f>
        <v>1.5090909861553046</v>
      </c>
      <c r="M675" s="10">
        <f t="shared" si="84"/>
        <v>4.2220167969468401</v>
      </c>
      <c r="N675" s="10">
        <f t="shared" si="90"/>
        <v>2.9545467240956045</v>
      </c>
    </row>
    <row r="676" spans="3:14">
      <c r="C676" s="4">
        <f>Pressure!AB676*1000000</f>
        <v>6164053.4001243794</v>
      </c>
      <c r="D676" s="84">
        <f>Pressure!I676</f>
        <v>2.214727558899525E-4</v>
      </c>
      <c r="E676" s="40">
        <f>Pressure!H676</f>
        <v>221.47275588995251</v>
      </c>
      <c r="F676" s="10">
        <f t="shared" si="86"/>
        <v>8</v>
      </c>
      <c r="G676" s="4">
        <f t="shared" si="85"/>
        <v>124197.5619049339</v>
      </c>
      <c r="H676" s="45">
        <f t="shared" si="87"/>
        <v>9.4121383879022424</v>
      </c>
      <c r="I676" s="10">
        <f t="shared" si="88"/>
        <v>1.3825636561749353</v>
      </c>
      <c r="J676" s="4">
        <f t="shared" si="89"/>
        <v>1887.4342799186957</v>
      </c>
      <c r="K676" s="4">
        <f t="shared" si="83"/>
        <v>424.31416751016047</v>
      </c>
      <c r="L676" s="45">
        <f>Pressure!Q676</f>
        <v>1.5113264533428818</v>
      </c>
      <c r="M676" s="10">
        <f t="shared" si="84"/>
        <v>4.2201303924785698</v>
      </c>
      <c r="N676" s="10">
        <f t="shared" si="90"/>
        <v>2.9545467240956045</v>
      </c>
    </row>
    <row r="677" spans="3:14">
      <c r="C677" s="4">
        <f>Pressure!AB677*1000000</f>
        <v>6161819.8885721872</v>
      </c>
      <c r="D677" s="84">
        <f>Pressure!I677</f>
        <v>2.214727558899525E-4</v>
      </c>
      <c r="E677" s="40">
        <f>Pressure!H677</f>
        <v>221.47275588995251</v>
      </c>
      <c r="F677" s="10">
        <f t="shared" si="86"/>
        <v>8</v>
      </c>
      <c r="G677" s="4">
        <f t="shared" si="85"/>
        <v>124152.5595872604</v>
      </c>
      <c r="H677" s="45">
        <f t="shared" si="87"/>
        <v>9.4094462746527032</v>
      </c>
      <c r="I677" s="10">
        <f t="shared" si="88"/>
        <v>1.3825161418928398</v>
      </c>
      <c r="J677" s="4">
        <f t="shared" si="89"/>
        <v>1886.6855367084565</v>
      </c>
      <c r="K677" s="4">
        <f t="shared" si="83"/>
        <v>424.14584252247124</v>
      </c>
      <c r="L677" s="45">
        <f>Pressure!Q677</f>
        <v>1.5135618011524359</v>
      </c>
      <c r="M677" s="10">
        <f t="shared" si="84"/>
        <v>4.2182352325459878</v>
      </c>
      <c r="N677" s="10">
        <f t="shared" si="90"/>
        <v>2.9545467240956045</v>
      </c>
    </row>
    <row r="678" spans="3:14">
      <c r="C678" s="4">
        <f>Pressure!AB678*1000000</f>
        <v>6159575.9548573894</v>
      </c>
      <c r="D678" s="84">
        <f>Pressure!I678</f>
        <v>2.214727558899525E-4</v>
      </c>
      <c r="E678" s="40">
        <f>Pressure!H678</f>
        <v>221.47275588995251</v>
      </c>
      <c r="F678" s="10">
        <f t="shared" si="86"/>
        <v>8</v>
      </c>
      <c r="G678" s="4">
        <f t="shared" si="85"/>
        <v>124107.34727672972</v>
      </c>
      <c r="H678" s="45">
        <f t="shared" si="87"/>
        <v>9.4067414284124684</v>
      </c>
      <c r="I678" s="10">
        <f t="shared" si="88"/>
        <v>1.3824683711967096</v>
      </c>
      <c r="J678" s="4">
        <f t="shared" si="89"/>
        <v>1885.9332996620299</v>
      </c>
      <c r="K678" s="4">
        <f t="shared" si="83"/>
        <v>423.97673208534462</v>
      </c>
      <c r="L678" s="45">
        <f>Pressure!Q678</f>
        <v>1.5157970289874716</v>
      </c>
      <c r="M678" s="10">
        <f t="shared" si="84"/>
        <v>4.2163313170176773</v>
      </c>
      <c r="N678" s="10">
        <f t="shared" si="90"/>
        <v>2.9545467240956045</v>
      </c>
    </row>
    <row r="679" spans="3:14">
      <c r="C679" s="4">
        <f>Pressure!AB679*1000000</f>
        <v>6157321.5969659351</v>
      </c>
      <c r="D679" s="84">
        <f>Pressure!I679</f>
        <v>2.214727558899525E-4</v>
      </c>
      <c r="E679" s="40">
        <f>Pressure!H679</f>
        <v>221.47275588995251</v>
      </c>
      <c r="F679" s="10">
        <f t="shared" si="86"/>
        <v>8</v>
      </c>
      <c r="G679" s="4">
        <f t="shared" si="85"/>
        <v>124061.92493276135</v>
      </c>
      <c r="H679" s="45">
        <f t="shared" si="87"/>
        <v>9.4040238442899984</v>
      </c>
      <c r="I679" s="10">
        <f t="shared" si="88"/>
        <v>1.3824203435207065</v>
      </c>
      <c r="J679" s="4">
        <f t="shared" si="89"/>
        <v>1885.1775681042423</v>
      </c>
      <c r="K679" s="4">
        <f t="shared" si="83"/>
        <v>423.80683604699482</v>
      </c>
      <c r="L679" s="45">
        <f>Pressure!Q679</f>
        <v>1.5180321362508429</v>
      </c>
      <c r="M679" s="10">
        <f t="shared" si="84"/>
        <v>4.2144186457613886</v>
      </c>
      <c r="N679" s="10">
        <f t="shared" si="90"/>
        <v>2.9545467240956045</v>
      </c>
    </row>
    <row r="680" spans="3:14">
      <c r="C680" s="4">
        <f>Pressure!AB680*1000000</f>
        <v>6155056.8128727833</v>
      </c>
      <c r="D680" s="84">
        <f>Pressure!I680</f>
        <v>2.214727558899525E-4</v>
      </c>
      <c r="E680" s="40">
        <f>Pressure!H680</f>
        <v>221.47275588995251</v>
      </c>
      <c r="F680" s="10">
        <f t="shared" si="86"/>
        <v>8</v>
      </c>
      <c r="G680" s="4">
        <f t="shared" si="85"/>
        <v>124016.29251455342</v>
      </c>
      <c r="H680" s="45">
        <f t="shared" si="87"/>
        <v>9.4012935173665451</v>
      </c>
      <c r="I680" s="10">
        <f t="shared" si="88"/>
        <v>1.3823720582952572</v>
      </c>
      <c r="J680" s="4">
        <f t="shared" si="89"/>
        <v>1884.4183413562364</v>
      </c>
      <c r="K680" s="4">
        <f t="shared" si="83"/>
        <v>423.63615425480788</v>
      </c>
      <c r="L680" s="45">
        <f>Pressure!Q680</f>
        <v>1.5202671223447488</v>
      </c>
      <c r="M680" s="10">
        <f t="shared" si="84"/>
        <v>4.2124972186444287</v>
      </c>
      <c r="N680" s="10">
        <f t="shared" si="90"/>
        <v>2.9545467240956045</v>
      </c>
    </row>
    <row r="681" spans="3:14">
      <c r="C681" s="4">
        <f>Pressure!AB681*1000000</f>
        <v>6152781.6005420741</v>
      </c>
      <c r="D681" s="84">
        <f>Pressure!I681</f>
        <v>2.214727558899525E-4</v>
      </c>
      <c r="E681" s="40">
        <f>Pressure!H681</f>
        <v>221.47275588995251</v>
      </c>
      <c r="F681" s="10">
        <f t="shared" si="86"/>
        <v>8</v>
      </c>
      <c r="G681" s="4">
        <f t="shared" si="85"/>
        <v>123970.449981086</v>
      </c>
      <c r="H681" s="45">
        <f t="shared" si="87"/>
        <v>9.3985504426964077</v>
      </c>
      <c r="I681" s="10">
        <f t="shared" si="88"/>
        <v>1.382323514947039</v>
      </c>
      <c r="J681" s="4">
        <f t="shared" si="89"/>
        <v>1883.6556187355282</v>
      </c>
      <c r="K681" s="4">
        <f t="shared" si="83"/>
        <v>423.46468655535455</v>
      </c>
      <c r="L681" s="45">
        <f>Pressure!Q681</f>
        <v>1.5225019866707299</v>
      </c>
      <c r="M681" s="10">
        <f t="shared" si="84"/>
        <v>4.2105670355336677</v>
      </c>
      <c r="N681" s="10">
        <f t="shared" si="90"/>
        <v>2.9545467240956045</v>
      </c>
    </row>
    <row r="682" spans="3:14">
      <c r="C682" s="4">
        <f>Pressure!AB682*1000000</f>
        <v>6150495.9579269858</v>
      </c>
      <c r="D682" s="84">
        <f>Pressure!I682</f>
        <v>2.214727558899525E-4</v>
      </c>
      <c r="E682" s="40">
        <f>Pressure!H682</f>
        <v>221.47275588995251</v>
      </c>
      <c r="F682" s="10">
        <f t="shared" si="86"/>
        <v>8</v>
      </c>
      <c r="G682" s="4">
        <f t="shared" si="85"/>
        <v>123924.39729111835</v>
      </c>
      <c r="H682" s="45">
        <f t="shared" si="87"/>
        <v>9.3957946153066274</v>
      </c>
      <c r="I682" s="10">
        <f t="shared" si="88"/>
        <v>1.3822747128989583</v>
      </c>
      <c r="J682" s="4">
        <f t="shared" si="89"/>
        <v>1882.8893995559588</v>
      </c>
      <c r="K682" s="4">
        <f t="shared" si="83"/>
        <v>423.29243279437947</v>
      </c>
      <c r="L682" s="45">
        <f>Pressure!Q682</f>
        <v>1.524736728629664</v>
      </c>
      <c r="M682" s="10">
        <f t="shared" si="84"/>
        <v>4.2086280962951701</v>
      </c>
      <c r="N682" s="10">
        <f t="shared" si="90"/>
        <v>2.9545467240956045</v>
      </c>
    </row>
    <row r="683" spans="3:14">
      <c r="C683" s="4">
        <f>Pressure!AB683*1000000</f>
        <v>6148199.8829698106</v>
      </c>
      <c r="D683" s="84">
        <f>Pressure!I683</f>
        <v>2.214727558899525E-4</v>
      </c>
      <c r="E683" s="40">
        <f>Pressure!H683</f>
        <v>221.47275588995251</v>
      </c>
      <c r="F683" s="10">
        <f t="shared" si="86"/>
        <v>8</v>
      </c>
      <c r="G683" s="4">
        <f t="shared" si="85"/>
        <v>123878.13440319036</v>
      </c>
      <c r="H683" s="45">
        <f t="shared" si="87"/>
        <v>9.3930260301971185</v>
      </c>
      <c r="I683" s="10">
        <f t="shared" si="88"/>
        <v>1.3822256515701346</v>
      </c>
      <c r="J683" s="4">
        <f t="shared" si="89"/>
        <v>1882.1196831277193</v>
      </c>
      <c r="K683" s="4">
        <f t="shared" si="83"/>
        <v>423.11939281680668</v>
      </c>
      <c r="L683" s="45">
        <f>Pressure!Q683</f>
        <v>1.5269713476217628</v>
      </c>
      <c r="M683" s="10">
        <f t="shared" si="84"/>
        <v>4.2066804007946352</v>
      </c>
      <c r="N683" s="10">
        <f t="shared" si="90"/>
        <v>2.9545467240956045</v>
      </c>
    </row>
    <row r="684" spans="3:14">
      <c r="C684" s="4">
        <f>Pressure!AB684*1000000</f>
        <v>6145893.3736018259</v>
      </c>
      <c r="D684" s="84">
        <f>Pressure!I684</f>
        <v>2.214727558899525E-4</v>
      </c>
      <c r="E684" s="40">
        <f>Pressure!H684</f>
        <v>221.47275588995251</v>
      </c>
      <c r="F684" s="10">
        <f t="shared" si="86"/>
        <v>8</v>
      </c>
      <c r="G684" s="4">
        <f t="shared" si="85"/>
        <v>123831.66127561998</v>
      </c>
      <c r="H684" s="45">
        <f t="shared" si="87"/>
        <v>9.3902446823404073</v>
      </c>
      <c r="I684" s="10">
        <f t="shared" si="88"/>
        <v>1.3821763303758794</v>
      </c>
      <c r="J684" s="4">
        <f t="shared" si="89"/>
        <v>1881.3464687573098</v>
      </c>
      <c r="K684" s="4">
        <f t="shared" si="83"/>
        <v>422.94556646673033</v>
      </c>
      <c r="L684" s="45">
        <f>Pressure!Q684</f>
        <v>1.5292058430465671</v>
      </c>
      <c r="M684" s="10">
        <f t="shared" si="84"/>
        <v>4.2047239488965866</v>
      </c>
      <c r="N684" s="10">
        <f t="shared" si="90"/>
        <v>2.9545467240956045</v>
      </c>
    </row>
    <row r="685" spans="3:14">
      <c r="C685" s="4">
        <f>Pressure!AB685*1000000</f>
        <v>6143576.4277435597</v>
      </c>
      <c r="D685" s="84">
        <f>Pressure!I685</f>
        <v>2.214727558899525E-4</v>
      </c>
      <c r="E685" s="40">
        <f>Pressure!H685</f>
        <v>221.47275588995251</v>
      </c>
      <c r="F685" s="10">
        <f t="shared" si="86"/>
        <v>8</v>
      </c>
      <c r="G685" s="4">
        <f t="shared" si="85"/>
        <v>123784.97786650861</v>
      </c>
      <c r="H685" s="45">
        <f t="shared" si="87"/>
        <v>9.3874505666819452</v>
      </c>
      <c r="I685" s="10">
        <f t="shared" si="88"/>
        <v>1.3821267487276838</v>
      </c>
      <c r="J685" s="4">
        <f t="shared" si="89"/>
        <v>1880.5697557476253</v>
      </c>
      <c r="K685" s="4">
        <f t="shared" si="83"/>
        <v>422.77095358743435</v>
      </c>
      <c r="L685" s="45">
        <f>Pressure!Q685</f>
        <v>1.5314402143029437</v>
      </c>
      <c r="M685" s="10">
        <f t="shared" si="84"/>
        <v>4.2027587404653026</v>
      </c>
      <c r="N685" s="10">
        <f t="shared" si="90"/>
        <v>2.9545467240956045</v>
      </c>
    </row>
    <row r="686" spans="3:14">
      <c r="C686" s="4">
        <f>Pressure!AB686*1000000</f>
        <v>6141249.0433043204</v>
      </c>
      <c r="D686" s="84">
        <f>Pressure!I686</f>
        <v>2.214727558899525E-4</v>
      </c>
      <c r="E686" s="40">
        <f>Pressure!H686</f>
        <v>221.47275588995251</v>
      </c>
      <c r="F686" s="10">
        <f t="shared" si="86"/>
        <v>8</v>
      </c>
      <c r="G686" s="4">
        <f t="shared" si="85"/>
        <v>123738.08413373154</v>
      </c>
      <c r="H686" s="45">
        <f t="shared" si="87"/>
        <v>9.3846436781394988</v>
      </c>
      <c r="I686" s="10">
        <f t="shared" si="88"/>
        <v>1.3820769060331897</v>
      </c>
      <c r="J686" s="4">
        <f t="shared" si="89"/>
        <v>1879.7895433978008</v>
      </c>
      <c r="K686" s="4">
        <f t="shared" si="83"/>
        <v>422.59555402135715</v>
      </c>
      <c r="L686" s="45">
        <f>Pressure!Q686</f>
        <v>1.5336744607890811</v>
      </c>
      <c r="M686" s="10">
        <f t="shared" si="84"/>
        <v>4.2007847753647845</v>
      </c>
      <c r="N686" s="10">
        <f t="shared" si="90"/>
        <v>2.9545467240956045</v>
      </c>
    </row>
    <row r="687" spans="3:14">
      <c r="C687" s="4">
        <f>Pressure!AB687*1000000</f>
        <v>6138911.2181824511</v>
      </c>
      <c r="D687" s="84">
        <f>Pressure!I687</f>
        <v>2.214727558899525E-4</v>
      </c>
      <c r="E687" s="40">
        <f>Pressure!H687</f>
        <v>221.47275588995251</v>
      </c>
      <c r="F687" s="10">
        <f t="shared" si="86"/>
        <v>8</v>
      </c>
      <c r="G687" s="4">
        <f t="shared" si="85"/>
        <v>123690.98003494316</v>
      </c>
      <c r="H687" s="45">
        <f t="shared" si="87"/>
        <v>9.3818240116034133</v>
      </c>
      <c r="I687" s="10">
        <f t="shared" si="88"/>
        <v>1.3820268016961763</v>
      </c>
      <c r="J687" s="4">
        <f t="shared" si="89"/>
        <v>1879.0058310032948</v>
      </c>
      <c r="K687" s="4">
        <f t="shared" si="83"/>
        <v>422.41936761011078</v>
      </c>
      <c r="L687" s="45">
        <f>Pressure!Q687</f>
        <v>1.5359085819024856</v>
      </c>
      <c r="M687" s="10">
        <f t="shared" si="84"/>
        <v>4.1988020534583033</v>
      </c>
      <c r="N687" s="10">
        <f t="shared" si="90"/>
        <v>2.9545467240956045</v>
      </c>
    </row>
    <row r="688" spans="3:14">
      <c r="C688" s="4">
        <f>Pressure!AB688*1000000</f>
        <v>6136562.9502653889</v>
      </c>
      <c r="D688" s="84">
        <f>Pressure!I688</f>
        <v>2.214727558899525E-4</v>
      </c>
      <c r="E688" s="40">
        <f>Pressure!H688</f>
        <v>221.47275588995251</v>
      </c>
      <c r="F688" s="10">
        <f t="shared" si="86"/>
        <v>8</v>
      </c>
      <c r="G688" s="4">
        <f t="shared" si="85"/>
        <v>123643.66552757812</v>
      </c>
      <c r="H688" s="45">
        <f t="shared" si="87"/>
        <v>9.3789915619366209</v>
      </c>
      <c r="I688" s="10">
        <f t="shared" si="88"/>
        <v>1.3819764351165436</v>
      </c>
      <c r="J688" s="4">
        <f t="shared" si="89"/>
        <v>1878.2186178559098</v>
      </c>
      <c r="K688" s="4">
        <f t="shared" si="83"/>
        <v>422.24239419448537</v>
      </c>
      <c r="L688" s="45">
        <f>Pressure!Q688</f>
        <v>1.538142577039977</v>
      </c>
      <c r="M688" s="10">
        <f t="shared" si="84"/>
        <v>4.1968105746077304</v>
      </c>
      <c r="N688" s="10">
        <f t="shared" si="90"/>
        <v>2.9545467240956045</v>
      </c>
    </row>
    <row r="689" spans="3:14">
      <c r="C689" s="4">
        <f>Pressure!AB689*1000000</f>
        <v>6134204.2374293935</v>
      </c>
      <c r="D689" s="84">
        <f>Pressure!I689</f>
        <v>2.214727558899525E-4</v>
      </c>
      <c r="E689" s="40">
        <f>Pressure!H689</f>
        <v>221.47275588995251</v>
      </c>
      <c r="F689" s="10">
        <f t="shared" si="86"/>
        <v>8</v>
      </c>
      <c r="G689" s="4">
        <f t="shared" si="85"/>
        <v>123596.14056884583</v>
      </c>
      <c r="H689" s="45">
        <f t="shared" si="87"/>
        <v>9.3761463239743055</v>
      </c>
      <c r="I689" s="10">
        <f t="shared" si="88"/>
        <v>1.3819258056902857</v>
      </c>
      <c r="J689" s="4">
        <f t="shared" si="89"/>
        <v>1877.4279032437009</v>
      </c>
      <c r="K689" s="4">
        <f t="shared" si="83"/>
        <v>422.06463361442854</v>
      </c>
      <c r="L689" s="45">
        <f>Pressure!Q689</f>
        <v>1.5403764455976856</v>
      </c>
      <c r="M689" s="10">
        <f t="shared" si="84"/>
        <v>4.1948103386760049</v>
      </c>
      <c r="N689" s="10">
        <f t="shared" si="90"/>
        <v>2.9545467240956045</v>
      </c>
    </row>
    <row r="690" spans="3:14">
      <c r="C690" s="4">
        <f>Pressure!AB690*1000000</f>
        <v>6131835.0775397308</v>
      </c>
      <c r="D690" s="84">
        <f>Pressure!I690</f>
        <v>2.214727558899525E-4</v>
      </c>
      <c r="E690" s="40">
        <f>Pressure!H690</f>
        <v>221.47275588995251</v>
      </c>
      <c r="F690" s="10">
        <f t="shared" si="86"/>
        <v>8</v>
      </c>
      <c r="G690" s="4">
        <f t="shared" si="85"/>
        <v>123548.40511573423</v>
      </c>
      <c r="H690" s="45">
        <f t="shared" si="87"/>
        <v>9.3732882925240624</v>
      </c>
      <c r="I690" s="10">
        <f t="shared" si="88"/>
        <v>1.3818749128094781</v>
      </c>
      <c r="J690" s="4">
        <f t="shared" si="89"/>
        <v>1876.6336864510392</v>
      </c>
      <c r="K690" s="4">
        <f t="shared" si="83"/>
        <v>421.88608570905967</v>
      </c>
      <c r="L690" s="45">
        <f>Pressure!Q690</f>
        <v>1.5426101869710469</v>
      </c>
      <c r="M690" s="10">
        <f t="shared" si="84"/>
        <v>4.1928013455238125</v>
      </c>
      <c r="N690" s="10">
        <f t="shared" si="90"/>
        <v>2.9545467240956045</v>
      </c>
    </row>
    <row r="691" spans="3:14">
      <c r="C691" s="4">
        <f>Pressure!AB691*1000000</f>
        <v>6129455.4684504485</v>
      </c>
      <c r="D691" s="84">
        <f>Pressure!I691</f>
        <v>2.214727558899525E-4</v>
      </c>
      <c r="E691" s="40">
        <f>Pressure!H691</f>
        <v>221.47275588995251</v>
      </c>
      <c r="F691" s="10">
        <f t="shared" si="86"/>
        <v>8</v>
      </c>
      <c r="G691" s="4">
        <f t="shared" si="85"/>
        <v>123500.45912500519</v>
      </c>
      <c r="H691" s="45">
        <f t="shared" si="87"/>
        <v>9.3704174623655767</v>
      </c>
      <c r="I691" s="10">
        <f t="shared" si="88"/>
        <v>1.3818237558622513</v>
      </c>
      <c r="J691" s="4">
        <f t="shared" si="89"/>
        <v>1875.8359667585339</v>
      </c>
      <c r="K691" s="4">
        <f t="shared" si="83"/>
        <v>421.70675031665257</v>
      </c>
      <c r="L691" s="45">
        <f>Pressure!Q691</f>
        <v>1.5448438005547984</v>
      </c>
      <c r="M691" s="10">
        <f t="shared" si="84"/>
        <v>4.1907835950121193</v>
      </c>
      <c r="N691" s="10">
        <f t="shared" si="90"/>
        <v>2.9545467240956045</v>
      </c>
    </row>
    <row r="692" spans="3:14">
      <c r="C692" s="4">
        <f>Pressure!AB692*1000000</f>
        <v>6127065.4080045661</v>
      </c>
      <c r="D692" s="84">
        <f>Pressure!I692</f>
        <v>2.214727558899525E-4</v>
      </c>
      <c r="E692" s="40">
        <f>Pressure!H692</f>
        <v>221.47275588995251</v>
      </c>
      <c r="F692" s="10">
        <f t="shared" si="86"/>
        <v>8</v>
      </c>
      <c r="G692" s="4">
        <f t="shared" si="85"/>
        <v>123452.30255319839</v>
      </c>
      <c r="H692" s="45">
        <f t="shared" si="87"/>
        <v>9.367533828250826</v>
      </c>
      <c r="I692" s="10">
        <f t="shared" si="88"/>
        <v>1.3817723342327766</v>
      </c>
      <c r="J692" s="4">
        <f t="shared" si="89"/>
        <v>1875.0347434430962</v>
      </c>
      <c r="K692" s="4">
        <f t="shared" si="83"/>
        <v>421.52662727464957</v>
      </c>
      <c r="L692" s="45">
        <f>Pressure!Q692</f>
        <v>1.5470772857429755</v>
      </c>
      <c r="M692" s="10">
        <f t="shared" si="84"/>
        <v>4.1887570870013677</v>
      </c>
      <c r="N692" s="10">
        <f t="shared" si="90"/>
        <v>2.9545467240956045</v>
      </c>
    </row>
    <row r="693" spans="3:14">
      <c r="C693" s="4">
        <f>Pressure!AB693*1000000</f>
        <v>6124664.8940340113</v>
      </c>
      <c r="D693" s="84">
        <f>Pressure!I693</f>
        <v>2.214727558899525E-4</v>
      </c>
      <c r="E693" s="40">
        <f>Pressure!H693</f>
        <v>221.47275588995251</v>
      </c>
      <c r="F693" s="10">
        <f t="shared" si="86"/>
        <v>8</v>
      </c>
      <c r="G693" s="4">
        <f t="shared" si="85"/>
        <v>123403.93535663004</v>
      </c>
      <c r="H693" s="45">
        <f t="shared" si="87"/>
        <v>9.3646373849039595</v>
      </c>
      <c r="I693" s="10">
        <f t="shared" si="88"/>
        <v>1.3817206473012458</v>
      </c>
      <c r="J693" s="4">
        <f t="shared" si="89"/>
        <v>1874.2300157779216</v>
      </c>
      <c r="K693" s="4">
        <f t="shared" si="83"/>
        <v>421.34571641965778</v>
      </c>
      <c r="L693" s="45">
        <f>Pressure!Q693</f>
        <v>1.5493106419289073</v>
      </c>
      <c r="M693" s="10">
        <f t="shared" si="84"/>
        <v>4.1867218213511608</v>
      </c>
      <c r="N693" s="10">
        <f t="shared" si="90"/>
        <v>2.9545467240956045</v>
      </c>
    </row>
    <row r="694" spans="3:14">
      <c r="C694" s="4">
        <f>Pressure!AB694*1000000</f>
        <v>6122253.9243594259</v>
      </c>
      <c r="D694" s="84">
        <f>Pressure!I694</f>
        <v>2.214727558899525E-4</v>
      </c>
      <c r="E694" s="40">
        <f>Pressure!H694</f>
        <v>221.47275588995251</v>
      </c>
      <c r="F694" s="10">
        <f t="shared" si="86"/>
        <v>8</v>
      </c>
      <c r="G694" s="4">
        <f t="shared" si="85"/>
        <v>123355.35749138893</v>
      </c>
      <c r="H694" s="45">
        <f t="shared" si="87"/>
        <v>9.36172812702101</v>
      </c>
      <c r="I694" s="10">
        <f t="shared" si="88"/>
        <v>1.3816686944438454</v>
      </c>
      <c r="J694" s="4">
        <f t="shared" si="89"/>
        <v>1873.4217830324201</v>
      </c>
      <c r="K694" s="4">
        <f t="shared" si="83"/>
        <v>421.16401758743314</v>
      </c>
      <c r="L694" s="45">
        <f>Pressure!Q694</f>
        <v>1.5515438685052125</v>
      </c>
      <c r="M694" s="10">
        <f t="shared" si="84"/>
        <v>4.1846777979206271</v>
      </c>
      <c r="N694" s="10">
        <f t="shared" si="90"/>
        <v>2.9545467240956045</v>
      </c>
    </row>
    <row r="695" spans="3:14">
      <c r="C695" s="4">
        <f>Pressure!AB695*1000000</f>
        <v>6119832.4967901986</v>
      </c>
      <c r="D695" s="84">
        <f>Pressure!I695</f>
        <v>2.214727558899525E-4</v>
      </c>
      <c r="E695" s="40">
        <f>Pressure!H695</f>
        <v>221.47275588995251</v>
      </c>
      <c r="F695" s="10">
        <f t="shared" si="86"/>
        <v>8</v>
      </c>
      <c r="G695" s="4">
        <f t="shared" si="85"/>
        <v>123306.56891333713</v>
      </c>
      <c r="H695" s="45">
        <f t="shared" si="87"/>
        <v>9.3588060492698908</v>
      </c>
      <c r="I695" s="10">
        <f t="shared" si="88"/>
        <v>1.3816164750327389</v>
      </c>
      <c r="J695" s="4">
        <f t="shared" si="89"/>
        <v>1872.6100444722299</v>
      </c>
      <c r="K695" s="4">
        <f t="shared" si="83"/>
        <v>420.98153061288383</v>
      </c>
      <c r="L695" s="45">
        <f>Pressure!Q695</f>
        <v>1.5537769648637956</v>
      </c>
      <c r="M695" s="10">
        <f t="shared" si="84"/>
        <v>4.1826250165684069</v>
      </c>
      <c r="N695" s="10">
        <f t="shared" si="90"/>
        <v>2.9545467240956045</v>
      </c>
    </row>
    <row r="696" spans="3:14">
      <c r="C696" s="4">
        <f>Pressure!AB696*1000000</f>
        <v>6117400.6091247536</v>
      </c>
      <c r="D696" s="84">
        <f>Pressure!I696</f>
        <v>2.214727558899525E-4</v>
      </c>
      <c r="E696" s="40">
        <f>Pressure!H696</f>
        <v>221.47275588995251</v>
      </c>
      <c r="F696" s="10">
        <f t="shared" si="86"/>
        <v>8</v>
      </c>
      <c r="G696" s="4">
        <f t="shared" si="85"/>
        <v>123257.56957811578</v>
      </c>
      <c r="H696" s="45">
        <f t="shared" si="87"/>
        <v>9.355871146290708</v>
      </c>
      <c r="I696" s="10">
        <f t="shared" si="88"/>
        <v>1.3815639884360524</v>
      </c>
      <c r="J696" s="4">
        <f t="shared" si="89"/>
        <v>1871.7947993593141</v>
      </c>
      <c r="K696" s="4">
        <f t="shared" si="83"/>
        <v>420.79825533009176</v>
      </c>
      <c r="L696" s="45">
        <f>Pressure!Q696</f>
        <v>1.5560099303958423</v>
      </c>
      <c r="M696" s="10">
        <f t="shared" si="84"/>
        <v>4.1805634771524049</v>
      </c>
      <c r="N696" s="10">
        <f t="shared" si="90"/>
        <v>2.9545467240956045</v>
      </c>
    </row>
    <row r="697" spans="3:14">
      <c r="C697" s="4">
        <f>Pressure!AB697*1000000</f>
        <v>6114958.2591500105</v>
      </c>
      <c r="D697" s="84">
        <f>Pressure!I697</f>
        <v>2.214727558899525E-4</v>
      </c>
      <c r="E697" s="40">
        <f>Pressure!H697</f>
        <v>221.47275588995251</v>
      </c>
      <c r="F697" s="10">
        <f t="shared" si="86"/>
        <v>8</v>
      </c>
      <c r="G697" s="4">
        <f t="shared" si="85"/>
        <v>123208.35944113425</v>
      </c>
      <c r="H697" s="45">
        <f t="shared" si="87"/>
        <v>9.3529234126950591</v>
      </c>
      <c r="I697" s="10">
        <f t="shared" si="88"/>
        <v>1.3815112340178428</v>
      </c>
      <c r="J697" s="4">
        <f t="shared" si="89"/>
        <v>1870.9760469517782</v>
      </c>
      <c r="K697" s="4">
        <f t="shared" si="83"/>
        <v>420.61419157227152</v>
      </c>
      <c r="L697" s="45">
        <f>Pressure!Q697</f>
        <v>1.5582427644918164</v>
      </c>
      <c r="M697" s="10">
        <f t="shared" si="84"/>
        <v>4.1784931795305829</v>
      </c>
      <c r="N697" s="10">
        <f t="shared" si="90"/>
        <v>2.9545467240956045</v>
      </c>
    </row>
    <row r="698" spans="3:14">
      <c r="C698" s="4">
        <f>Pressure!AB698*1000000</f>
        <v>6112505.4446417363</v>
      </c>
      <c r="D698" s="84">
        <f>Pressure!I698</f>
        <v>2.214727558899525E-4</v>
      </c>
      <c r="E698" s="40">
        <f>Pressure!H698</f>
        <v>221.47275588995251</v>
      </c>
      <c r="F698" s="10">
        <f t="shared" si="86"/>
        <v>8</v>
      </c>
      <c r="G698" s="4">
        <f t="shared" si="85"/>
        <v>123158.93845757714</v>
      </c>
      <c r="H698" s="45">
        <f t="shared" si="87"/>
        <v>9.3499628430663986</v>
      </c>
      <c r="I698" s="10">
        <f t="shared" si="88"/>
        <v>1.3814582111380849</v>
      </c>
      <c r="J698" s="4">
        <f t="shared" si="89"/>
        <v>1870.1537865039902</v>
      </c>
      <c r="K698" s="4">
        <f t="shared" si="83"/>
        <v>420.42933917179761</v>
      </c>
      <c r="L698" s="45">
        <f>Pressure!Q698</f>
        <v>1.5604754665414544</v>
      </c>
      <c r="M698" s="10">
        <f t="shared" si="84"/>
        <v>4.1764141235592653</v>
      </c>
      <c r="N698" s="10">
        <f t="shared" si="90"/>
        <v>2.9545467240956045</v>
      </c>
    </row>
    <row r="699" spans="3:14">
      <c r="C699" s="4">
        <f>Pressure!AB699*1000000</f>
        <v>6110042.1633645101</v>
      </c>
      <c r="D699" s="84">
        <f>Pressure!I699</f>
        <v>2.214727558899525E-4</v>
      </c>
      <c r="E699" s="40">
        <f>Pressure!H699</f>
        <v>221.47275588995251</v>
      </c>
      <c r="F699" s="10">
        <f t="shared" si="86"/>
        <v>8</v>
      </c>
      <c r="G699" s="4">
        <f t="shared" si="85"/>
        <v>123109.30658240366</v>
      </c>
      <c r="H699" s="45">
        <f t="shared" si="87"/>
        <v>9.3469894319599902</v>
      </c>
      <c r="I699" s="10">
        <f t="shared" si="88"/>
        <v>1.3814049191526501</v>
      </c>
      <c r="J699" s="4">
        <f t="shared" si="89"/>
        <v>1869.3280172665663</v>
      </c>
      <c r="K699" s="4">
        <f t="shared" si="83"/>
        <v>420.24369796020108</v>
      </c>
      <c r="L699" s="45">
        <f>Pressure!Q699</f>
        <v>1.562708035933762</v>
      </c>
      <c r="M699" s="10">
        <f t="shared" si="84"/>
        <v>4.1743263090945621</v>
      </c>
      <c r="N699" s="10">
        <f t="shared" si="90"/>
        <v>2.9545467240956045</v>
      </c>
    </row>
    <row r="700" spans="3:14">
      <c r="C700" s="4">
        <f>Pressure!AB700*1000000</f>
        <v>6107568.4130714312</v>
      </c>
      <c r="D700" s="84">
        <f>Pressure!I700</f>
        <v>2.214727558899525E-4</v>
      </c>
      <c r="E700" s="40">
        <f>Pressure!H700</f>
        <v>221.47275588995251</v>
      </c>
      <c r="F700" s="10">
        <f t="shared" si="86"/>
        <v>8</v>
      </c>
      <c r="G700" s="4">
        <f t="shared" si="85"/>
        <v>123059.46377034175</v>
      </c>
      <c r="H700" s="45">
        <f t="shared" si="87"/>
        <v>9.3440031739024665</v>
      </c>
      <c r="I700" s="10">
        <f t="shared" si="88"/>
        <v>1.3813513574132787</v>
      </c>
      <c r="J700" s="4">
        <f t="shared" si="89"/>
        <v>1868.4987384862745</v>
      </c>
      <c r="K700" s="4">
        <f t="shared" si="83"/>
        <v>420.05726776814771</v>
      </c>
      <c r="L700" s="45">
        <f>Pressure!Q700</f>
        <v>1.5649404720570101</v>
      </c>
      <c r="M700" s="10">
        <f t="shared" si="84"/>
        <v>4.1722297359931222</v>
      </c>
      <c r="N700" s="10">
        <f t="shared" si="90"/>
        <v>2.9545467240956045</v>
      </c>
    </row>
    <row r="701" spans="3:14">
      <c r="C701" s="4">
        <f>Pressure!AB701*1000000</f>
        <v>6105084.1915042689</v>
      </c>
      <c r="D701" s="84">
        <f>Pressure!I701</f>
        <v>2.214727558899525E-4</v>
      </c>
      <c r="E701" s="40">
        <f>Pressure!H701</f>
        <v>221.47275588995251</v>
      </c>
      <c r="F701" s="10">
        <f t="shared" si="86"/>
        <v>8</v>
      </c>
      <c r="G701" s="4">
        <f t="shared" si="85"/>
        <v>123009.40997589102</v>
      </c>
      <c r="H701" s="45">
        <f t="shared" si="87"/>
        <v>9.341004063391976</v>
      </c>
      <c r="I701" s="10">
        <f t="shared" si="88"/>
        <v>1.3812975252675643</v>
      </c>
      <c r="J701" s="4">
        <f t="shared" si="89"/>
        <v>1867.6659494060855</v>
      </c>
      <c r="K701" s="4">
        <f t="shared" si="83"/>
        <v>419.87004842544974</v>
      </c>
      <c r="L701" s="45">
        <f>Pressure!Q701</f>
        <v>1.5671727742987309</v>
      </c>
      <c r="M701" s="10">
        <f t="shared" si="84"/>
        <v>4.1701244041100551</v>
      </c>
      <c r="N701" s="10">
        <f t="shared" si="90"/>
        <v>2.9545467240956045</v>
      </c>
    </row>
    <row r="702" spans="3:14">
      <c r="C702" s="4">
        <f>Pressure!AB702*1000000</f>
        <v>6102589.4963935828</v>
      </c>
      <c r="D702" s="84">
        <f>Pressure!I702</f>
        <v>2.214727558899525E-4</v>
      </c>
      <c r="E702" s="40">
        <f>Pressure!H702</f>
        <v>221.47275588995251</v>
      </c>
      <c r="F702" s="10">
        <f t="shared" si="86"/>
        <v>8</v>
      </c>
      <c r="G702" s="4">
        <f t="shared" si="85"/>
        <v>122959.14515332521</v>
      </c>
      <c r="H702" s="45">
        <f t="shared" si="87"/>
        <v>9.337992094898306</v>
      </c>
      <c r="I702" s="10">
        <f t="shared" si="88"/>
        <v>1.381243422058932</v>
      </c>
      <c r="J702" s="4">
        <f t="shared" si="89"/>
        <v>1866.8296492652114</v>
      </c>
      <c r="K702" s="4">
        <f t="shared" si="83"/>
        <v>419.68203976107446</v>
      </c>
      <c r="L702" s="45">
        <f>Pressure!Q702</f>
        <v>1.5694049420457126</v>
      </c>
      <c r="M702" s="10">
        <f t="shared" si="84"/>
        <v>4.168010313299499</v>
      </c>
      <c r="N702" s="10">
        <f t="shared" si="90"/>
        <v>2.9545467240956045</v>
      </c>
    </row>
    <row r="703" spans="3:14">
      <c r="C703" s="4">
        <f>Pressure!AB703*1000000</f>
        <v>6100084.325458399</v>
      </c>
      <c r="D703" s="84">
        <f>Pressure!I703</f>
        <v>2.214727558899525E-4</v>
      </c>
      <c r="E703" s="40">
        <f>Pressure!H703</f>
        <v>221.47275588995251</v>
      </c>
      <c r="F703" s="10">
        <f t="shared" si="86"/>
        <v>8</v>
      </c>
      <c r="G703" s="4">
        <f t="shared" si="85"/>
        <v>122908.66925668572</v>
      </c>
      <c r="H703" s="45">
        <f t="shared" si="87"/>
        <v>9.334967262862401</v>
      </c>
      <c r="I703" s="10">
        <f t="shared" si="88"/>
        <v>1.3811890471266135</v>
      </c>
      <c r="J703" s="4">
        <f t="shared" si="89"/>
        <v>1865.9898372989981</v>
      </c>
      <c r="K703" s="4">
        <f t="shared" si="83"/>
        <v>419.49324160311994</v>
      </c>
      <c r="L703" s="45">
        <f>Pressure!Q703</f>
        <v>1.5716369746839962</v>
      </c>
      <c r="M703" s="10">
        <f t="shared" si="84"/>
        <v>4.1658874634162535</v>
      </c>
      <c r="N703" s="10">
        <f t="shared" si="90"/>
        <v>2.9545467240956045</v>
      </c>
    </row>
    <row r="704" spans="3:14">
      <c r="C704" s="4">
        <f>Pressure!AB704*1000000</f>
        <v>6097568.6764064124</v>
      </c>
      <c r="D704" s="84">
        <f>Pressure!I704</f>
        <v>2.214727558899525E-4</v>
      </c>
      <c r="E704" s="40">
        <f>Pressure!H704</f>
        <v>221.47275588995251</v>
      </c>
      <c r="F704" s="10">
        <f t="shared" si="86"/>
        <v>8</v>
      </c>
      <c r="G704" s="4">
        <f t="shared" si="85"/>
        <v>122857.98223978563</v>
      </c>
      <c r="H704" s="45">
        <f t="shared" si="87"/>
        <v>9.3319295616966027</v>
      </c>
      <c r="I704" s="10">
        <f t="shared" si="88"/>
        <v>1.3811343998056276</v>
      </c>
      <c r="J704" s="4">
        <f t="shared" si="89"/>
        <v>1865.1465127389931</v>
      </c>
      <c r="K704" s="4">
        <f t="shared" si="83"/>
        <v>419.30365377883032</v>
      </c>
      <c r="L704" s="45">
        <f>Pressure!Q704</f>
        <v>1.5738688715988713</v>
      </c>
      <c r="M704" s="10">
        <f t="shared" si="84"/>
        <v>4.1637558543141244</v>
      </c>
      <c r="N704" s="10">
        <f t="shared" si="90"/>
        <v>2.9545467240956045</v>
      </c>
    </row>
    <row r="705" spans="3:14">
      <c r="C705" s="4">
        <f>Pressure!AB705*1000000</f>
        <v>6095042.5469337599</v>
      </c>
      <c r="D705" s="84">
        <f>Pressure!I705</f>
        <v>2.214727558899525E-4</v>
      </c>
      <c r="E705" s="40">
        <f>Pressure!H705</f>
        <v>221.47275588995251</v>
      </c>
      <c r="F705" s="10">
        <f t="shared" si="86"/>
        <v>8</v>
      </c>
      <c r="G705" s="4">
        <f t="shared" si="85"/>
        <v>122807.08405620512</v>
      </c>
      <c r="H705" s="45">
        <f t="shared" si="87"/>
        <v>9.3288789857843195</v>
      </c>
      <c r="I705" s="10">
        <f t="shared" si="88"/>
        <v>1.3810794794267547</v>
      </c>
      <c r="J705" s="4">
        <f t="shared" si="89"/>
        <v>1864.2996748128689</v>
      </c>
      <c r="K705" s="4">
        <f t="shared" si="83"/>
        <v>419.1132761145787</v>
      </c>
      <c r="L705" s="45">
        <f>Pressure!Q705</f>
        <v>1.5761006321748712</v>
      </c>
      <c r="M705" s="10">
        <f t="shared" si="84"/>
        <v>4.1616154858455578</v>
      </c>
      <c r="N705" s="10">
        <f t="shared" si="90"/>
        <v>2.9545467240956045</v>
      </c>
    </row>
    <row r="706" spans="3:14">
      <c r="C706" s="4">
        <f>Pressure!AB706*1000000</f>
        <v>6092505.934725428</v>
      </c>
      <c r="D706" s="84">
        <f>Pressure!I706</f>
        <v>2.214727558899525E-4</v>
      </c>
      <c r="E706" s="40">
        <f>Pressure!H706</f>
        <v>221.47275588995251</v>
      </c>
      <c r="F706" s="10">
        <f t="shared" si="86"/>
        <v>8</v>
      </c>
      <c r="G706" s="4">
        <f t="shared" si="85"/>
        <v>122755.9746592997</v>
      </c>
      <c r="H706" s="45">
        <f t="shared" si="87"/>
        <v>9.3258155294804332</v>
      </c>
      <c r="I706" s="10">
        <f t="shared" si="88"/>
        <v>1.3810242853165238</v>
      </c>
      <c r="J706" s="4">
        <f t="shared" si="89"/>
        <v>1863.4493227445605</v>
      </c>
      <c r="K706" s="4">
        <f t="shared" si="83"/>
        <v>418.92210843589777</v>
      </c>
      <c r="L706" s="45">
        <f>Pressure!Q706</f>
        <v>1.5783322557957689</v>
      </c>
      <c r="M706" s="10">
        <f t="shared" si="84"/>
        <v>4.1594663578634083</v>
      </c>
      <c r="N706" s="10">
        <f t="shared" si="90"/>
        <v>2.9545467240956045</v>
      </c>
    </row>
    <row r="707" spans="3:14">
      <c r="C707" s="4">
        <f>Pressure!AB707*1000000</f>
        <v>6089958.837454522</v>
      </c>
      <c r="D707" s="84">
        <f>Pressure!I707</f>
        <v>2.214727558899525E-4</v>
      </c>
      <c r="E707" s="40">
        <f>Pressure!H707</f>
        <v>221.47275588995251</v>
      </c>
      <c r="F707" s="10">
        <f t="shared" si="86"/>
        <v>8</v>
      </c>
      <c r="G707" s="4">
        <f t="shared" si="85"/>
        <v>122704.65400218553</v>
      </c>
      <c r="H707" s="45">
        <f t="shared" si="87"/>
        <v>9.3227391871104288</v>
      </c>
      <c r="I707" s="10">
        <f t="shared" si="88"/>
        <v>1.3809688167971743</v>
      </c>
      <c r="J707" s="4">
        <f t="shared" si="89"/>
        <v>1862.5954557540192</v>
      </c>
      <c r="K707" s="4">
        <f t="shared" si="83"/>
        <v>418.73015056742486</v>
      </c>
      <c r="L707" s="45">
        <f>Pressure!Q707</f>
        <v>1.5805637418445733</v>
      </c>
      <c r="M707" s="10">
        <f t="shared" si="84"/>
        <v>4.1573084702200491</v>
      </c>
      <c r="N707" s="10">
        <f t="shared" si="90"/>
        <v>2.9545467240956045</v>
      </c>
    </row>
    <row r="708" spans="3:14">
      <c r="C708" s="4">
        <f>Pressure!AB708*1000000</f>
        <v>6087401.2527828766</v>
      </c>
      <c r="D708" s="84">
        <f>Pressure!I708</f>
        <v>2.214727558899525E-4</v>
      </c>
      <c r="E708" s="40">
        <f>Pressure!H708</f>
        <v>221.47275588995251</v>
      </c>
      <c r="F708" s="10">
        <f t="shared" si="86"/>
        <v>8</v>
      </c>
      <c r="G708" s="4">
        <f t="shared" si="85"/>
        <v>122653.12203775164</v>
      </c>
      <c r="H708" s="45">
        <f t="shared" si="87"/>
        <v>9.319649952971039</v>
      </c>
      <c r="I708" s="10">
        <f t="shared" si="88"/>
        <v>1.3809130731866479</v>
      </c>
      <c r="J708" s="4">
        <f t="shared" si="89"/>
        <v>1861.7380730574191</v>
      </c>
      <c r="K708" s="4">
        <f t="shared" si="83"/>
        <v>418.53740233294798</v>
      </c>
      <c r="L708" s="45">
        <f>Pressure!Q708</f>
        <v>1.5827950897035246</v>
      </c>
      <c r="M708" s="10">
        <f t="shared" si="84"/>
        <v>4.1551418227669599</v>
      </c>
      <c r="N708" s="10">
        <f t="shared" si="90"/>
        <v>2.9545467240956045</v>
      </c>
    </row>
    <row r="709" spans="3:14">
      <c r="C709" s="4">
        <f>Pressure!AB709*1000000</f>
        <v>6084833.1783607649</v>
      </c>
      <c r="D709" s="84">
        <f>Pressure!I709</f>
        <v>2.214727558899525E-4</v>
      </c>
      <c r="E709" s="40">
        <f>Pressure!H709</f>
        <v>221.47275588995251</v>
      </c>
      <c r="F709" s="10">
        <f t="shared" si="86"/>
        <v>8</v>
      </c>
      <c r="G709" s="4">
        <f t="shared" si="85"/>
        <v>122601.37871865414</v>
      </c>
      <c r="H709" s="45">
        <f t="shared" si="87"/>
        <v>9.3165478213298591</v>
      </c>
      <c r="I709" s="10">
        <f t="shared" si="88"/>
        <v>1.3808570537985589</v>
      </c>
      <c r="J709" s="4">
        <f t="shared" si="89"/>
        <v>1860.8771738670587</v>
      </c>
      <c r="K709" s="4">
        <f t="shared" si="83"/>
        <v>418.3438635553839</v>
      </c>
      <c r="L709" s="45">
        <f>Pressure!Q709</f>
        <v>1.58502629875409</v>
      </c>
      <c r="M709" s="10">
        <f t="shared" si="84"/>
        <v>4.1529664153553174</v>
      </c>
      <c r="N709" s="10">
        <f t="shared" si="90"/>
        <v>2.9545467240956045</v>
      </c>
    </row>
    <row r="710" spans="3:14">
      <c r="C710" s="4">
        <f>Pressure!AB710*1000000</f>
        <v>6082254.6118267905</v>
      </c>
      <c r="D710" s="84">
        <f>Pressure!I710</f>
        <v>2.214727558899525E-4</v>
      </c>
      <c r="E710" s="40">
        <f>Pressure!H710</f>
        <v>221.47275588995251</v>
      </c>
      <c r="F710" s="10">
        <f t="shared" si="86"/>
        <v>8</v>
      </c>
      <c r="G710" s="4">
        <f t="shared" si="85"/>
        <v>122549.42399731399</v>
      </c>
      <c r="H710" s="45">
        <f t="shared" si="87"/>
        <v>9.3134327864251798</v>
      </c>
      <c r="I710" s="10">
        <f t="shared" si="88"/>
        <v>1.3808007579421695</v>
      </c>
      <c r="J710" s="4">
        <f t="shared" si="89"/>
        <v>1860.0127573913219</v>
      </c>
      <c r="K710" s="4">
        <f t="shared" si="83"/>
        <v>418.14953405676948</v>
      </c>
      <c r="L710" s="45">
        <f>Pressure!Q710</f>
        <v>1.5872573683769593</v>
      </c>
      <c r="M710" s="10">
        <f t="shared" si="84"/>
        <v>4.1507822478354832</v>
      </c>
      <c r="N710" s="10">
        <f t="shared" si="90"/>
        <v>2.9545467240956045</v>
      </c>
    </row>
    <row r="711" spans="3:14">
      <c r="C711" s="4">
        <f>Pressure!AB711*1000000</f>
        <v>6079665.550808005</v>
      </c>
      <c r="D711" s="84">
        <f>Pressure!I711</f>
        <v>2.214727558899525E-4</v>
      </c>
      <c r="E711" s="40">
        <f>Pressure!H711</f>
        <v>221.47275588995251</v>
      </c>
      <c r="F711" s="10">
        <f t="shared" si="86"/>
        <v>8</v>
      </c>
      <c r="G711" s="4">
        <f t="shared" si="85"/>
        <v>122497.2578259194</v>
      </c>
      <c r="H711" s="45">
        <f t="shared" si="87"/>
        <v>9.3103048424660528</v>
      </c>
      <c r="I711" s="10">
        <f t="shared" si="88"/>
        <v>1.3807441849223707</v>
      </c>
      <c r="J711" s="4">
        <f t="shared" si="89"/>
        <v>1859.1448228347238</v>
      </c>
      <c r="K711" s="4">
        <f t="shared" si="83"/>
        <v>417.95441365827162</v>
      </c>
      <c r="L711" s="45">
        <f>Pressure!Q711</f>
        <v>1.5894882979520411</v>
      </c>
      <c r="M711" s="10">
        <f t="shared" si="84"/>
        <v>4.1485893200578863</v>
      </c>
      <c r="N711" s="10">
        <f t="shared" si="90"/>
        <v>2.9545467240956045</v>
      </c>
    </row>
    <row r="712" spans="3:14">
      <c r="C712" s="4">
        <f>Pressure!AB712*1000000</f>
        <v>6077065.9929200271</v>
      </c>
      <c r="D712" s="84">
        <f>Pressure!I712</f>
        <v>2.214727558899525E-4</v>
      </c>
      <c r="E712" s="40">
        <f>Pressure!H712</f>
        <v>221.47275588995251</v>
      </c>
      <c r="F712" s="10">
        <f t="shared" si="86"/>
        <v>8</v>
      </c>
      <c r="G712" s="4">
        <f t="shared" si="85"/>
        <v>122444.88015642823</v>
      </c>
      <c r="H712" s="45">
        <f t="shared" si="87"/>
        <v>9.3071639836324138</v>
      </c>
      <c r="I712" s="10">
        <f t="shared" si="88"/>
        <v>1.3806873340396606</v>
      </c>
      <c r="J712" s="4">
        <f t="shared" si="89"/>
        <v>1858.2733693979433</v>
      </c>
      <c r="K712" s="4">
        <f t="shared" si="83"/>
        <v>417.75850218019497</v>
      </c>
      <c r="L712" s="45">
        <f>Pressure!Q712</f>
        <v>1.5917190868584572</v>
      </c>
      <c r="M712" s="10">
        <f t="shared" si="84"/>
        <v>4.1463876318711028</v>
      </c>
      <c r="N712" s="10">
        <f t="shared" si="90"/>
        <v>2.9545467240956045</v>
      </c>
    </row>
    <row r="713" spans="3:14">
      <c r="C713" s="4">
        <f>Pressure!AB713*1000000</f>
        <v>6074455.9357664781</v>
      </c>
      <c r="D713" s="84">
        <f>Pressure!I713</f>
        <v>2.214727558899525E-4</v>
      </c>
      <c r="E713" s="40">
        <f>Pressure!H713</f>
        <v>221.47275588995251</v>
      </c>
      <c r="F713" s="10">
        <f t="shared" si="86"/>
        <v>8</v>
      </c>
      <c r="G713" s="4">
        <f t="shared" si="85"/>
        <v>122392.29094055662</v>
      </c>
      <c r="H713" s="45">
        <f t="shared" si="87"/>
        <v>9.3040102040743218</v>
      </c>
      <c r="I713" s="10">
        <f t="shared" si="88"/>
        <v>1.3806302045901098</v>
      </c>
      <c r="J713" s="4">
        <f t="shared" si="89"/>
        <v>1857.3983962776397</v>
      </c>
      <c r="K713" s="4">
        <f t="shared" si="83"/>
        <v>417.56179944194048</v>
      </c>
      <c r="L713" s="45">
        <f>Pressure!Q713</f>
        <v>1.5939497344745401</v>
      </c>
      <c r="M713" s="10">
        <f t="shared" si="84"/>
        <v>4.1441771831254579</v>
      </c>
      <c r="N713" s="10">
        <f t="shared" si="90"/>
        <v>2.9545467240956045</v>
      </c>
    </row>
    <row r="714" spans="3:14">
      <c r="C714" s="4">
        <f>Pressure!AB714*1000000</f>
        <v>6071835.3769396739</v>
      </c>
      <c r="D714" s="84">
        <f>Pressure!I714</f>
        <v>2.214727558899525E-4</v>
      </c>
      <c r="E714" s="40">
        <f>Pressure!H714</f>
        <v>221.47275588995251</v>
      </c>
      <c r="F714" s="10">
        <f t="shared" si="86"/>
        <v>8</v>
      </c>
      <c r="G714" s="4">
        <f t="shared" si="85"/>
        <v>122339.49012979289</v>
      </c>
      <c r="H714" s="45">
        <f t="shared" si="87"/>
        <v>9.3008434979127941</v>
      </c>
      <c r="I714" s="10">
        <f t="shared" si="88"/>
        <v>1.3805727958653535</v>
      </c>
      <c r="J714" s="4">
        <f t="shared" si="89"/>
        <v>1856.5199026666821</v>
      </c>
      <c r="K714" s="4">
        <f t="shared" si="83"/>
        <v>417.36430526205703</v>
      </c>
      <c r="L714" s="45">
        <f>Pressure!Q714</f>
        <v>1.5961802401778271</v>
      </c>
      <c r="M714" s="10">
        <f t="shared" si="84"/>
        <v>4.1419579736685908</v>
      </c>
      <c r="N714" s="10">
        <f t="shared" si="90"/>
        <v>2.9545467240956045</v>
      </c>
    </row>
    <row r="715" spans="3:14">
      <c r="C715" s="4">
        <f>Pressure!AB715*1000000</f>
        <v>6069204.3140200172</v>
      </c>
      <c r="D715" s="84">
        <f>Pressure!I715</f>
        <v>2.214727558899525E-4</v>
      </c>
      <c r="E715" s="40">
        <f>Pressure!H715</f>
        <v>221.47275588995251</v>
      </c>
      <c r="F715" s="10">
        <f t="shared" si="86"/>
        <v>8</v>
      </c>
      <c r="G715" s="4">
        <f t="shared" si="85"/>
        <v>122286.47767538532</v>
      </c>
      <c r="H715" s="45">
        <f t="shared" si="87"/>
        <v>9.297663859238952</v>
      </c>
      <c r="I715" s="10">
        <f t="shared" si="88"/>
        <v>1.3805151071525537</v>
      </c>
      <c r="J715" s="4">
        <f t="shared" si="89"/>
        <v>1855.6378877539448</v>
      </c>
      <c r="K715" s="4">
        <f t="shared" si="83"/>
        <v>417.16601945819542</v>
      </c>
      <c r="L715" s="45">
        <f>Pressure!Q715</f>
        <v>1.5984106033450565</v>
      </c>
      <c r="M715" s="10">
        <f t="shared" si="84"/>
        <v>4.139730003348836</v>
      </c>
      <c r="N715" s="10">
        <f t="shared" si="90"/>
        <v>2.9545467240956045</v>
      </c>
    </row>
    <row r="716" spans="3:14">
      <c r="C716" s="4">
        <f>Pressure!AB716*1000000</f>
        <v>6066562.7445763033</v>
      </c>
      <c r="D716" s="84">
        <f>Pressure!I716</f>
        <v>2.214727558899525E-4</v>
      </c>
      <c r="E716" s="40">
        <f>Pressure!H716</f>
        <v>221.47275588995251</v>
      </c>
      <c r="F716" s="10">
        <f t="shared" si="86"/>
        <v>8</v>
      </c>
      <c r="G716" s="4">
        <f t="shared" si="85"/>
        <v>122233.25352834837</v>
      </c>
      <c r="H716" s="45">
        <f t="shared" si="87"/>
        <v>9.2944712821143902</v>
      </c>
      <c r="I716" s="10">
        <f t="shared" si="88"/>
        <v>1.3804571377343828</v>
      </c>
      <c r="J716" s="4">
        <f t="shared" si="89"/>
        <v>1854.7523507244121</v>
      </c>
      <c r="K716" s="4">
        <f t="shared" si="83"/>
        <v>416.96694184713192</v>
      </c>
      <c r="L716" s="45">
        <f>Pressure!Q716</f>
        <v>1.600640823352163</v>
      </c>
      <c r="M716" s="10">
        <f t="shared" si="84"/>
        <v>4.1374932720135202</v>
      </c>
      <c r="N716" s="10">
        <f t="shared" si="90"/>
        <v>2.9545467240956045</v>
      </c>
    </row>
    <row r="717" spans="3:14">
      <c r="C717" s="4">
        <f>Pressure!AB717*1000000</f>
        <v>6063910.6661654394</v>
      </c>
      <c r="D717" s="84">
        <f>Pressure!I717</f>
        <v>2.214727558899525E-4</v>
      </c>
      <c r="E717" s="40">
        <f>Pressure!H717</f>
        <v>221.47275588995251</v>
      </c>
      <c r="F717" s="10">
        <f t="shared" si="86"/>
        <v>8</v>
      </c>
      <c r="G717" s="4">
        <f t="shared" si="85"/>
        <v>122179.81763945693</v>
      </c>
      <c r="H717" s="45">
        <f t="shared" si="87"/>
        <v>9.2912657605707949</v>
      </c>
      <c r="I717" s="10">
        <f t="shared" si="88"/>
        <v>1.3803988868889945</v>
      </c>
      <c r="J717" s="4">
        <f t="shared" si="89"/>
        <v>1853.8632907590822</v>
      </c>
      <c r="K717" s="4">
        <f t="shared" si="83"/>
        <v>416.76707224474671</v>
      </c>
      <c r="L717" s="45">
        <f>Pressure!Q717</f>
        <v>1.6028708995742738</v>
      </c>
      <c r="M717" s="10">
        <f t="shared" si="84"/>
        <v>4.1352477795102649</v>
      </c>
      <c r="N717" s="10">
        <f t="shared" si="90"/>
        <v>2.9545467240956045</v>
      </c>
    </row>
    <row r="718" spans="3:14">
      <c r="C718" s="4">
        <f>Pressure!AB718*1000000</f>
        <v>6061248.0763327265</v>
      </c>
      <c r="D718" s="84">
        <f>Pressure!I718</f>
        <v>2.214727558899525E-4</v>
      </c>
      <c r="E718" s="40">
        <f>Pressure!H718</f>
        <v>221.47275588995251</v>
      </c>
      <c r="F718" s="10">
        <f t="shared" si="86"/>
        <v>8</v>
      </c>
      <c r="G718" s="4">
        <f t="shared" si="85"/>
        <v>122126.16995925203</v>
      </c>
      <c r="H718" s="45">
        <f t="shared" si="87"/>
        <v>9.288047288610171</v>
      </c>
      <c r="I718" s="10">
        <f t="shared" si="88"/>
        <v>1.3803403538900039</v>
      </c>
      <c r="J718" s="4">
        <f t="shared" si="89"/>
        <v>1852.9707070350635</v>
      </c>
      <c r="K718" s="4">
        <f t="shared" si="83"/>
        <v>416.56641046604545</v>
      </c>
      <c r="L718" s="45">
        <f>Pressure!Q718</f>
        <v>1.6051008313857034</v>
      </c>
      <c r="M718" s="10">
        <f t="shared" si="84"/>
        <v>4.132993525684979</v>
      </c>
      <c r="N718" s="10">
        <f t="shared" si="90"/>
        <v>2.9545467240956045</v>
      </c>
    </row>
    <row r="719" spans="3:14">
      <c r="C719" s="4">
        <f>Pressure!AB719*1000000</f>
        <v>6058574.97261154</v>
      </c>
      <c r="D719" s="84">
        <f>Pressure!I719</f>
        <v>2.214727558899525E-4</v>
      </c>
      <c r="E719" s="40">
        <f>Pressure!H719</f>
        <v>221.47275588995251</v>
      </c>
      <c r="F719" s="10">
        <f t="shared" si="86"/>
        <v>8</v>
      </c>
      <c r="G719" s="4">
        <f t="shared" si="85"/>
        <v>122072.31043803443</v>
      </c>
      <c r="H719" s="45">
        <f t="shared" si="87"/>
        <v>9.2848158602044819</v>
      </c>
      <c r="I719" s="10">
        <f t="shared" si="88"/>
        <v>1.3802815380064584</v>
      </c>
      <c r="J719" s="4">
        <f t="shared" si="89"/>
        <v>1852.0745987254656</v>
      </c>
      <c r="K719" s="4">
        <f t="shared" ref="K719:K782" si="91">J719/4.4482</f>
        <v>416.36495632513504</v>
      </c>
      <c r="L719" s="45">
        <f>Pressure!Q719</f>
        <v>1.6073306181599498</v>
      </c>
      <c r="M719" s="10">
        <f t="shared" ref="M719:M782" si="92">(J719+J718)/2*(L719-L718)</f>
        <v>4.1307305103843728</v>
      </c>
      <c r="N719" s="10">
        <f t="shared" si="90"/>
        <v>2.9545467240956045</v>
      </c>
    </row>
    <row r="720" spans="3:14">
      <c r="C720" s="4">
        <f>Pressure!AB720*1000000</f>
        <v>6055891.3525234396</v>
      </c>
      <c r="D720" s="84">
        <f>Pressure!I720</f>
        <v>2.214727558899525E-4</v>
      </c>
      <c r="E720" s="40">
        <f>Pressure!H720</f>
        <v>221.47275588995251</v>
      </c>
      <c r="F720" s="10">
        <f t="shared" si="86"/>
        <v>8</v>
      </c>
      <c r="G720" s="4">
        <f t="shared" si="85"/>
        <v>122018.23902586685</v>
      </c>
      <c r="H720" s="45">
        <f t="shared" si="87"/>
        <v>9.2815714692956686</v>
      </c>
      <c r="I720" s="10">
        <f t="shared" si="88"/>
        <v>1.3802224385028141</v>
      </c>
      <c r="J720" s="4">
        <f t="shared" si="89"/>
        <v>1851.1749649994372</v>
      </c>
      <c r="K720" s="4">
        <f t="shared" si="91"/>
        <v>416.16270963523158</v>
      </c>
      <c r="L720" s="45">
        <f>Pressure!Q720</f>
        <v>1.6095602592696898</v>
      </c>
      <c r="M720" s="10">
        <f t="shared" si="92"/>
        <v>4.1284587334538809</v>
      </c>
      <c r="N720" s="10">
        <f t="shared" si="90"/>
        <v>2.9545467240956045</v>
      </c>
    </row>
    <row r="721" spans="3:14">
      <c r="C721" s="4">
        <f>Pressure!AB721*1000000</f>
        <v>6053197.2135781636</v>
      </c>
      <c r="D721" s="84">
        <f>Pressure!I721</f>
        <v>2.214727558899525E-4</v>
      </c>
      <c r="E721" s="40">
        <f>Pressure!H721</f>
        <v>221.47275588995251</v>
      </c>
      <c r="F721" s="10">
        <f t="shared" si="86"/>
        <v>8</v>
      </c>
      <c r="G721" s="4">
        <f t="shared" si="85"/>
        <v>121963.95567257375</v>
      </c>
      <c r="H721" s="45">
        <f t="shared" si="87"/>
        <v>9.2783141097956232</v>
      </c>
      <c r="I721" s="10">
        <f t="shared" si="88"/>
        <v>1.3801630546389114</v>
      </c>
      <c r="J721" s="4">
        <f t="shared" si="89"/>
        <v>1850.2718050221645</v>
      </c>
      <c r="K721" s="4">
        <f t="shared" si="91"/>
        <v>415.95967020866067</v>
      </c>
      <c r="L721" s="45">
        <f>Pressure!Q721</f>
        <v>1.6117897540867743</v>
      </c>
      <c r="M721" s="10">
        <f t="shared" si="92"/>
        <v>4.1261781947385776</v>
      </c>
      <c r="N721" s="10">
        <f t="shared" si="90"/>
        <v>2.9545467240956045</v>
      </c>
    </row>
    <row r="722" spans="3:14">
      <c r="C722" s="4">
        <f>Pressure!AB722*1000000</f>
        <v>6050492.5532736117</v>
      </c>
      <c r="D722" s="84">
        <f>Pressure!I722</f>
        <v>2.214727558899525E-4</v>
      </c>
      <c r="E722" s="40">
        <f>Pressure!H722</f>
        <v>221.47275588995251</v>
      </c>
      <c r="F722" s="10">
        <f t="shared" si="86"/>
        <v>8</v>
      </c>
      <c r="G722" s="4">
        <f t="shared" si="85"/>
        <v>121909.46032774114</v>
      </c>
      <c r="H722" s="45">
        <f t="shared" si="87"/>
        <v>9.2750437755861128</v>
      </c>
      <c r="I722" s="10">
        <f t="shared" si="88"/>
        <v>1.3801033856699509</v>
      </c>
      <c r="J722" s="4">
        <f t="shared" si="89"/>
        <v>1849.3651179548658</v>
      </c>
      <c r="K722" s="4">
        <f t="shared" si="91"/>
        <v>415.75583785685575</v>
      </c>
      <c r="L722" s="45">
        <f>Pressure!Q722</f>
        <v>1.6140191019822236</v>
      </c>
      <c r="M722" s="10">
        <f t="shared" si="92"/>
        <v>4.1238888940828202</v>
      </c>
      <c r="N722" s="10">
        <f t="shared" si="90"/>
        <v>2.9545467240956045</v>
      </c>
    </row>
    <row r="723" spans="3:14">
      <c r="C723" s="4">
        <f>Pressure!AB723*1000000</f>
        <v>6047777.3690956132</v>
      </c>
      <c r="D723" s="84">
        <f>Pressure!I723</f>
        <v>2.214727558899525E-4</v>
      </c>
      <c r="E723" s="40">
        <f>Pressure!H723</f>
        <v>221.47275588995251</v>
      </c>
      <c r="F723" s="10">
        <f t="shared" si="86"/>
        <v>8</v>
      </c>
      <c r="G723" s="4">
        <f t="shared" si="85"/>
        <v>121854.75294071178</v>
      </c>
      <c r="H723" s="45">
        <f t="shared" si="87"/>
        <v>9.2717604605184274</v>
      </c>
      <c r="I723" s="10">
        <f t="shared" si="88"/>
        <v>1.3800434308464613</v>
      </c>
      <c r="J723" s="4">
        <f t="shared" si="89"/>
        <v>1848.4549029547109</v>
      </c>
      <c r="K723" s="4">
        <f t="shared" si="91"/>
        <v>415.55121239034014</v>
      </c>
      <c r="L723" s="45">
        <f>Pressure!Q723</f>
        <v>1.616248302326224</v>
      </c>
      <c r="M723" s="10">
        <f t="shared" si="92"/>
        <v>4.1215908313314404</v>
      </c>
      <c r="N723" s="10">
        <f t="shared" si="90"/>
        <v>2.9545467240956045</v>
      </c>
    </row>
    <row r="724" spans="3:14">
      <c r="C724" s="4">
        <f>Pressure!AB724*1000000</f>
        <v>6045051.6585181775</v>
      </c>
      <c r="D724" s="84">
        <f>Pressure!I724</f>
        <v>2.214727558899525E-4</v>
      </c>
      <c r="E724" s="40">
        <f>Pressure!H724</f>
        <v>221.47275588995251</v>
      </c>
      <c r="F724" s="10">
        <f t="shared" si="86"/>
        <v>8</v>
      </c>
      <c r="G724" s="4">
        <f t="shared" si="85"/>
        <v>121799.83346059028</v>
      </c>
      <c r="H724" s="45">
        <f t="shared" si="87"/>
        <v>9.2684641584136607</v>
      </c>
      <c r="I724" s="10">
        <f t="shared" si="88"/>
        <v>1.3799831894142811</v>
      </c>
      <c r="J724" s="4">
        <f t="shared" si="89"/>
        <v>1847.5411591749087</v>
      </c>
      <c r="K724" s="4">
        <f t="shared" si="91"/>
        <v>415.3457936187466</v>
      </c>
      <c r="L724" s="45">
        <f>Pressure!Q724</f>
        <v>1.6184773544881219</v>
      </c>
      <c r="M724" s="10">
        <f t="shared" si="92"/>
        <v>4.1192840063281668</v>
      </c>
      <c r="N724" s="10">
        <f t="shared" si="90"/>
        <v>2.9545467240956045</v>
      </c>
    </row>
    <row r="725" spans="3:14">
      <c r="C725" s="4">
        <f>Pressure!AB725*1000000</f>
        <v>6042315.4190033125</v>
      </c>
      <c r="D725" s="84">
        <f>Pressure!I725</f>
        <v>2.214727558899525E-4</v>
      </c>
      <c r="E725" s="40">
        <f>Pressure!H725</f>
        <v>221.47275588995251</v>
      </c>
      <c r="F725" s="10">
        <f t="shared" si="86"/>
        <v>8</v>
      </c>
      <c r="G725" s="4">
        <f t="shared" si="85"/>
        <v>121744.70183623944</v>
      </c>
      <c r="H725" s="45">
        <f t="shared" si="87"/>
        <v>9.265154863062401</v>
      </c>
      <c r="I725" s="10">
        <f t="shared" si="88"/>
        <v>1.3799226606145287</v>
      </c>
      <c r="J725" s="4">
        <f t="shared" si="89"/>
        <v>1846.6238857646451</v>
      </c>
      <c r="K725" s="4">
        <f t="shared" si="91"/>
        <v>415.13958135080372</v>
      </c>
      <c r="L725" s="45">
        <f>Pressure!Q725</f>
        <v>1.62070625783642</v>
      </c>
      <c r="M725" s="10">
        <f t="shared" si="92"/>
        <v>4.1169684189157145</v>
      </c>
      <c r="N725" s="10">
        <f t="shared" si="90"/>
        <v>2.9545467240956045</v>
      </c>
    </row>
    <row r="726" spans="3:14">
      <c r="C726" s="4">
        <f>Pressure!AB726*1000000</f>
        <v>6039568.6480011027</v>
      </c>
      <c r="D726" s="84">
        <f>Pressure!I726</f>
        <v>2.214727558899525E-4</v>
      </c>
      <c r="E726" s="40">
        <f>Pressure!H726</f>
        <v>221.47275588995251</v>
      </c>
      <c r="F726" s="10">
        <f t="shared" si="86"/>
        <v>8</v>
      </c>
      <c r="G726" s="4">
        <f t="shared" si="85"/>
        <v>121689.35801628183</v>
      </c>
      <c r="H726" s="45">
        <f t="shared" si="87"/>
        <v>9.2618325682247953</v>
      </c>
      <c r="I726" s="10">
        <f t="shared" si="88"/>
        <v>1.3798618436835783</v>
      </c>
      <c r="J726" s="4">
        <f t="shared" si="89"/>
        <v>1845.7030818691082</v>
      </c>
      <c r="K726" s="4">
        <f t="shared" si="91"/>
        <v>414.93257539434114</v>
      </c>
      <c r="L726" s="45">
        <f>Pressure!Q726</f>
        <v>1.6229350117387724</v>
      </c>
      <c r="M726" s="10">
        <f t="shared" si="92"/>
        <v>4.1146440689374444</v>
      </c>
      <c r="N726" s="10">
        <f t="shared" si="90"/>
        <v>2.9545467240956045</v>
      </c>
    </row>
    <row r="727" spans="3:14">
      <c r="C727" s="4">
        <f>Pressure!AB727*1000000</f>
        <v>6036811.3429493867</v>
      </c>
      <c r="D727" s="84">
        <f>Pressure!I727</f>
        <v>2.214727558899525E-4</v>
      </c>
      <c r="E727" s="40">
        <f>Pressure!H727</f>
        <v>221.47275588995251</v>
      </c>
      <c r="F727" s="10">
        <f t="shared" si="86"/>
        <v>8</v>
      </c>
      <c r="G727" s="4">
        <f t="shared" si="85"/>
        <v>121633.80194909325</v>
      </c>
      <c r="H727" s="45">
        <f t="shared" si="87"/>
        <v>9.2584972676301085</v>
      </c>
      <c r="I727" s="10">
        <f t="shared" si="88"/>
        <v>1.3798007378530268</v>
      </c>
      <c r="J727" s="4">
        <f t="shared" si="89"/>
        <v>1844.7787466293805</v>
      </c>
      <c r="K727" s="4">
        <f t="shared" si="91"/>
        <v>414.72477555626557</v>
      </c>
      <c r="L727" s="45">
        <f>Pressure!Q727</f>
        <v>1.6251636155619804</v>
      </c>
      <c r="M727" s="10">
        <f t="shared" si="92"/>
        <v>4.1123109562356861</v>
      </c>
      <c r="N727" s="10">
        <f t="shared" si="90"/>
        <v>2.9545467240956045</v>
      </c>
    </row>
    <row r="728" spans="3:14">
      <c r="C728" s="4">
        <f>Pressure!AB728*1000000</f>
        <v>6034043.5012742495</v>
      </c>
      <c r="D728" s="84">
        <f>Pressure!I728</f>
        <v>2.214727558899525E-4</v>
      </c>
      <c r="E728" s="40">
        <f>Pressure!H728</f>
        <v>221.47275588995251</v>
      </c>
      <c r="F728" s="10">
        <f t="shared" si="86"/>
        <v>8</v>
      </c>
      <c r="G728" s="4">
        <f t="shared" si="85"/>
        <v>121578.03358281271</v>
      </c>
      <c r="H728" s="45">
        <f t="shared" si="87"/>
        <v>9.2551489549772334</v>
      </c>
      <c r="I728" s="10">
        <f t="shared" si="88"/>
        <v>1.3797393423496793</v>
      </c>
      <c r="J728" s="4">
        <f t="shared" si="89"/>
        <v>1843.8508791826057</v>
      </c>
      <c r="K728" s="4">
        <f t="shared" si="91"/>
        <v>414.51618164259827</v>
      </c>
      <c r="L728" s="45">
        <f>Pressure!Q728</f>
        <v>1.6273920686719872</v>
      </c>
      <c r="M728" s="10">
        <f t="shared" si="92"/>
        <v>4.1099690806518687</v>
      </c>
      <c r="N728" s="10">
        <f t="shared" si="90"/>
        <v>2.9545467240956045</v>
      </c>
    </row>
    <row r="729" spans="3:14">
      <c r="C729" s="4">
        <f>Pressure!AB729*1000000</f>
        <v>6031265.1203893926</v>
      </c>
      <c r="D729" s="84">
        <f>Pressure!I729</f>
        <v>2.214727558899525E-4</v>
      </c>
      <c r="E729" s="40">
        <f>Pressure!H729</f>
        <v>221.47275588995251</v>
      </c>
      <c r="F729" s="10">
        <f t="shared" si="86"/>
        <v>8</v>
      </c>
      <c r="G729" s="4">
        <f t="shared" si="85"/>
        <v>121522.05286532971</v>
      </c>
      <c r="H729" s="45">
        <f t="shared" si="87"/>
        <v>9.2517876239339145</v>
      </c>
      <c r="I729" s="10">
        <f t="shared" si="88"/>
        <v>1.379677656395508</v>
      </c>
      <c r="J729" s="4">
        <f t="shared" si="89"/>
        <v>1842.9194786617747</v>
      </c>
      <c r="K729" s="4">
        <f t="shared" si="91"/>
        <v>414.30679345842697</v>
      </c>
      <c r="L729" s="45">
        <f>Pressure!Q729</f>
        <v>1.6296203704338741</v>
      </c>
      <c r="M729" s="10">
        <f t="shared" si="92"/>
        <v>4.1076184420285715</v>
      </c>
      <c r="N729" s="10">
        <f t="shared" si="90"/>
        <v>2.9545467240956045</v>
      </c>
    </row>
    <row r="730" spans="3:14">
      <c r="C730" s="4">
        <f>Pressure!AB730*1000000</f>
        <v>6028476.1976966057</v>
      </c>
      <c r="D730" s="84">
        <f>Pressure!I730</f>
        <v>2.214727558899525E-4</v>
      </c>
      <c r="E730" s="40">
        <f>Pressure!H730</f>
        <v>221.47275588995251</v>
      </c>
      <c r="F730" s="10">
        <f t="shared" si="86"/>
        <v>8</v>
      </c>
      <c r="G730" s="4">
        <f t="shared" si="85"/>
        <v>121465.85974429372</v>
      </c>
      <c r="H730" s="45">
        <f t="shared" si="87"/>
        <v>9.2484132681372309</v>
      </c>
      <c r="I730" s="10">
        <f t="shared" si="88"/>
        <v>1.3796156792076362</v>
      </c>
      <c r="J730" s="4">
        <f t="shared" si="89"/>
        <v>1841.984544195886</v>
      </c>
      <c r="K730" s="4">
        <f t="shared" si="91"/>
        <v>414.09661080794166</v>
      </c>
      <c r="L730" s="45">
        <f>Pressure!Q730</f>
        <v>1.6318485202118551</v>
      </c>
      <c r="M730" s="10">
        <f t="shared" si="92"/>
        <v>4.1052590402058424</v>
      </c>
      <c r="N730" s="10">
        <f t="shared" si="90"/>
        <v>2.9545467240956045</v>
      </c>
    </row>
    <row r="731" spans="3:14">
      <c r="C731" s="4">
        <f>Pressure!AB731*1000000</f>
        <v>6025676.7305854578</v>
      </c>
      <c r="D731" s="84">
        <f>Pressure!I731</f>
        <v>2.214727558899525E-4</v>
      </c>
      <c r="E731" s="40">
        <f>Pressure!H731</f>
        <v>221.47275588995251</v>
      </c>
      <c r="F731" s="10">
        <f t="shared" si="86"/>
        <v>8</v>
      </c>
      <c r="G731" s="4">
        <f t="shared" si="85"/>
        <v>121409.45416710799</v>
      </c>
      <c r="H731" s="45">
        <f t="shared" si="87"/>
        <v>9.2450258811931825</v>
      </c>
      <c r="I731" s="10">
        <f t="shared" si="88"/>
        <v>1.3795534099983051</v>
      </c>
      <c r="J731" s="4">
        <f t="shared" si="89"/>
        <v>1841.0460749098406</v>
      </c>
      <c r="K731" s="4">
        <f t="shared" si="91"/>
        <v>413.88563349441137</v>
      </c>
      <c r="L731" s="45">
        <f>Pressure!Q731</f>
        <v>1.6340765173692726</v>
      </c>
      <c r="M731" s="10">
        <f t="shared" si="92"/>
        <v>4.1028908750245963</v>
      </c>
      <c r="N731" s="10">
        <f t="shared" si="90"/>
        <v>2.9545467240956045</v>
      </c>
    </row>
    <row r="732" spans="3:14">
      <c r="C732" s="4">
        <f>Pressure!AB732*1000000</f>
        <v>6022866.7164333696</v>
      </c>
      <c r="D732" s="84">
        <f>Pressure!I732</f>
        <v>2.214727558899525E-4</v>
      </c>
      <c r="E732" s="40">
        <f>Pressure!H732</f>
        <v>221.47275588995251</v>
      </c>
      <c r="F732" s="10">
        <f t="shared" si="86"/>
        <v>8</v>
      </c>
      <c r="G732" s="4">
        <f t="shared" ref="G732:G795" si="93">IF(C732/(1+(k-1)/2*N732^2)^(k/(k-1))&lt;patm*1000000,patm*1000000,C732/(1+(k-1)/2*N732^2)^(k/(k-1)))</f>
        <v>121352.83608093103</v>
      </c>
      <c r="H732" s="45">
        <f t="shared" si="87"/>
        <v>9.2416254566767151</v>
      </c>
      <c r="I732" s="10">
        <f t="shared" si="88"/>
        <v>1.3794908479748487</v>
      </c>
      <c r="J732" s="4">
        <f t="shared" si="89"/>
        <v>1840.1040699244686</v>
      </c>
      <c r="K732" s="4">
        <f t="shared" si="91"/>
        <v>413.67386132018987</v>
      </c>
      <c r="L732" s="45">
        <f>Pressure!Q732</f>
        <v>1.6363043612685928</v>
      </c>
      <c r="M732" s="10">
        <f t="shared" si="92"/>
        <v>4.1005139463253579</v>
      </c>
      <c r="N732" s="10">
        <f t="shared" si="90"/>
        <v>2.9545467240956045</v>
      </c>
    </row>
    <row r="733" spans="3:14">
      <c r="C733" s="4">
        <f>Pressure!AB733*1000000</f>
        <v>6020046.1526055103</v>
      </c>
      <c r="D733" s="84">
        <f>Pressure!I733</f>
        <v>2.214727558899525E-4</v>
      </c>
      <c r="E733" s="40">
        <f>Pressure!H733</f>
        <v>221.47275588995251</v>
      </c>
      <c r="F733" s="10">
        <f t="shared" ref="F733:F796" si="94">aexit/E733</f>
        <v>8</v>
      </c>
      <c r="G733" s="4">
        <f t="shared" si="93"/>
        <v>121296.00543267443</v>
      </c>
      <c r="H733" s="45">
        <f t="shared" ref="H733:H796" si="95">1/(((k+1)/2)^(1/(k-1))*(patm*1000000/C733)^(1/k)*SQRT((k+1)/(k-1)*(1-(patm*1000000/C733)^((k-1)/k))))</f>
        <v>9.2382119881315443</v>
      </c>
      <c r="I733" s="10">
        <f t="shared" ref="I733:I796" si="96">etanoz*SQRT(2*k^2/(k-1)*(2/(k+1))^((k+1)/(k-1))*(1-(G733/C733)^((k-1)/k)))+(G733-patm*1000000)/C733*(aexit/E733)</f>
        <v>1.3794279923396628</v>
      </c>
      <c r="J733" s="4">
        <f t="shared" ref="J733:J796" si="97">I733*D733*C733</f>
        <v>1839.1585283564916</v>
      </c>
      <c r="K733" s="4">
        <f t="shared" si="91"/>
        <v>413.46129408670737</v>
      </c>
      <c r="L733" s="45">
        <f>Pressure!Q733</f>
        <v>1.6385320512714006</v>
      </c>
      <c r="M733" s="10">
        <f t="shared" si="92"/>
        <v>4.0981282539474968</v>
      </c>
      <c r="N733" s="10">
        <f t="shared" si="90"/>
        <v>2.9545467240956045</v>
      </c>
    </row>
    <row r="734" spans="3:14">
      <c r="C734" s="4">
        <f>Pressure!AB734*1000000</f>
        <v>6017215.0364548657</v>
      </c>
      <c r="D734" s="84">
        <f>Pressure!I734</f>
        <v>2.214727558899525E-4</v>
      </c>
      <c r="E734" s="40">
        <f>Pressure!H734</f>
        <v>221.47275588995251</v>
      </c>
      <c r="F734" s="10">
        <f t="shared" si="94"/>
        <v>8</v>
      </c>
      <c r="G734" s="4">
        <f t="shared" si="93"/>
        <v>121238.96216900434</v>
      </c>
      <c r="H734" s="45">
        <f t="shared" si="95"/>
        <v>9.2347854690701734</v>
      </c>
      <c r="I734" s="10">
        <f t="shared" si="96"/>
        <v>1.3793648422901812</v>
      </c>
      <c r="J734" s="4">
        <f t="shared" si="97"/>
        <v>1838.2094493185468</v>
      </c>
      <c r="K734" s="4">
        <f t="shared" si="91"/>
        <v>413.24793159447569</v>
      </c>
      <c r="L734" s="45">
        <f>Pressure!Q734</f>
        <v>1.6407595867383953</v>
      </c>
      <c r="M734" s="10">
        <f t="shared" si="92"/>
        <v>4.0957337977309045</v>
      </c>
      <c r="N734" s="10">
        <f t="shared" ref="N734:N797" si="98">N733-1/834*(me-mef)</f>
        <v>2.9545467240956045</v>
      </c>
    </row>
    <row r="735" spans="3:14">
      <c r="C735" s="4">
        <f>Pressure!AB735*1000000</f>
        <v>6014373.3653221512</v>
      </c>
      <c r="D735" s="84">
        <f>Pressure!I735</f>
        <v>2.214727558899525E-4</v>
      </c>
      <c r="E735" s="40">
        <f>Pressure!H735</f>
        <v>221.47275588995251</v>
      </c>
      <c r="F735" s="10">
        <f t="shared" si="94"/>
        <v>8</v>
      </c>
      <c r="G735" s="4">
        <f t="shared" si="93"/>
        <v>121181.70623633971</v>
      </c>
      <c r="H735" s="45">
        <f t="shared" si="95"/>
        <v>9.2313458929737422</v>
      </c>
      <c r="I735" s="10">
        <f t="shared" si="96"/>
        <v>1.3793013970188441</v>
      </c>
      <c r="J735" s="4">
        <f t="shared" si="97"/>
        <v>1837.2568319191591</v>
      </c>
      <c r="K735" s="4">
        <f t="shared" si="91"/>
        <v>413.03377364308238</v>
      </c>
      <c r="L735" s="45">
        <f>Pressure!Q735</f>
        <v>1.6429869670293853</v>
      </c>
      <c r="M735" s="10">
        <f t="shared" si="92"/>
        <v>4.0933305775136075</v>
      </c>
      <c r="N735" s="10">
        <f t="shared" si="98"/>
        <v>2.9545467240956045</v>
      </c>
    </row>
    <row r="736" spans="3:14">
      <c r="C736" s="4">
        <f>Pressure!AB736*1000000</f>
        <v>6011521.1365357284</v>
      </c>
      <c r="D736" s="84">
        <f>Pressure!I736</f>
        <v>2.214727558899525E-4</v>
      </c>
      <c r="E736" s="40">
        <f>Pressure!H736</f>
        <v>221.47275588995251</v>
      </c>
      <c r="F736" s="10">
        <f t="shared" si="94"/>
        <v>8</v>
      </c>
      <c r="G736" s="4">
        <f t="shared" si="93"/>
        <v>121124.2375808505</v>
      </c>
      <c r="H736" s="45">
        <f t="shared" si="95"/>
        <v>9.2278932532918478</v>
      </c>
      <c r="I736" s="10">
        <f t="shared" si="96"/>
        <v>1.3792376557130701</v>
      </c>
      <c r="J736" s="4">
        <f t="shared" si="97"/>
        <v>1836.3006752627109</v>
      </c>
      <c r="K736" s="4">
        <f t="shared" si="91"/>
        <v>412.81882003118363</v>
      </c>
      <c r="L736" s="45">
        <f>Pressure!Q736</f>
        <v>1.6452141915032841</v>
      </c>
      <c r="M736" s="10">
        <f t="shared" si="92"/>
        <v>4.0909185931350294</v>
      </c>
      <c r="N736" s="10">
        <f t="shared" si="98"/>
        <v>2.9545467240956045</v>
      </c>
    </row>
    <row r="737" spans="3:14">
      <c r="C737" s="4">
        <f>Pressure!AB737*1000000</f>
        <v>6008658.3474117126</v>
      </c>
      <c r="D737" s="84">
        <f>Pressure!I737</f>
        <v>2.214727558899525E-4</v>
      </c>
      <c r="E737" s="40">
        <f>Pressure!H737</f>
        <v>221.47275588995251</v>
      </c>
      <c r="F737" s="10">
        <f t="shared" si="94"/>
        <v>8</v>
      </c>
      <c r="G737" s="4">
        <f t="shared" si="93"/>
        <v>121066.55614846</v>
      </c>
      <c r="H737" s="45">
        <f t="shared" si="95"/>
        <v>9.2244275434426388</v>
      </c>
      <c r="I737" s="10">
        <f t="shared" si="96"/>
        <v>1.3791736175552292</v>
      </c>
      <c r="J737" s="4">
        <f t="shared" si="97"/>
        <v>1835.3409784494806</v>
      </c>
      <c r="K737" s="4">
        <f t="shared" si="91"/>
        <v>412.60307055651288</v>
      </c>
      <c r="L737" s="45">
        <f>Pressure!Q737</f>
        <v>1.6474412595181047</v>
      </c>
      <c r="M737" s="10">
        <f t="shared" si="92"/>
        <v>4.0884978444327968</v>
      </c>
      <c r="N737" s="10">
        <f t="shared" si="98"/>
        <v>2.9545467240956045</v>
      </c>
    </row>
    <row r="738" spans="3:14">
      <c r="C738" s="4">
        <f>Pressure!AB738*1000000</f>
        <v>6005784.9952538228</v>
      </c>
      <c r="D738" s="84">
        <f>Pressure!I738</f>
        <v>2.214727558899525E-4</v>
      </c>
      <c r="E738" s="40">
        <f>Pressure!H738</f>
        <v>221.47275588995251</v>
      </c>
      <c r="F738" s="10">
        <f t="shared" si="94"/>
        <v>8</v>
      </c>
      <c r="G738" s="4">
        <f t="shared" si="93"/>
        <v>121008.66188484168</v>
      </c>
      <c r="H738" s="45">
        <f t="shared" si="95"/>
        <v>9.2209487568125699</v>
      </c>
      <c r="I738" s="10">
        <f t="shared" si="96"/>
        <v>1.3791092817226116</v>
      </c>
      <c r="J738" s="4">
        <f t="shared" si="97"/>
        <v>1834.3777405755893</v>
      </c>
      <c r="K738" s="4">
        <f t="shared" si="91"/>
        <v>412.38652501586921</v>
      </c>
      <c r="L738" s="45">
        <f>Pressure!Q738</f>
        <v>1.6496681704309555</v>
      </c>
      <c r="M738" s="10">
        <f t="shared" si="92"/>
        <v>4.0860683312448307</v>
      </c>
      <c r="N738" s="10">
        <f t="shared" si="98"/>
        <v>2.9545467240956045</v>
      </c>
    </row>
    <row r="739" spans="3:14">
      <c r="C739" s="4">
        <f>Pressure!AB739*1000000</f>
        <v>6002901.0773533303</v>
      </c>
      <c r="D739" s="84">
        <f>Pressure!I739</f>
        <v>2.214727558899525E-4</v>
      </c>
      <c r="E739" s="40">
        <f>Pressure!H739</f>
        <v>221.47275588995251</v>
      </c>
      <c r="F739" s="10">
        <f t="shared" si="94"/>
        <v>8</v>
      </c>
      <c r="G739" s="4">
        <f t="shared" si="93"/>
        <v>120950.55473541823</v>
      </c>
      <c r="H739" s="45">
        <f t="shared" si="95"/>
        <v>9.2174568867562705</v>
      </c>
      <c r="I739" s="10">
        <f t="shared" si="96"/>
        <v>1.3790446473873981</v>
      </c>
      <c r="J739" s="4">
        <f t="shared" si="97"/>
        <v>1833.4109607329863</v>
      </c>
      <c r="K739" s="4">
        <f t="shared" si="91"/>
        <v>412.1691832051136</v>
      </c>
      <c r="L739" s="45">
        <f>Pressure!Q739</f>
        <v>1.6518949235980349</v>
      </c>
      <c r="M739" s="10">
        <f t="shared" si="92"/>
        <v>4.0836300534085126</v>
      </c>
      <c r="N739" s="10">
        <f t="shared" si="98"/>
        <v>2.9545467240956045</v>
      </c>
    </row>
    <row r="740" spans="3:14">
      <c r="C740" s="4">
        <f>Pressure!AB740*1000000</f>
        <v>6000006.5909892237</v>
      </c>
      <c r="D740" s="84">
        <f>Pressure!I740</f>
        <v>2.214727558899525E-4</v>
      </c>
      <c r="E740" s="40">
        <f>Pressure!H740</f>
        <v>221.47275588995251</v>
      </c>
      <c r="F740" s="10">
        <f t="shared" si="94"/>
        <v>8</v>
      </c>
      <c r="G740" s="4">
        <f t="shared" si="93"/>
        <v>120892.23464536485</v>
      </c>
      <c r="H740" s="45">
        <f t="shared" si="95"/>
        <v>9.2139519265966836</v>
      </c>
      <c r="I740" s="10">
        <f t="shared" si="96"/>
        <v>1.3789797137166346</v>
      </c>
      <c r="J740" s="4">
        <f t="shared" si="97"/>
        <v>1832.4406380095036</v>
      </c>
      <c r="K740" s="4">
        <f t="shared" si="91"/>
        <v>411.95104491918158</v>
      </c>
      <c r="L740" s="45">
        <f>Pressure!Q740</f>
        <v>1.6541215183746267</v>
      </c>
      <c r="M740" s="10">
        <f t="shared" si="92"/>
        <v>4.0811830107603946</v>
      </c>
      <c r="N740" s="10">
        <f t="shared" si="98"/>
        <v>2.9545467240956045</v>
      </c>
    </row>
    <row r="741" spans="3:14">
      <c r="C741" s="4">
        <f>Pressure!AB741*1000000</f>
        <v>5997101.533427964</v>
      </c>
      <c r="D741" s="84">
        <f>Pressure!I741</f>
        <v>2.214727558899525E-4</v>
      </c>
      <c r="E741" s="40">
        <f>Pressure!H741</f>
        <v>221.47275588995251</v>
      </c>
      <c r="F741" s="10">
        <f t="shared" si="94"/>
        <v>8</v>
      </c>
      <c r="G741" s="4">
        <f t="shared" si="93"/>
        <v>120833.70155960432</v>
      </c>
      <c r="H741" s="45">
        <f t="shared" si="95"/>
        <v>9.2104338696247385</v>
      </c>
      <c r="I741" s="10">
        <f t="shared" si="96"/>
        <v>1.3789144798721982</v>
      </c>
      <c r="J741" s="4">
        <f t="shared" si="97"/>
        <v>1831.4667714887723</v>
      </c>
      <c r="K741" s="4">
        <f t="shared" si="91"/>
        <v>411.73210995206426</v>
      </c>
      <c r="L741" s="45">
        <f>Pressure!Q741</f>
        <v>1.6563479541150952</v>
      </c>
      <c r="M741" s="10">
        <f t="shared" si="92"/>
        <v>4.0787272031370403</v>
      </c>
      <c r="N741" s="10">
        <f t="shared" si="98"/>
        <v>2.9545467240956045</v>
      </c>
    </row>
    <row r="742" spans="3:14">
      <c r="C742" s="4">
        <f>Pressure!AB742*1000000</f>
        <v>5994185.9019234674</v>
      </c>
      <c r="D742" s="84">
        <f>Pressure!I742</f>
        <v>2.214727558899525E-4</v>
      </c>
      <c r="E742" s="40">
        <f>Pressure!H742</f>
        <v>221.47275588995251</v>
      </c>
      <c r="F742" s="10">
        <f t="shared" si="94"/>
        <v>8</v>
      </c>
      <c r="G742" s="4">
        <f t="shared" si="93"/>
        <v>120774.95542280668</v>
      </c>
      <c r="H742" s="45">
        <f t="shared" si="95"/>
        <v>9.206902709099225</v>
      </c>
      <c r="I742" s="10">
        <f t="shared" si="96"/>
        <v>1.3788489450107664</v>
      </c>
      <c r="J742" s="4">
        <f t="shared" si="97"/>
        <v>1830.4893602502193</v>
      </c>
      <c r="K742" s="4">
        <f t="shared" si="91"/>
        <v>411.51237809680754</v>
      </c>
      <c r="L742" s="45">
        <f>Pressure!Q742</f>
        <v>1.6585742301728803</v>
      </c>
      <c r="M742" s="10">
        <f t="shared" si="92"/>
        <v>4.0762626303749965</v>
      </c>
      <c r="N742" s="10">
        <f t="shared" si="98"/>
        <v>2.9545467240956045</v>
      </c>
    </row>
    <row r="743" spans="3:14">
      <c r="C743" s="4">
        <f>Pressure!AB743*1000000</f>
        <v>5991259.6937173028</v>
      </c>
      <c r="D743" s="84">
        <f>Pressure!I743</f>
        <v>2.214727558899525E-4</v>
      </c>
      <c r="E743" s="40">
        <f>Pressure!H743</f>
        <v>221.47275588995251</v>
      </c>
      <c r="F743" s="10">
        <f t="shared" si="94"/>
        <v>8</v>
      </c>
      <c r="G743" s="4">
        <f t="shared" si="93"/>
        <v>120715.99617939316</v>
      </c>
      <c r="H743" s="45">
        <f t="shared" si="95"/>
        <v>9.2033584382470082</v>
      </c>
      <c r="I743" s="10">
        <f t="shared" si="96"/>
        <v>1.3787831082837934</v>
      </c>
      <c r="J743" s="4">
        <f t="shared" si="97"/>
        <v>1829.5084033691321</v>
      </c>
      <c r="K743" s="4">
        <f t="shared" si="91"/>
        <v>411.29184914552678</v>
      </c>
      <c r="L743" s="45">
        <f>Pressure!Q743</f>
        <v>1.6608003459004925</v>
      </c>
      <c r="M743" s="10">
        <f t="shared" si="92"/>
        <v>4.0737892923092973</v>
      </c>
      <c r="N743" s="10">
        <f t="shared" si="98"/>
        <v>2.9545467240956045</v>
      </c>
    </row>
    <row r="744" spans="3:14">
      <c r="C744" s="4">
        <f>Pressure!AB744*1000000</f>
        <v>5988322.9060383495</v>
      </c>
      <c r="D744" s="84">
        <f>Pressure!I744</f>
        <v>2.214727558899525E-4</v>
      </c>
      <c r="E744" s="40">
        <f>Pressure!H744</f>
        <v>221.47275588995251</v>
      </c>
      <c r="F744" s="10">
        <f t="shared" si="94"/>
        <v>8</v>
      </c>
      <c r="G744" s="4">
        <f t="shared" si="93"/>
        <v>120656.82377352934</v>
      </c>
      <c r="H744" s="45">
        <f t="shared" si="95"/>
        <v>9.1998010502625434</v>
      </c>
      <c r="I744" s="10">
        <f t="shared" si="96"/>
        <v>1.3787169688374712</v>
      </c>
      <c r="J744" s="4">
        <f t="shared" si="97"/>
        <v>1828.5238999165438</v>
      </c>
      <c r="K744" s="4">
        <f t="shared" si="91"/>
        <v>411.07052288938081</v>
      </c>
      <c r="L744" s="45">
        <f>Pressure!Q744</f>
        <v>1.6630263006495083</v>
      </c>
      <c r="M744" s="10">
        <f t="shared" si="92"/>
        <v>4.0713071887759194</v>
      </c>
      <c r="N744" s="10">
        <f t="shared" si="98"/>
        <v>2.9545467240956045</v>
      </c>
    </row>
    <row r="745" spans="3:14">
      <c r="C745" s="4">
        <f>Pressure!AB745*1000000</f>
        <v>5985375.5361029608</v>
      </c>
      <c r="D745" s="84">
        <f>Pressure!I745</f>
        <v>2.214727558899525E-4</v>
      </c>
      <c r="E745" s="40">
        <f>Pressure!H745</f>
        <v>221.47275588995251</v>
      </c>
      <c r="F745" s="10">
        <f t="shared" si="94"/>
        <v>8</v>
      </c>
      <c r="G745" s="4">
        <f t="shared" si="93"/>
        <v>120597.43814912839</v>
      </c>
      <c r="H745" s="45">
        <f t="shared" si="95"/>
        <v>9.1962305383080043</v>
      </c>
      <c r="I745" s="10">
        <f t="shared" si="96"/>
        <v>1.3786505258127046</v>
      </c>
      <c r="J745" s="4">
        <f t="shared" si="97"/>
        <v>1827.5358489592882</v>
      </c>
      <c r="K745" s="4">
        <f t="shared" si="91"/>
        <v>410.84839911858467</v>
      </c>
      <c r="L745" s="45">
        <f>Pressure!Q745</f>
        <v>1.6652520937705646</v>
      </c>
      <c r="M745" s="10">
        <f t="shared" si="92"/>
        <v>4.068816319609339</v>
      </c>
      <c r="N745" s="10">
        <f t="shared" si="98"/>
        <v>2.9545467240956045</v>
      </c>
    </row>
    <row r="746" spans="3:14">
      <c r="C746" s="4">
        <f>Pressure!AB746*1000000</f>
        <v>5982417.5811148705</v>
      </c>
      <c r="D746" s="84">
        <f>Pressure!I746</f>
        <v>2.214727558899525E-4</v>
      </c>
      <c r="E746" s="40">
        <f>Pressure!H746</f>
        <v>221.47275588995251</v>
      </c>
      <c r="F746" s="10">
        <f t="shared" si="94"/>
        <v>8</v>
      </c>
      <c r="G746" s="4">
        <f t="shared" si="93"/>
        <v>120537.83924984923</v>
      </c>
      <c r="H746" s="45">
        <f t="shared" si="95"/>
        <v>9.1926468955131142</v>
      </c>
      <c r="I746" s="10">
        <f t="shared" si="96"/>
        <v>1.3785837783450778</v>
      </c>
      <c r="J746" s="4">
        <f t="shared" si="97"/>
        <v>1826.5442495599698</v>
      </c>
      <c r="K746" s="4">
        <f t="shared" si="91"/>
        <v>410.62547762240229</v>
      </c>
      <c r="L746" s="45">
        <f>Pressure!Q746</f>
        <v>1.6674777246133545</v>
      </c>
      <c r="M746" s="10">
        <f t="shared" si="92"/>
        <v>4.0663166846446588</v>
      </c>
      <c r="N746" s="10">
        <f t="shared" si="98"/>
        <v>2.9545467240956045</v>
      </c>
    </row>
    <row r="747" spans="3:14">
      <c r="C747" s="4">
        <f>Pressure!AB747*1000000</f>
        <v>5979449.0382651575</v>
      </c>
      <c r="D747" s="84">
        <f>Pressure!I747</f>
        <v>2.214727558899525E-4</v>
      </c>
      <c r="E747" s="40">
        <f>Pressure!H747</f>
        <v>221.47275588995251</v>
      </c>
      <c r="F747" s="10">
        <f t="shared" si="94"/>
        <v>8</v>
      </c>
      <c r="G747" s="4">
        <f t="shared" si="93"/>
        <v>120478.02701909581</v>
      </c>
      <c r="H747" s="45">
        <f t="shared" si="95"/>
        <v>9.1890501149750392</v>
      </c>
      <c r="I747" s="10">
        <f t="shared" si="96"/>
        <v>1.3785167255648234</v>
      </c>
      <c r="J747" s="4">
        <f t="shared" si="97"/>
        <v>1825.5491007769492</v>
      </c>
      <c r="K747" s="4">
        <f t="shared" si="91"/>
        <v>410.40175818914378</v>
      </c>
      <c r="L747" s="45">
        <f>Pressure!Q747</f>
        <v>1.6697031925266219</v>
      </c>
      <c r="M747" s="10">
        <f t="shared" si="92"/>
        <v>4.0638082837160017</v>
      </c>
      <c r="N747" s="10">
        <f t="shared" si="98"/>
        <v>2.9545467240956045</v>
      </c>
    </row>
    <row r="748" spans="3:14">
      <c r="C748" s="4">
        <f>Pressure!AB748*1000000</f>
        <v>5976469.9047322422</v>
      </c>
      <c r="D748" s="84">
        <f>Pressure!I748</f>
        <v>2.214727558899525E-4</v>
      </c>
      <c r="E748" s="40">
        <f>Pressure!H748</f>
        <v>221.47275588995251</v>
      </c>
      <c r="F748" s="10">
        <f t="shared" si="94"/>
        <v>8</v>
      </c>
      <c r="G748" s="4">
        <f t="shared" si="93"/>
        <v>120418.00140001699</v>
      </c>
      <c r="H748" s="45">
        <f t="shared" si="95"/>
        <v>9.1854401897583102</v>
      </c>
      <c r="I748" s="10">
        <f t="shared" si="96"/>
        <v>1.3784493665967916</v>
      </c>
      <c r="J748" s="4">
        <f t="shared" si="97"/>
        <v>1824.5504016643449</v>
      </c>
      <c r="K748" s="4">
        <f t="shared" si="91"/>
        <v>410.17724060616541</v>
      </c>
      <c r="L748" s="45">
        <f>Pressure!Q748</f>
        <v>1.6719284968581563</v>
      </c>
      <c r="M748" s="10">
        <f t="shared" si="92"/>
        <v>4.0612911166569736</v>
      </c>
      <c r="N748" s="10">
        <f t="shared" si="98"/>
        <v>2.9545467240956045</v>
      </c>
    </row>
    <row r="749" spans="3:14">
      <c r="C749" s="4">
        <f>Pressure!AB749*1000000</f>
        <v>5973480.1776818549</v>
      </c>
      <c r="D749" s="84">
        <f>Pressure!I749</f>
        <v>2.214727558899525E-4</v>
      </c>
      <c r="E749" s="40">
        <f>Pressure!H749</f>
        <v>221.47275588995251</v>
      </c>
      <c r="F749" s="10">
        <f t="shared" si="94"/>
        <v>8</v>
      </c>
      <c r="G749" s="4">
        <f t="shared" si="93"/>
        <v>120357.76233550599</v>
      </c>
      <c r="H749" s="45">
        <f t="shared" si="95"/>
        <v>9.181817112894775</v>
      </c>
      <c r="I749" s="10">
        <f t="shared" si="96"/>
        <v>1.3783817005604189</v>
      </c>
      <c r="J749" s="4">
        <f t="shared" si="97"/>
        <v>1823.5481512720212</v>
      </c>
      <c r="K749" s="4">
        <f t="shared" si="91"/>
        <v>409.95192465986719</v>
      </c>
      <c r="L749" s="45">
        <f>Pressure!Q749</f>
        <v>1.6741536369547878</v>
      </c>
      <c r="M749" s="10">
        <f t="shared" si="92"/>
        <v>4.0587651833011229</v>
      </c>
      <c r="N749" s="10">
        <f t="shared" si="98"/>
        <v>2.9545467240956045</v>
      </c>
    </row>
    <row r="750" spans="3:14">
      <c r="C750" s="4">
        <f>Pressure!AB750*1000000</f>
        <v>5970479.8542669108</v>
      </c>
      <c r="D750" s="84">
        <f>Pressure!I750</f>
        <v>2.214727558899525E-4</v>
      </c>
      <c r="E750" s="40">
        <f>Pressure!H750</f>
        <v>221.47275588995251</v>
      </c>
      <c r="F750" s="10">
        <f t="shared" si="94"/>
        <v>8</v>
      </c>
      <c r="G750" s="4">
        <f t="shared" si="93"/>
        <v>120297.3097681978</v>
      </c>
      <c r="H750" s="45">
        <f t="shared" si="95"/>
        <v>9.1781808773832907</v>
      </c>
      <c r="I750" s="10">
        <f t="shared" si="96"/>
        <v>1.3783137265696923</v>
      </c>
      <c r="J750" s="4">
        <f t="shared" si="97"/>
        <v>1822.5423486455447</v>
      </c>
      <c r="K750" s="4">
        <f t="shared" si="91"/>
        <v>409.72581013568293</v>
      </c>
      <c r="L750" s="45">
        <f>Pressure!Q750</f>
        <v>1.6763786121623827</v>
      </c>
      <c r="M750" s="10">
        <f t="shared" si="92"/>
        <v>4.0562304834819463</v>
      </c>
      <c r="N750" s="10">
        <f t="shared" si="98"/>
        <v>2.9545467240956045</v>
      </c>
    </row>
    <row r="751" spans="3:14">
      <c r="C751" s="4">
        <f>Pressure!AB751*1000000</f>
        <v>5967468.931627675</v>
      </c>
      <c r="D751" s="84">
        <f>Pressure!I751</f>
        <v>2.214727558899525E-4</v>
      </c>
      <c r="E751" s="40">
        <f>Pressure!H751</f>
        <v>221.47275588995251</v>
      </c>
      <c r="F751" s="10">
        <f t="shared" si="94"/>
        <v>8</v>
      </c>
      <c r="G751" s="4">
        <f t="shared" si="93"/>
        <v>120236.64364047251</v>
      </c>
      <c r="H751" s="45">
        <f t="shared" si="95"/>
        <v>9.1745314761899461</v>
      </c>
      <c r="I751" s="10">
        <f t="shared" si="96"/>
        <v>1.3782454437331237</v>
      </c>
      <c r="J751" s="4">
        <f t="shared" si="97"/>
        <v>1821.5329928262436</v>
      </c>
      <c r="K751" s="4">
        <f t="shared" si="91"/>
        <v>409.4988968180935</v>
      </c>
      <c r="L751" s="45">
        <f>Pressure!Q751</f>
        <v>1.6786034218258374</v>
      </c>
      <c r="M751" s="10">
        <f t="shared" si="92"/>
        <v>4.0536870170317645</v>
      </c>
      <c r="N751" s="10">
        <f t="shared" si="98"/>
        <v>2.9545467240956045</v>
      </c>
    </row>
    <row r="752" spans="3:14">
      <c r="C752" s="4">
        <f>Pressure!AB752*1000000</f>
        <v>5964447.4068915816</v>
      </c>
      <c r="D752" s="84">
        <f>Pressure!I752</f>
        <v>2.214727558899525E-4</v>
      </c>
      <c r="E752" s="40">
        <f>Pressure!H752</f>
        <v>221.47275588995251</v>
      </c>
      <c r="F752" s="10">
        <f t="shared" si="94"/>
        <v>8</v>
      </c>
      <c r="G752" s="4">
        <f t="shared" si="93"/>
        <v>120175.76389445171</v>
      </c>
      <c r="H752" s="45">
        <f t="shared" si="95"/>
        <v>9.1708689022477312</v>
      </c>
      <c r="I752" s="10">
        <f t="shared" si="96"/>
        <v>1.3781768511537122</v>
      </c>
      <c r="J752" s="4">
        <f t="shared" si="97"/>
        <v>1820.520082851142</v>
      </c>
      <c r="K752" s="4">
        <f t="shared" si="91"/>
        <v>409.27118449061237</v>
      </c>
      <c r="L752" s="45">
        <f>Pressure!Q752</f>
        <v>1.6808280652890739</v>
      </c>
      <c r="M752" s="10">
        <f t="shared" si="92"/>
        <v>4.0511347837829979</v>
      </c>
      <c r="N752" s="10">
        <f t="shared" si="98"/>
        <v>2.9545467240956045</v>
      </c>
    </row>
    <row r="753" spans="3:14">
      <c r="C753" s="4">
        <f>Pressure!AB753*1000000</f>
        <v>5961415.2771730358</v>
      </c>
      <c r="D753" s="84">
        <f>Pressure!I753</f>
        <v>2.214727558899525E-4</v>
      </c>
      <c r="E753" s="40">
        <f>Pressure!H753</f>
        <v>221.47275588995251</v>
      </c>
      <c r="F753" s="10">
        <f t="shared" si="94"/>
        <v>8</v>
      </c>
      <c r="G753" s="4">
        <f t="shared" si="93"/>
        <v>120114.67047199445</v>
      </c>
      <c r="H753" s="45">
        <f t="shared" si="95"/>
        <v>9.1671931484562492</v>
      </c>
      <c r="I753" s="10">
        <f t="shared" si="96"/>
        <v>1.3781079479289091</v>
      </c>
      <c r="J753" s="4">
        <f t="shared" si="97"/>
        <v>1819.5036177528998</v>
      </c>
      <c r="K753" s="4">
        <f t="shared" si="91"/>
        <v>409.04267293577175</v>
      </c>
      <c r="L753" s="45">
        <f>Pressure!Q753</f>
        <v>1.6830525418950348</v>
      </c>
      <c r="M753" s="10">
        <f t="shared" si="92"/>
        <v>4.0485737835684992</v>
      </c>
      <c r="N753" s="10">
        <f t="shared" si="98"/>
        <v>2.9545467240956045</v>
      </c>
    </row>
    <row r="754" spans="3:14">
      <c r="C754" s="4">
        <f>Pressure!AB754*1000000</f>
        <v>5958372.5395737896</v>
      </c>
      <c r="D754" s="84">
        <f>Pressure!I754</f>
        <v>2.214727558899525E-4</v>
      </c>
      <c r="E754" s="40">
        <f>Pressure!H754</f>
        <v>221.47275588995251</v>
      </c>
      <c r="F754" s="10">
        <f t="shared" si="94"/>
        <v>8</v>
      </c>
      <c r="G754" s="4">
        <f t="shared" si="93"/>
        <v>120053.36331470485</v>
      </c>
      <c r="H754" s="45">
        <f t="shared" si="95"/>
        <v>9.1635042076820934</v>
      </c>
      <c r="I754" s="10">
        <f t="shared" si="96"/>
        <v>1.3780387331505921</v>
      </c>
      <c r="J754" s="4">
        <f t="shared" si="97"/>
        <v>1818.4835965599323</v>
      </c>
      <c r="K754" s="4">
        <f t="shared" si="91"/>
        <v>408.81336193514954</v>
      </c>
      <c r="L754" s="45">
        <f>Pressure!Q754</f>
        <v>1.6852768509856779</v>
      </c>
      <c r="M754" s="10">
        <f t="shared" si="92"/>
        <v>4.0460040162196709</v>
      </c>
      <c r="N754" s="10">
        <f t="shared" si="98"/>
        <v>2.9545467240956045</v>
      </c>
    </row>
    <row r="755" spans="3:14">
      <c r="C755" s="4">
        <f>Pressure!AB755*1000000</f>
        <v>5955319.1911825826</v>
      </c>
      <c r="D755" s="84">
        <f>Pressure!I755</f>
        <v>2.214727558899525E-4</v>
      </c>
      <c r="E755" s="40">
        <f>Pressure!H755</f>
        <v>221.47275588995251</v>
      </c>
      <c r="F755" s="10">
        <f t="shared" si="94"/>
        <v>8</v>
      </c>
      <c r="G755" s="4">
        <f t="shared" si="93"/>
        <v>119991.84236392488</v>
      </c>
      <c r="H755" s="45">
        <f t="shared" si="95"/>
        <v>9.1598020727583673</v>
      </c>
      <c r="I755" s="10">
        <f t="shared" si="96"/>
        <v>1.3779692059050261</v>
      </c>
      <c r="J755" s="4">
        <f t="shared" si="97"/>
        <v>1817.4600182962934</v>
      </c>
      <c r="K755" s="4">
        <f t="shared" si="91"/>
        <v>408.58325126934341</v>
      </c>
      <c r="L755" s="45">
        <f>Pressure!Q755</f>
        <v>1.6875009919019708</v>
      </c>
      <c r="M755" s="10">
        <f t="shared" si="92"/>
        <v>4.0434254815677502</v>
      </c>
      <c r="N755" s="10">
        <f t="shared" si="98"/>
        <v>2.9545467240956045</v>
      </c>
    </row>
    <row r="756" spans="3:14">
      <c r="C756" s="4">
        <f>Pressure!AB756*1000000</f>
        <v>5952255.2290752297</v>
      </c>
      <c r="D756" s="84">
        <f>Pressure!I756</f>
        <v>2.214727558899525E-4</v>
      </c>
      <c r="E756" s="40">
        <f>Pressure!H756</f>
        <v>221.47275588995251</v>
      </c>
      <c r="F756" s="10">
        <f t="shared" si="94"/>
        <v>8</v>
      </c>
      <c r="G756" s="4">
        <f t="shared" si="93"/>
        <v>119930.10756073601</v>
      </c>
      <c r="H756" s="45">
        <f t="shared" si="95"/>
        <v>9.1560867364847152</v>
      </c>
      <c r="I756" s="10">
        <f t="shared" si="96"/>
        <v>1.377899365272832</v>
      </c>
      <c r="J756" s="4">
        <f t="shared" si="97"/>
        <v>1816.4328819817047</v>
      </c>
      <c r="K756" s="4">
        <f t="shared" si="91"/>
        <v>408.35234071797686</v>
      </c>
      <c r="L756" s="45">
        <f>Pressure!Q756</f>
        <v>1.6897249639838858</v>
      </c>
      <c r="M756" s="10">
        <f t="shared" si="92"/>
        <v>4.0408381794437869</v>
      </c>
      <c r="N756" s="10">
        <f t="shared" si="98"/>
        <v>2.9545467240956045</v>
      </c>
    </row>
    <row r="757" spans="3:14">
      <c r="C757" s="4">
        <f>Pressure!AB757*1000000</f>
        <v>5949180.650314562</v>
      </c>
      <c r="D757" s="84">
        <f>Pressure!I757</f>
        <v>2.214727558899525E-4</v>
      </c>
      <c r="E757" s="40">
        <f>Pressure!H757</f>
        <v>221.47275588995251</v>
      </c>
      <c r="F757" s="10">
        <f t="shared" si="94"/>
        <v>8</v>
      </c>
      <c r="G757" s="4">
        <f t="shared" si="93"/>
        <v>119868.15884595818</v>
      </c>
      <c r="H757" s="45">
        <f t="shared" si="95"/>
        <v>9.1523581916271564</v>
      </c>
      <c r="I757" s="10">
        <f t="shared" si="96"/>
        <v>1.3778292103289516</v>
      </c>
      <c r="J757" s="4">
        <f t="shared" si="97"/>
        <v>1815.4021866315352</v>
      </c>
      <c r="K757" s="4">
        <f t="shared" si="91"/>
        <v>408.12063005969497</v>
      </c>
      <c r="L757" s="45">
        <f>Pressure!Q757</f>
        <v>1.6919487665703954</v>
      </c>
      <c r="M757" s="10">
        <f t="shared" si="92"/>
        <v>4.0382421096791239</v>
      </c>
      <c r="N757" s="10">
        <f t="shared" si="98"/>
        <v>2.9545467240956045</v>
      </c>
    </row>
    <row r="758" spans="3:14">
      <c r="C758" s="4">
        <f>Pressure!AB758*1000000</f>
        <v>5946095.4519503582</v>
      </c>
      <c r="D758" s="84">
        <f>Pressure!I758</f>
        <v>2.214727558899525E-4</v>
      </c>
      <c r="E758" s="40">
        <f>Pressure!H758</f>
        <v>221.47275588995251</v>
      </c>
      <c r="F758" s="10">
        <f t="shared" si="94"/>
        <v>8</v>
      </c>
      <c r="G758" s="4">
        <f t="shared" si="93"/>
        <v>119805.99616014831</v>
      </c>
      <c r="H758" s="45">
        <f t="shared" si="95"/>
        <v>9.1486164309179934</v>
      </c>
      <c r="I758" s="10">
        <f t="shared" si="96"/>
        <v>1.377758740142613</v>
      </c>
      <c r="J758" s="4">
        <f t="shared" si="97"/>
        <v>1814.3679312567776</v>
      </c>
      <c r="K758" s="4">
        <f t="shared" si="91"/>
        <v>407.88811907215899</v>
      </c>
      <c r="L758" s="45">
        <f>Pressure!Q758</f>
        <v>1.6941723989994659</v>
      </c>
      <c r="M758" s="10">
        <f t="shared" si="92"/>
        <v>4.0356372721038101</v>
      </c>
      <c r="N758" s="10">
        <f t="shared" si="98"/>
        <v>2.9545467240956045</v>
      </c>
    </row>
    <row r="759" spans="3:14">
      <c r="C759" s="4">
        <f>Pressure!AB759*1000000</f>
        <v>5942999.6310194973</v>
      </c>
      <c r="D759" s="84">
        <f>Pressure!I759</f>
        <v>2.214727558899525E-4</v>
      </c>
      <c r="E759" s="40">
        <f>Pressure!H759</f>
        <v>221.47275588995251</v>
      </c>
      <c r="F759" s="10">
        <f t="shared" si="94"/>
        <v>8</v>
      </c>
      <c r="G759" s="4">
        <f t="shared" si="93"/>
        <v>119743.6194436034</v>
      </c>
      <c r="H759" s="45">
        <f t="shared" si="95"/>
        <v>9.1448614470558844</v>
      </c>
      <c r="I759" s="10">
        <f t="shared" si="96"/>
        <v>1.3776879537773001</v>
      </c>
      <c r="J759" s="4">
        <f t="shared" si="97"/>
        <v>1813.330114864101</v>
      </c>
      <c r="K759" s="4">
        <f t="shared" si="91"/>
        <v>407.65480753205816</v>
      </c>
      <c r="L759" s="45">
        <f>Pressure!Q759</f>
        <v>1.6963958606080529</v>
      </c>
      <c r="M759" s="10">
        <f t="shared" si="92"/>
        <v>4.0330236665479164</v>
      </c>
      <c r="N759" s="10">
        <f t="shared" si="98"/>
        <v>2.9545467240956045</v>
      </c>
    </row>
    <row r="760" spans="3:14">
      <c r="C760" s="4">
        <f>Pressure!AB760*1000000</f>
        <v>5939893.1845455253</v>
      </c>
      <c r="D760" s="84">
        <f>Pressure!I760</f>
        <v>2.214727558899525E-4</v>
      </c>
      <c r="E760" s="40">
        <f>Pressure!H760</f>
        <v>221.47275588995251</v>
      </c>
      <c r="F760" s="10">
        <f t="shared" si="94"/>
        <v>8</v>
      </c>
      <c r="G760" s="4">
        <f t="shared" si="93"/>
        <v>119681.02863635185</v>
      </c>
      <c r="H760" s="45">
        <f t="shared" si="95"/>
        <v>9.1410932327052592</v>
      </c>
      <c r="I760" s="10">
        <f t="shared" si="96"/>
        <v>1.3776168502907096</v>
      </c>
      <c r="J760" s="4">
        <f t="shared" si="97"/>
        <v>1812.2887364557046</v>
      </c>
      <c r="K760" s="4">
        <f t="shared" si="91"/>
        <v>407.42069521507682</v>
      </c>
      <c r="L760" s="45">
        <f>Pressure!Q760</f>
        <v>1.698619150732096</v>
      </c>
      <c r="M760" s="10">
        <f t="shared" si="92"/>
        <v>4.0304012928419031</v>
      </c>
      <c r="N760" s="10">
        <f t="shared" si="98"/>
        <v>2.9545467240956045</v>
      </c>
    </row>
    <row r="761" spans="3:14">
      <c r="C761" s="4">
        <f>Pressure!AB761*1000000</f>
        <v>5936776.1095391233</v>
      </c>
      <c r="D761" s="84">
        <f>Pressure!I761</f>
        <v>2.214727558899525E-4</v>
      </c>
      <c r="E761" s="40">
        <f>Pressure!H761</f>
        <v>221.47275588995251</v>
      </c>
      <c r="F761" s="10">
        <f t="shared" si="94"/>
        <v>8</v>
      </c>
      <c r="G761" s="4">
        <f t="shared" si="93"/>
        <v>119618.22367816279</v>
      </c>
      <c r="H761" s="45">
        <f t="shared" si="95"/>
        <v>9.1373117804968178</v>
      </c>
      <c r="I761" s="10">
        <f t="shared" si="96"/>
        <v>1.3775454287347255</v>
      </c>
      <c r="J761" s="4">
        <f t="shared" si="97"/>
        <v>1811.2437950294748</v>
      </c>
      <c r="K761" s="4">
        <f t="shared" si="91"/>
        <v>407.18578189592978</v>
      </c>
      <c r="L761" s="45">
        <f>Pressure!Q761</f>
        <v>1.700842268706513</v>
      </c>
      <c r="M761" s="10">
        <f t="shared" si="92"/>
        <v>4.027770150814697</v>
      </c>
      <c r="N761" s="10">
        <f t="shared" si="98"/>
        <v>2.9545467240956045</v>
      </c>
    </row>
    <row r="762" spans="3:14">
      <c r="C762" s="4">
        <f>Pressure!AB762*1000000</f>
        <v>5933648.4029976483</v>
      </c>
      <c r="D762" s="84">
        <f>Pressure!I762</f>
        <v>2.214727558899525E-4</v>
      </c>
      <c r="E762" s="40">
        <f>Pressure!H762</f>
        <v>221.47275588995251</v>
      </c>
      <c r="F762" s="10">
        <f t="shared" si="94"/>
        <v>8</v>
      </c>
      <c r="G762" s="4">
        <f t="shared" si="93"/>
        <v>119555.20450853693</v>
      </c>
      <c r="H762" s="45">
        <f t="shared" si="95"/>
        <v>9.1335170830269323</v>
      </c>
      <c r="I762" s="10">
        <f t="shared" si="96"/>
        <v>1.377473688155376</v>
      </c>
      <c r="J762" s="4">
        <f t="shared" si="97"/>
        <v>1810.1952895788313</v>
      </c>
      <c r="K762" s="4">
        <f t="shared" si="91"/>
        <v>406.95006734832771</v>
      </c>
      <c r="L762" s="45">
        <f>Pressure!Q762</f>
        <v>1.7030652138651949</v>
      </c>
      <c r="M762" s="10">
        <f t="shared" si="92"/>
        <v>4.0251302402957823</v>
      </c>
      <c r="N762" s="10">
        <f t="shared" si="98"/>
        <v>2.9545467240956045</v>
      </c>
    </row>
    <row r="763" spans="3:14">
      <c r="C763" s="4">
        <f>Pressure!AB763*1000000</f>
        <v>5930510.0619052993</v>
      </c>
      <c r="D763" s="84">
        <f>Pressure!I763</f>
        <v>2.214727558899525E-4</v>
      </c>
      <c r="E763" s="40">
        <f>Pressure!H763</f>
        <v>221.47275588995251</v>
      </c>
      <c r="F763" s="10">
        <f t="shared" si="94"/>
        <v>8</v>
      </c>
      <c r="G763" s="4">
        <f t="shared" si="93"/>
        <v>119491.97106670984</v>
      </c>
      <c r="H763" s="45">
        <f t="shared" si="95"/>
        <v>9.1297091328577338</v>
      </c>
      <c r="I763" s="10">
        <f t="shared" si="96"/>
        <v>1.3774016275928009</v>
      </c>
      <c r="J763" s="4">
        <f t="shared" si="97"/>
        <v>1809.1432190927824</v>
      </c>
      <c r="K763" s="4">
        <f t="shared" si="91"/>
        <v>406.71355134498953</v>
      </c>
      <c r="L763" s="45">
        <f>Pressure!Q763</f>
        <v>1.7052879855410008</v>
      </c>
      <c r="M763" s="10">
        <f t="shared" si="92"/>
        <v>4.0224815611143567</v>
      </c>
      <c r="N763" s="10">
        <f t="shared" si="98"/>
        <v>2.9545467240956045</v>
      </c>
    </row>
    <row r="764" spans="3:14">
      <c r="C764" s="4">
        <f>Pressure!AB764*1000000</f>
        <v>5927361.0832330501</v>
      </c>
      <c r="D764" s="84">
        <f>Pressure!I764</f>
        <v>2.214727558899525E-4</v>
      </c>
      <c r="E764" s="40">
        <f>Pressure!H764</f>
        <v>221.47275588995251</v>
      </c>
      <c r="F764" s="10">
        <f t="shared" si="94"/>
        <v>8</v>
      </c>
      <c r="G764" s="4">
        <f t="shared" si="93"/>
        <v>119428.52329165064</v>
      </c>
      <c r="H764" s="45">
        <f t="shared" si="95"/>
        <v>9.1258879225169913</v>
      </c>
      <c r="I764" s="10">
        <f t="shared" si="96"/>
        <v>1.3773292460812165</v>
      </c>
      <c r="J764" s="4">
        <f t="shared" si="97"/>
        <v>1808.0875825559044</v>
      </c>
      <c r="K764" s="4">
        <f t="shared" si="91"/>
        <v>406.47623365763781</v>
      </c>
      <c r="L764" s="45">
        <f>Pressure!Q764</f>
        <v>1.707510583065752</v>
      </c>
      <c r="M764" s="10">
        <f t="shared" si="92"/>
        <v>4.0198241130990482</v>
      </c>
      <c r="N764" s="10">
        <f t="shared" si="98"/>
        <v>2.9545467240956045</v>
      </c>
    </row>
    <row r="765" spans="3:14">
      <c r="C765" s="4">
        <f>Pressure!AB765*1000000</f>
        <v>5918139.6644898942</v>
      </c>
      <c r="D765" s="84">
        <f>Pressure!I765</f>
        <v>2.214727558899525E-4</v>
      </c>
      <c r="E765" s="40">
        <f>Pressure!H765</f>
        <v>221.47275588995251</v>
      </c>
      <c r="F765" s="10">
        <f t="shared" si="94"/>
        <v>8</v>
      </c>
      <c r="G765" s="4">
        <f t="shared" si="93"/>
        <v>119242.72384267421</v>
      </c>
      <c r="H765" s="45">
        <f t="shared" si="95"/>
        <v>9.114695915767502</v>
      </c>
      <c r="I765" s="10">
        <f t="shared" si="96"/>
        <v>1.3771168421697852</v>
      </c>
      <c r="J765" s="4">
        <f t="shared" si="97"/>
        <v>1804.9962734171934</v>
      </c>
      <c r="K765" s="4">
        <f t="shared" si="91"/>
        <v>405.78127634036093</v>
      </c>
      <c r="L765" s="45">
        <f>Pressure!Q765</f>
        <v>1.7097580126887582</v>
      </c>
      <c r="M765" s="10">
        <f t="shared" si="92"/>
        <v>4.0600758441596483</v>
      </c>
      <c r="N765" s="10">
        <f t="shared" si="98"/>
        <v>2.9545467240956045</v>
      </c>
    </row>
    <row r="766" spans="3:14">
      <c r="C766" s="4">
        <f>Pressure!AB766*1000000</f>
        <v>5908863.6275134822</v>
      </c>
      <c r="D766" s="84">
        <f>Pressure!I766</f>
        <v>2.214727558899525E-4</v>
      </c>
      <c r="E766" s="40">
        <f>Pressure!H766</f>
        <v>221.47275588995251</v>
      </c>
      <c r="F766" s="10">
        <f t="shared" si="94"/>
        <v>8</v>
      </c>
      <c r="G766" s="4">
        <f t="shared" si="93"/>
        <v>119055.82390819487</v>
      </c>
      <c r="H766" s="45">
        <f t="shared" si="95"/>
        <v>9.1034345526720895</v>
      </c>
      <c r="I766" s="10">
        <f t="shared" si="96"/>
        <v>1.3769025113352182</v>
      </c>
      <c r="J766" s="4">
        <f t="shared" si="97"/>
        <v>1801.8866545315443</v>
      </c>
      <c r="K766" s="4">
        <f t="shared" si="91"/>
        <v>405.08220280822451</v>
      </c>
      <c r="L766" s="45">
        <f>Pressure!Q766</f>
        <v>1.7120078517059847</v>
      </c>
      <c r="M766" s="10">
        <f t="shared" si="92"/>
        <v>4.0574529709336673</v>
      </c>
      <c r="N766" s="10">
        <f t="shared" si="98"/>
        <v>2.9545467240956045</v>
      </c>
    </row>
    <row r="767" spans="3:14">
      <c r="C767" s="4">
        <f>Pressure!AB767*1000000</f>
        <v>5899533.9522605315</v>
      </c>
      <c r="D767" s="84">
        <f>Pressure!I767</f>
        <v>2.214727558899525E-4</v>
      </c>
      <c r="E767" s="40">
        <f>Pressure!H767</f>
        <v>221.47275588995251</v>
      </c>
      <c r="F767" s="10">
        <f t="shared" si="94"/>
        <v>8</v>
      </c>
      <c r="G767" s="4">
        <f t="shared" si="93"/>
        <v>118867.8432330505</v>
      </c>
      <c r="H767" s="45">
        <f t="shared" si="95"/>
        <v>9.0921049631068502</v>
      </c>
      <c r="I767" s="10">
        <f t="shared" si="96"/>
        <v>1.37668626128543</v>
      </c>
      <c r="J767" s="4">
        <f t="shared" si="97"/>
        <v>1798.7590544112204</v>
      </c>
      <c r="K767" s="4">
        <f t="shared" si="91"/>
        <v>404.37908691408222</v>
      </c>
      <c r="L767" s="45">
        <f>Pressure!Q767</f>
        <v>1.7142601207909929</v>
      </c>
      <c r="M767" s="10">
        <f t="shared" si="92"/>
        <v>4.0548115081596041</v>
      </c>
      <c r="N767" s="10">
        <f t="shared" si="98"/>
        <v>2.9545467240956045</v>
      </c>
    </row>
    <row r="768" spans="3:14">
      <c r="C768" s="4">
        <f>Pressure!AB768*1000000</f>
        <v>5890151.5915461006</v>
      </c>
      <c r="D768" s="84">
        <f>Pressure!I768</f>
        <v>2.214727558899525E-4</v>
      </c>
      <c r="E768" s="40">
        <f>Pressure!H768</f>
        <v>221.47275588995251</v>
      </c>
      <c r="F768" s="10">
        <f t="shared" si="94"/>
        <v>8</v>
      </c>
      <c r="G768" s="4">
        <f t="shared" si="93"/>
        <v>118678.80101521031</v>
      </c>
      <c r="H768" s="45">
        <f t="shared" si="95"/>
        <v>9.0807082447428797</v>
      </c>
      <c r="I768" s="10">
        <f t="shared" si="96"/>
        <v>1.3764680991833256</v>
      </c>
      <c r="J768" s="4">
        <f t="shared" si="97"/>
        <v>1795.6137924697514</v>
      </c>
      <c r="K768" s="4">
        <f t="shared" si="91"/>
        <v>403.67200046530087</v>
      </c>
      <c r="L768" s="45">
        <f>Pressure!Q768</f>
        <v>1.7165148405004058</v>
      </c>
      <c r="M768" s="10">
        <f t="shared" si="92"/>
        <v>4.0521516504206012</v>
      </c>
      <c r="N768" s="10">
        <f t="shared" si="98"/>
        <v>2.9545467240956045</v>
      </c>
    </row>
    <row r="769" spans="3:14">
      <c r="C769" s="4">
        <f>Pressure!AB769*1000000</f>
        <v>5880717.4719304275</v>
      </c>
      <c r="D769" s="84">
        <f>Pressure!I769</f>
        <v>2.214727558899525E-4</v>
      </c>
      <c r="E769" s="40">
        <f>Pressure!H769</f>
        <v>221.47275588995251</v>
      </c>
      <c r="F769" s="10">
        <f t="shared" si="94"/>
        <v>8</v>
      </c>
      <c r="G769" s="4">
        <f t="shared" si="93"/>
        <v>118488.71592364337</v>
      </c>
      <c r="H769" s="45">
        <f t="shared" si="95"/>
        <v>9.0692454640986337</v>
      </c>
      <c r="I769" s="10">
        <f t="shared" si="96"/>
        <v>1.3762480316619572</v>
      </c>
      <c r="J769" s="4">
        <f t="shared" si="97"/>
        <v>1792.4511793192244</v>
      </c>
      <c r="K769" s="4">
        <f t="shared" si="91"/>
        <v>402.96101329059496</v>
      </c>
      <c r="L769" s="45">
        <f>Pressure!Q769</f>
        <v>1.71877203128009</v>
      </c>
      <c r="M769" s="10">
        <f t="shared" si="92"/>
        <v>4.0494735856150088</v>
      </c>
      <c r="N769" s="10">
        <f t="shared" si="98"/>
        <v>2.9545467240956045</v>
      </c>
    </row>
    <row r="770" spans="3:14">
      <c r="C770" s="4">
        <f>Pressure!AB770*1000000</f>
        <v>5871232.4945766265</v>
      </c>
      <c r="D770" s="84">
        <f>Pressure!I770</f>
        <v>2.214727558899525E-4</v>
      </c>
      <c r="E770" s="40">
        <f>Pressure!H770</f>
        <v>221.47275588995251</v>
      </c>
      <c r="F770" s="10">
        <f t="shared" si="94"/>
        <v>8</v>
      </c>
      <c r="G770" s="4">
        <f t="shared" si="93"/>
        <v>118297.60611560021</v>
      </c>
      <c r="H770" s="45">
        <f t="shared" si="95"/>
        <v>9.0577176575574967</v>
      </c>
      <c r="I770" s="10">
        <f t="shared" si="96"/>
        <v>1.3760260648391216</v>
      </c>
      <c r="J770" s="4">
        <f t="shared" si="97"/>
        <v>1789.2715170578147</v>
      </c>
      <c r="K770" s="4">
        <f t="shared" si="91"/>
        <v>402.24619330466584</v>
      </c>
      <c r="L770" s="45">
        <f>Pressure!Q770</f>
        <v>1.7210317134711541</v>
      </c>
      <c r="M770" s="10">
        <f t="shared" si="92"/>
        <v>4.0467774951666309</v>
      </c>
      <c r="N770" s="10">
        <f t="shared" si="98"/>
        <v>2.9545467240956045</v>
      </c>
    </row>
    <row r="771" spans="3:14">
      <c r="C771" s="4">
        <f>Pressure!AB771*1000000</f>
        <v>5861697.5360793024</v>
      </c>
      <c r="D771" s="84">
        <f>Pressure!I771</f>
        <v>2.214727558899525E-4</v>
      </c>
      <c r="E771" s="40">
        <f>Pressure!H771</f>
        <v>221.47275588995251</v>
      </c>
      <c r="F771" s="10">
        <f t="shared" si="94"/>
        <v>8</v>
      </c>
      <c r="G771" s="4">
        <f t="shared" si="93"/>
        <v>118105.48925330819</v>
      </c>
      <c r="H771" s="45">
        <f t="shared" si="95"/>
        <v>9.0461258323507927</v>
      </c>
      <c r="I771" s="10">
        <f t="shared" si="96"/>
        <v>1.3758022043313916</v>
      </c>
      <c r="J771" s="4">
        <f t="shared" si="97"/>
        <v>1786.075099547561</v>
      </c>
      <c r="K771" s="4">
        <f t="shared" si="91"/>
        <v>401.52760657064903</v>
      </c>
      <c r="L771" s="45">
        <f>Pressure!Q771</f>
        <v>1.7232939073157729</v>
      </c>
      <c r="M771" s="10">
        <f t="shared" si="92"/>
        <v>4.0440635542316441</v>
      </c>
      <c r="N771" s="10">
        <f t="shared" si="98"/>
        <v>2.9545467240956045</v>
      </c>
    </row>
    <row r="772" spans="3:14">
      <c r="C772" s="4">
        <f>Pressure!AB772*1000000</f>
        <v>5852113.4492662568</v>
      </c>
      <c r="D772" s="84">
        <f>Pressure!I772</f>
        <v>2.214727558899525E-4</v>
      </c>
      <c r="E772" s="40">
        <f>Pressure!H772</f>
        <v>221.47275588995251</v>
      </c>
      <c r="F772" s="10">
        <f t="shared" si="94"/>
        <v>8</v>
      </c>
      <c r="G772" s="4">
        <f t="shared" si="93"/>
        <v>117912.38252012487</v>
      </c>
      <c r="H772" s="45">
        <f t="shared" si="95"/>
        <v>9.0344709675085557</v>
      </c>
      <c r="I772" s="10">
        <f t="shared" si="96"/>
        <v>1.3755764552676346</v>
      </c>
      <c r="J772" s="4">
        <f t="shared" si="97"/>
        <v>1782.8622126831235</v>
      </c>
      <c r="K772" s="4">
        <f t="shared" si="91"/>
        <v>400.80531736053314</v>
      </c>
      <c r="L772" s="45">
        <f>Pressure!Q772</f>
        <v>1.7255586329628418</v>
      </c>
      <c r="M772" s="10">
        <f t="shared" si="92"/>
        <v>4.0413319318950265</v>
      </c>
      <c r="N772" s="10">
        <f t="shared" si="98"/>
        <v>2.9545467240956045</v>
      </c>
    </row>
    <row r="773" spans="3:14">
      <c r="C773" s="4">
        <f>Pressure!AB773*1000000</f>
        <v>5842481.0639735609</v>
      </c>
      <c r="D773" s="84">
        <f>Pressure!I773</f>
        <v>2.214727558899525E-4</v>
      </c>
      <c r="E773" s="40">
        <f>Pressure!H773</f>
        <v>221.47275588995251</v>
      </c>
      <c r="F773" s="10">
        <f t="shared" si="94"/>
        <v>8</v>
      </c>
      <c r="G773" s="4">
        <f t="shared" si="93"/>
        <v>117718.30263615475</v>
      </c>
      <c r="H773" s="45">
        <f t="shared" si="95"/>
        <v>9.0227540147787497</v>
      </c>
      <c r="I773" s="10">
        <f t="shared" si="96"/>
        <v>1.3753488223020232</v>
      </c>
      <c r="J773" s="4">
        <f t="shared" si="97"/>
        <v>1779.6331346516117</v>
      </c>
      <c r="K773" s="4">
        <f t="shared" si="91"/>
        <v>400.0793882135722</v>
      </c>
      <c r="L773" s="45">
        <f>Pressure!Q773</f>
        <v>1.727825910473469</v>
      </c>
      <c r="M773" s="10">
        <f t="shared" si="92"/>
        <v>4.038582791362975</v>
      </c>
      <c r="N773" s="10">
        <f t="shared" si="98"/>
        <v>2.9545467240956045</v>
      </c>
    </row>
    <row r="774" spans="3:14">
      <c r="C774" s="4">
        <f>Pressure!AB774*1000000</f>
        <v>5832801.1877944274</v>
      </c>
      <c r="D774" s="84">
        <f>Pressure!I774</f>
        <v>2.214727558899525E-4</v>
      </c>
      <c r="E774" s="40">
        <f>Pressure!H774</f>
        <v>221.47275588995251</v>
      </c>
      <c r="F774" s="10">
        <f t="shared" si="94"/>
        <v>8</v>
      </c>
      <c r="G774" s="4">
        <f t="shared" si="93"/>
        <v>117523.26587333796</v>
      </c>
      <c r="H774" s="45">
        <f t="shared" si="95"/>
        <v>9.0109758995150759</v>
      </c>
      <c r="I774" s="10">
        <f t="shared" si="96"/>
        <v>1.3751193096265437</v>
      </c>
      <c r="J774" s="4">
        <f t="shared" si="97"/>
        <v>1776.3881361836316</v>
      </c>
      <c r="K774" s="4">
        <f t="shared" si="91"/>
        <v>399.34987999272323</v>
      </c>
      <c r="L774" s="45">
        <f>Pressure!Q774</f>
        <v>1.7300957598263109</v>
      </c>
      <c r="M774" s="10">
        <f t="shared" si="92"/>
        <v>4.0358162901487269</v>
      </c>
      <c r="N774" s="10">
        <f t="shared" si="98"/>
        <v>2.9545467240956045</v>
      </c>
    </row>
    <row r="775" spans="3:14">
      <c r="C775" s="4">
        <f>Pressure!AB775*1000000</f>
        <v>5823074.6068044277</v>
      </c>
      <c r="D775" s="84">
        <f>Pressure!I775</f>
        <v>2.214727558899525E-4</v>
      </c>
      <c r="E775" s="40">
        <f>Pressure!H775</f>
        <v>221.47275588995251</v>
      </c>
      <c r="F775" s="10">
        <f t="shared" si="94"/>
        <v>8</v>
      </c>
      <c r="G775" s="4">
        <f t="shared" si="93"/>
        <v>117327.28807006254</v>
      </c>
      <c r="H775" s="45">
        <f t="shared" si="95"/>
        <v>8.9991375215368485</v>
      </c>
      <c r="I775" s="10">
        <f t="shared" si="96"/>
        <v>1.3748879209830622</v>
      </c>
      <c r="J775" s="4">
        <f t="shared" si="97"/>
        <v>1773.1274807963998</v>
      </c>
      <c r="K775" s="4">
        <f t="shared" si="91"/>
        <v>398.61685193930128</v>
      </c>
      <c r="L775" s="45">
        <f>Pressure!Q775</f>
        <v>1.7323682009227555</v>
      </c>
      <c r="M775" s="10">
        <f t="shared" si="92"/>
        <v>4.0330325802485474</v>
      </c>
      <c r="N775" s="10">
        <f t="shared" si="98"/>
        <v>2.9545467240956045</v>
      </c>
    </row>
    <row r="776" spans="3:14">
      <c r="C776" s="4">
        <f>Pressure!AB776*1000000</f>
        <v>5813302.0862617828</v>
      </c>
      <c r="D776" s="84">
        <f>Pressure!I776</f>
        <v>2.214727558899525E-4</v>
      </c>
      <c r="E776" s="40">
        <f>Pressure!H776</f>
        <v>221.47275588995251</v>
      </c>
      <c r="F776" s="10">
        <f t="shared" si="94"/>
        <v>8</v>
      </c>
      <c r="G776" s="4">
        <f t="shared" si="93"/>
        <v>117130.38464527424</v>
      </c>
      <c r="H776" s="45">
        <f t="shared" si="95"/>
        <v>8.9872397559590347</v>
      </c>
      <c r="I776" s="10">
        <f t="shared" si="96"/>
        <v>1.374654659674915</v>
      </c>
      <c r="J776" s="4">
        <f t="shared" si="97"/>
        <v>1769.8514250285023</v>
      </c>
      <c r="K776" s="4">
        <f t="shared" si="91"/>
        <v>397.88036172575477</v>
      </c>
      <c r="L776" s="45">
        <f>Pressure!Q776</f>
        <v>1.7346432535919605</v>
      </c>
      <c r="M776" s="10">
        <f t="shared" si="92"/>
        <v>4.0302318083170201</v>
      </c>
      <c r="N776" s="10">
        <f t="shared" si="98"/>
        <v>2.9545467240956045</v>
      </c>
    </row>
    <row r="777" spans="3:14">
      <c r="C777" s="4">
        <f>Pressure!AB777*1000000</f>
        <v>5803484.3712852886</v>
      </c>
      <c r="D777" s="84">
        <f>Pressure!I777</f>
        <v>2.214727558899525E-4</v>
      </c>
      <c r="E777" s="40">
        <f>Pressure!H777</f>
        <v>221.47275588995251</v>
      </c>
      <c r="F777" s="10">
        <f t="shared" si="94"/>
        <v>8</v>
      </c>
      <c r="G777" s="4">
        <f t="shared" si="93"/>
        <v>116932.570612136</v>
      </c>
      <c r="H777" s="45">
        <f t="shared" si="95"/>
        <v>8.9752834539958215</v>
      </c>
      <c r="I777" s="10">
        <f t="shared" si="96"/>
        <v>1.3744195285780836</v>
      </c>
      <c r="J777" s="4">
        <f t="shared" si="97"/>
        <v>1766.5602186671579</v>
      </c>
      <c r="K777" s="4">
        <f t="shared" si="91"/>
        <v>397.14046550675732</v>
      </c>
      <c r="L777" s="45">
        <f>Pressure!Q777</f>
        <v>1.7369209375957511</v>
      </c>
      <c r="M777" s="10">
        <f t="shared" si="92"/>
        <v>4.0274141158321806</v>
      </c>
      <c r="N777" s="10">
        <f t="shared" si="98"/>
        <v>2.9545467240956045</v>
      </c>
    </row>
    <row r="778" spans="3:14">
      <c r="C778" s="4">
        <f>Pressure!AB778*1000000</f>
        <v>5793622.1875096858</v>
      </c>
      <c r="D778" s="84">
        <f>Pressure!I778</f>
        <v>2.214727558899525E-4</v>
      </c>
      <c r="E778" s="40">
        <f>Pressure!H778</f>
        <v>221.47275588995251</v>
      </c>
      <c r="F778" s="10">
        <f t="shared" si="94"/>
        <v>8</v>
      </c>
      <c r="G778" s="4">
        <f t="shared" si="93"/>
        <v>116733.86059123262</v>
      </c>
      <c r="H778" s="45">
        <f t="shared" si="95"/>
        <v>8.9632694437372784</v>
      </c>
      <c r="I778" s="10">
        <f t="shared" si="96"/>
        <v>1.3741825301519452</v>
      </c>
      <c r="J778" s="4">
        <f t="shared" si="97"/>
        <v>1763.2541049679191</v>
      </c>
      <c r="K778" s="4">
        <f t="shared" si="91"/>
        <v>396.39721796859834</v>
      </c>
      <c r="L778" s="45">
        <f>Pressure!Q778</f>
        <v>1.7392012726333814</v>
      </c>
      <c r="M778" s="10">
        <f t="shared" si="92"/>
        <v>4.0245796392572979</v>
      </c>
      <c r="N778" s="10">
        <f t="shared" si="98"/>
        <v>2.9545467240956045</v>
      </c>
    </row>
    <row r="779" spans="3:14">
      <c r="C779" s="4">
        <f>Pressure!AB779*1000000</f>
        <v>5783716.2417197227</v>
      </c>
      <c r="D779" s="84">
        <f>Pressure!I779</f>
        <v>2.214727558899525E-4</v>
      </c>
      <c r="E779" s="40">
        <f>Pressure!H779</f>
        <v>221.47275588995251</v>
      </c>
      <c r="F779" s="10">
        <f t="shared" si="94"/>
        <v>8</v>
      </c>
      <c r="G779" s="4">
        <f t="shared" si="93"/>
        <v>116534.2688233464</v>
      </c>
      <c r="H779" s="45">
        <f t="shared" si="95"/>
        <v>8.9511985309007418</v>
      </c>
      <c r="I779" s="10">
        <f t="shared" si="96"/>
        <v>1.373943666449627</v>
      </c>
      <c r="J779" s="4">
        <f t="shared" si="97"/>
        <v>1759.9333208672281</v>
      </c>
      <c r="K779" s="4">
        <f t="shared" si="91"/>
        <v>395.6506723769678</v>
      </c>
      <c r="L779" s="45">
        <f>Pressure!Q779</f>
        <v>1.7414842783461659</v>
      </c>
      <c r="M779" s="10">
        <f t="shared" si="92"/>
        <v>4.021728510196084</v>
      </c>
      <c r="N779" s="10">
        <f t="shared" si="98"/>
        <v>2.9545467240956045</v>
      </c>
    </row>
    <row r="780" spans="3:14">
      <c r="C780" s="4">
        <f>Pressure!AB780*1000000</f>
        <v>5773767.2224632893</v>
      </c>
      <c r="D780" s="84">
        <f>Pressure!I780</f>
        <v>2.214727558899525E-4</v>
      </c>
      <c r="E780" s="40">
        <f>Pressure!H780</f>
        <v>221.47275588995251</v>
      </c>
      <c r="F780" s="10">
        <f t="shared" si="94"/>
        <v>8</v>
      </c>
      <c r="G780" s="4">
        <f t="shared" si="93"/>
        <v>116333.80918181097</v>
      </c>
      <c r="H780" s="45">
        <f t="shared" si="95"/>
        <v>8.9390714995573699</v>
      </c>
      <c r="I780" s="10">
        <f t="shared" si="96"/>
        <v>1.37370293912797</v>
      </c>
      <c r="J780" s="4">
        <f t="shared" si="97"/>
        <v>1756.5980971879601</v>
      </c>
      <c r="K780" s="4">
        <f t="shared" si="91"/>
        <v>394.90088062316443</v>
      </c>
      <c r="L780" s="45">
        <f>Pressure!Q780</f>
        <v>1.7437699743219846</v>
      </c>
      <c r="M780" s="10">
        <f t="shared" si="92"/>
        <v>4.0188608555442524</v>
      </c>
      <c r="N780" s="10">
        <f t="shared" si="98"/>
        <v>2.9545467240956045</v>
      </c>
    </row>
    <row r="781" spans="3:14">
      <c r="C781" s="4">
        <f>Pressure!AB781*1000000</f>
        <v>5763775.8006445719</v>
      </c>
      <c r="D781" s="84">
        <f>Pressure!I781</f>
        <v>2.214727558899525E-4</v>
      </c>
      <c r="E781" s="40">
        <f>Pressure!H781</f>
        <v>221.47275588995251</v>
      </c>
      <c r="F781" s="10">
        <f t="shared" si="94"/>
        <v>8</v>
      </c>
      <c r="G781" s="4">
        <f t="shared" si="93"/>
        <v>116132.49518446249</v>
      </c>
      <c r="H781" s="45">
        <f t="shared" si="95"/>
        <v>8.9268891128349193</v>
      </c>
      <c r="I781" s="10">
        <f t="shared" si="96"/>
        <v>1.3734603494571247</v>
      </c>
      <c r="J781" s="4">
        <f t="shared" si="97"/>
        <v>1753.2486588382662</v>
      </c>
      <c r="K781" s="4">
        <f t="shared" si="91"/>
        <v>394.14789326879776</v>
      </c>
      <c r="L781" s="45">
        <f>Pressure!Q781</f>
        <v>1.7460583800996659</v>
      </c>
      <c r="M781" s="10">
        <f t="shared" si="92"/>
        <v>4.0159767976331944</v>
      </c>
      <c r="N781" s="10">
        <f t="shared" si="98"/>
        <v>2.9545467240956045</v>
      </c>
    </row>
    <row r="782" spans="3:14">
      <c r="C782" s="4">
        <f>Pressure!AB782*1000000</f>
        <v>5753742.6300979517</v>
      </c>
      <c r="D782" s="84">
        <f>Pressure!I782</f>
        <v>2.214727558899525E-4</v>
      </c>
      <c r="E782" s="40">
        <f>Pressure!H782</f>
        <v>221.47275588995251</v>
      </c>
      <c r="F782" s="10">
        <f t="shared" si="94"/>
        <v>8</v>
      </c>
      <c r="G782" s="4">
        <f t="shared" si="93"/>
        <v>115930.34000520311</v>
      </c>
      <c r="H782" s="45">
        <f t="shared" si="95"/>
        <v>8.9146521135976879</v>
      </c>
      <c r="I782" s="10">
        <f t="shared" si="96"/>
        <v>1.3732158983297902</v>
      </c>
      <c r="J782" s="4">
        <f t="shared" si="97"/>
        <v>1749.8852250039627</v>
      </c>
      <c r="K782" s="4">
        <f t="shared" si="91"/>
        <v>393.39175958903888</v>
      </c>
      <c r="L782" s="45">
        <f>Pressure!Q782</f>
        <v>1.7483495151732535</v>
      </c>
      <c r="M782" s="10">
        <f t="shared" si="92"/>
        <v>4.0130764543722002</v>
      </c>
      <c r="N782" s="10">
        <f t="shared" si="98"/>
        <v>2.9545467240956045</v>
      </c>
    </row>
    <row r="783" spans="3:14">
      <c r="C783" s="4">
        <f>Pressure!AB783*1000000</f>
        <v>5743668.3481432097</v>
      </c>
      <c r="D783" s="84">
        <f>Pressure!I783</f>
        <v>2.214727558899525E-4</v>
      </c>
      <c r="E783" s="40">
        <f>Pressure!H783</f>
        <v>221.47275588995251</v>
      </c>
      <c r="F783" s="10">
        <f t="shared" si="94"/>
        <v>8</v>
      </c>
      <c r="G783" s="4">
        <f t="shared" si="93"/>
        <v>115727.35648518743</v>
      </c>
      <c r="H783" s="45">
        <f t="shared" si="95"/>
        <v>8.9023612251042827</v>
      </c>
      <c r="I783" s="10">
        <f t="shared" si="96"/>
        <v>1.3729695862701103</v>
      </c>
      <c r="J783" s="4">
        <f t="shared" si="97"/>
        <v>1746.5080093346539</v>
      </c>
      <c r="K783" s="4">
        <f t="shared" ref="K783:K846" si="99">J783/4.4482</f>
        <v>392.6325276144629</v>
      </c>
      <c r="L783" s="45">
        <f>Pressure!Q783</f>
        <v>1.7506433989961594</v>
      </c>
      <c r="M783" s="10">
        <f t="shared" ref="M783:M846" si="100">(J783+J782)/2*(L783-L782)</f>
        <v>4.01015993938341</v>
      </c>
      <c r="N783" s="10">
        <f t="shared" si="98"/>
        <v>2.9545467240956045</v>
      </c>
    </row>
    <row r="784" spans="3:14">
      <c r="C784" s="4">
        <f>Pressure!AB784*1000000</f>
        <v>5733553.5761221983</v>
      </c>
      <c r="D784" s="84">
        <f>Pressure!I784</f>
        <v>2.214727558899525E-4</v>
      </c>
      <c r="E784" s="40">
        <f>Pressure!H784</f>
        <v>221.47275588995251</v>
      </c>
      <c r="F784" s="10">
        <f t="shared" si="94"/>
        <v>8</v>
      </c>
      <c r="G784" s="4">
        <f t="shared" si="93"/>
        <v>115523.55714363589</v>
      </c>
      <c r="H784" s="45">
        <f t="shared" si="95"/>
        <v>8.8900171516433968</v>
      </c>
      <c r="I784" s="10">
        <f t="shared" si="96"/>
        <v>1.3727214134422256</v>
      </c>
      <c r="J784" s="4">
        <f t="shared" si="97"/>
        <v>1743.1172201236407</v>
      </c>
      <c r="K784" s="4">
        <f t="shared" si="99"/>
        <v>391.87024417149422</v>
      </c>
      <c r="L784" s="45">
        <f>Pressure!Q784</f>
        <v>1.752940050985208</v>
      </c>
      <c r="M784" s="10">
        <f t="shared" si="100"/>
        <v>4.0072273621347909</v>
      </c>
      <c r="N784" s="10">
        <f t="shared" si="98"/>
        <v>2.9545467240956045</v>
      </c>
    </row>
    <row r="785" spans="3:14">
      <c r="C785" s="4">
        <f>Pressure!AB785*1000000</f>
        <v>5723398.9199188799</v>
      </c>
      <c r="D785" s="84">
        <f>Pressure!I785</f>
        <v>2.214727558899525E-4</v>
      </c>
      <c r="E785" s="40">
        <f>Pressure!H785</f>
        <v>221.47275588995251</v>
      </c>
      <c r="F785" s="10">
        <f t="shared" si="94"/>
        <v>8</v>
      </c>
      <c r="G785" s="4">
        <f t="shared" si="93"/>
        <v>115318.95418831277</v>
      </c>
      <c r="H785" s="45">
        <f t="shared" si="95"/>
        <v>8.8776205791498768</v>
      </c>
      <c r="I785" s="10">
        <f t="shared" si="96"/>
        <v>1.3724713796585273</v>
      </c>
      <c r="J785" s="4">
        <f t="shared" si="97"/>
        <v>1739.7130604822539</v>
      </c>
      <c r="K785" s="4">
        <f t="shared" si="99"/>
        <v>391.10495492159839</v>
      </c>
      <c r="L785" s="45">
        <f>Pressure!Q785</f>
        <v>1.7552394905245747</v>
      </c>
      <c r="M785" s="10">
        <f t="shared" si="100"/>
        <v>4.0042788280644626</v>
      </c>
      <c r="N785" s="10">
        <f t="shared" si="98"/>
        <v>2.9545467240956045</v>
      </c>
    </row>
    <row r="786" spans="3:14">
      <c r="C786" s="4">
        <f>Pressure!AB786*1000000</f>
        <v>5713204.970461742</v>
      </c>
      <c r="D786" s="84">
        <f>Pressure!I786</f>
        <v>2.214727558899525E-4</v>
      </c>
      <c r="E786" s="40">
        <f>Pressure!H786</f>
        <v>221.47275588995251</v>
      </c>
      <c r="F786" s="10">
        <f t="shared" si="94"/>
        <v>8</v>
      </c>
      <c r="G786" s="4">
        <f t="shared" si="93"/>
        <v>115113.55952564922</v>
      </c>
      <c r="H786" s="45">
        <f t="shared" si="95"/>
        <v>8.8651721757998612</v>
      </c>
      <c r="I786" s="10">
        <f t="shared" si="96"/>
        <v>1.3722194843875821</v>
      </c>
      <c r="J786" s="4">
        <f t="shared" si="97"/>
        <v>1736.2957285082782</v>
      </c>
      <c r="K786" s="4">
        <f t="shared" si="99"/>
        <v>390.33670439914533</v>
      </c>
      <c r="L786" s="45">
        <f>Pressure!Q786</f>
        <v>1.7575417369696233</v>
      </c>
      <c r="M786" s="10">
        <f t="shared" si="100"/>
        <v>4.0013144387056006</v>
      </c>
      <c r="N786" s="10">
        <f t="shared" si="98"/>
        <v>2.9545467240956045</v>
      </c>
    </row>
    <row r="787" spans="3:14">
      <c r="C787" s="4">
        <f>Pressure!AB787*1000000</f>
        <v>5702972.304210458</v>
      </c>
      <c r="D787" s="84">
        <f>Pressure!I787</f>
        <v>2.214727558899525E-4</v>
      </c>
      <c r="E787" s="40">
        <f>Pressure!H787</f>
        <v>221.47275588995251</v>
      </c>
      <c r="F787" s="10">
        <f t="shared" si="94"/>
        <v>8</v>
      </c>
      <c r="G787" s="4">
        <f t="shared" si="93"/>
        <v>114907.38477054883</v>
      </c>
      <c r="H787" s="45">
        <f t="shared" si="95"/>
        <v>8.852672592587318</v>
      </c>
      <c r="I787" s="10">
        <f t="shared" si="96"/>
        <v>1.3719657267617766</v>
      </c>
      <c r="J787" s="4">
        <f t="shared" si="97"/>
        <v>1732.8654174490991</v>
      </c>
      <c r="K787" s="4">
        <f t="shared" si="99"/>
        <v>389.5655360480867</v>
      </c>
      <c r="L787" s="45">
        <f>Pressure!Q787</f>
        <v>1.7598468096506461</v>
      </c>
      <c r="M787" s="10">
        <f t="shared" si="100"/>
        <v>3.9983342918059765</v>
      </c>
      <c r="N787" s="10">
        <f t="shared" si="98"/>
        <v>2.9545467240956045</v>
      </c>
    </row>
    <row r="788" spans="3:14">
      <c r="C788" s="4">
        <f>Pressure!AB788*1000000</f>
        <v>5692701.4836264625</v>
      </c>
      <c r="D788" s="84">
        <f>Pressure!I788</f>
        <v>2.214727558899525E-4</v>
      </c>
      <c r="E788" s="40">
        <f>Pressure!H788</f>
        <v>221.47275588995251</v>
      </c>
      <c r="F788" s="10">
        <f t="shared" si="94"/>
        <v>8</v>
      </c>
      <c r="G788" s="4">
        <f t="shared" si="93"/>
        <v>114700.44125586911</v>
      </c>
      <c r="H788" s="45">
        <f t="shared" si="95"/>
        <v>8.8401224638814657</v>
      </c>
      <c r="I788" s="10">
        <f t="shared" si="96"/>
        <v>1.3717101055846637</v>
      </c>
      <c r="J788" s="4">
        <f t="shared" si="97"/>
        <v>1729.4223158594521</v>
      </c>
      <c r="K788" s="4">
        <f t="shared" si="99"/>
        <v>388.79149225741918</v>
      </c>
      <c r="L788" s="45">
        <f>Pressure!Q788</f>
        <v>1.7621547278765075</v>
      </c>
      <c r="M788" s="10">
        <f t="shared" si="100"/>
        <v>3.9953384814395885</v>
      </c>
      <c r="N788" s="10">
        <f t="shared" si="98"/>
        <v>2.9545467240956045</v>
      </c>
    </row>
    <row r="789" spans="3:14">
      <c r="C789" s="4">
        <f>Pressure!AB789*1000000</f>
        <v>5682393.0576282553</v>
      </c>
      <c r="D789" s="84">
        <f>Pressure!I789</f>
        <v>2.214727558899525E-4</v>
      </c>
      <c r="E789" s="40">
        <f>Pressure!H789</f>
        <v>221.47275588995251</v>
      </c>
      <c r="F789" s="10">
        <f t="shared" si="94"/>
        <v>8</v>
      </c>
      <c r="G789" s="4">
        <f t="shared" si="93"/>
        <v>114492.74004159524</v>
      </c>
      <c r="H789" s="45">
        <f t="shared" si="95"/>
        <v>8.8275224079661179</v>
      </c>
      <c r="I789" s="10">
        <f t="shared" si="96"/>
        <v>1.371452619338033</v>
      </c>
      <c r="J789" s="4">
        <f t="shared" si="97"/>
        <v>1725.9666077540551</v>
      </c>
      <c r="K789" s="4">
        <f t="shared" si="99"/>
        <v>388.0146143954982</v>
      </c>
      <c r="L789" s="45">
        <f>Pressure!Q789</f>
        <v>1.764465510938199</v>
      </c>
      <c r="M789" s="10">
        <f t="shared" si="100"/>
        <v>3.9923270981212995</v>
      </c>
      <c r="N789" s="10">
        <f t="shared" si="98"/>
        <v>2.9545467240956045</v>
      </c>
    </row>
    <row r="790" spans="3:14">
      <c r="C790" s="4">
        <f>Pressure!AB790*1000000</f>
        <v>5672047.5620326316</v>
      </c>
      <c r="D790" s="84">
        <f>Pressure!I790</f>
        <v>2.214727558899525E-4</v>
      </c>
      <c r="E790" s="40">
        <f>Pressure!H790</f>
        <v>221.47275588995251</v>
      </c>
      <c r="F790" s="10">
        <f t="shared" si="94"/>
        <v>8</v>
      </c>
      <c r="G790" s="4">
        <f t="shared" si="93"/>
        <v>114284.29192373034</v>
      </c>
      <c r="H790" s="45">
        <f t="shared" si="95"/>
        <v>8.8148730275624043</v>
      </c>
      <c r="I790" s="10">
        <f t="shared" si="96"/>
        <v>1.3711932661887316</v>
      </c>
      <c r="J790" s="4">
        <f t="shared" si="97"/>
        <v>1722.4984727555245</v>
      </c>
      <c r="K790" s="4">
        <f t="shared" si="99"/>
        <v>387.23494284329047</v>
      </c>
      <c r="L790" s="45">
        <f>Pressure!Q790</f>
        <v>1.7667791781123046</v>
      </c>
      <c r="M790" s="10">
        <f t="shared" si="100"/>
        <v>3.9893002289120942</v>
      </c>
      <c r="N790" s="10">
        <f t="shared" si="98"/>
        <v>2.9545467240956045</v>
      </c>
    </row>
    <row r="791" spans="3:14">
      <c r="C791" s="4">
        <f>Pressure!AB791*1000000</f>
        <v>5661665.519980656</v>
      </c>
      <c r="D791" s="84">
        <f>Pressure!I791</f>
        <v>2.214727558899525E-4</v>
      </c>
      <c r="E791" s="40">
        <f>Pressure!H791</f>
        <v>221.47275588995251</v>
      </c>
      <c r="F791" s="10">
        <f t="shared" si="94"/>
        <v>8</v>
      </c>
      <c r="G791" s="4">
        <f t="shared" si="93"/>
        <v>114075.1074428782</v>
      </c>
      <c r="H791" s="45">
        <f t="shared" si="95"/>
        <v>8.8021749103333828</v>
      </c>
      <c r="I791" s="10">
        <f t="shared" si="96"/>
        <v>1.3709320439951991</v>
      </c>
      <c r="J791" s="4">
        <f t="shared" si="97"/>
        <v>1719.0180862371737</v>
      </c>
      <c r="K791" s="4">
        <f t="shared" si="99"/>
        <v>386.4525170264767</v>
      </c>
      <c r="L791" s="45">
        <f>Pressure!Q791</f>
        <v>1.7690957486643819</v>
      </c>
      <c r="M791" s="10">
        <f t="shared" si="100"/>
        <v>3.9862579575245216</v>
      </c>
      <c r="N791" s="10">
        <f t="shared" si="98"/>
        <v>2.9545467240956045</v>
      </c>
    </row>
    <row r="792" spans="3:14">
      <c r="C792" s="4">
        <f>Pressure!AB792*1000000</f>
        <v>5651247.4423509464</v>
      </c>
      <c r="D792" s="84">
        <f>Pressure!I792</f>
        <v>2.214727558899525E-4</v>
      </c>
      <c r="E792" s="40">
        <f>Pressure!H792</f>
        <v>221.47275588995251</v>
      </c>
      <c r="F792" s="10">
        <f t="shared" si="94"/>
        <v>8</v>
      </c>
      <c r="G792" s="4">
        <f t="shared" si="93"/>
        <v>113865.19689257049</v>
      </c>
      <c r="H792" s="45">
        <f t="shared" si="95"/>
        <v>8.789428629373667</v>
      </c>
      <c r="I792" s="10">
        <f t="shared" si="96"/>
        <v>1.3706689503137819</v>
      </c>
      <c r="J792" s="4">
        <f t="shared" si="97"/>
        <v>1715.5256194615574</v>
      </c>
      <c r="K792" s="4">
        <f t="shared" si="99"/>
        <v>385.66737544659804</v>
      </c>
      <c r="L792" s="45">
        <f>Pressure!Q792</f>
        <v>1.7714152418522615</v>
      </c>
      <c r="M792" s="10">
        <f t="shared" si="100"/>
        <v>3.9832003644214935</v>
      </c>
      <c r="N792" s="10">
        <f t="shared" si="98"/>
        <v>2.9545467240956045</v>
      </c>
    </row>
    <row r="793" spans="3:14">
      <c r="C793" s="4">
        <f>Pressure!AB793*1000000</f>
        <v>5640793.8281588107</v>
      </c>
      <c r="D793" s="84">
        <f>Pressure!I793</f>
        <v>2.214727558899525E-4</v>
      </c>
      <c r="E793" s="40">
        <f>Pressure!H793</f>
        <v>221.47275588995251</v>
      </c>
      <c r="F793" s="10">
        <f t="shared" si="94"/>
        <v>8</v>
      </c>
      <c r="G793" s="4">
        <f t="shared" si="93"/>
        <v>113654.57032730876</v>
      </c>
      <c r="H793" s="45">
        <f t="shared" si="95"/>
        <v>8.7766347436822905</v>
      </c>
      <c r="I793" s="10">
        <f t="shared" si="96"/>
        <v>1.3704039824047871</v>
      </c>
      <c r="J793" s="4">
        <f t="shared" si="97"/>
        <v>1712.0212397142773</v>
      </c>
      <c r="K793" s="4">
        <f t="shared" si="99"/>
        <v>384.8795557111365</v>
      </c>
      <c r="L793" s="45">
        <f>Pressure!Q793</f>
        <v>1.7737376769292672</v>
      </c>
      <c r="M793" s="10">
        <f t="shared" si="100"/>
        <v>3.980127526915322</v>
      </c>
      <c r="N793" s="10">
        <f t="shared" si="98"/>
        <v>2.9545467240956045</v>
      </c>
    </row>
    <row r="794" spans="3:14">
      <c r="C794" s="4">
        <f>Pressure!AB794*1000000</f>
        <v>5630305.1649432071</v>
      </c>
      <c r="D794" s="84">
        <f>Pressure!I794</f>
        <v>2.214727558899525E-4</v>
      </c>
      <c r="E794" s="40">
        <f>Pressure!H794</f>
        <v>221.47275588995251</v>
      </c>
      <c r="F794" s="10">
        <f t="shared" si="94"/>
        <v>8</v>
      </c>
      <c r="G794" s="4">
        <f t="shared" si="93"/>
        <v>113443.23757036125</v>
      </c>
      <c r="H794" s="45">
        <f t="shared" si="95"/>
        <v>8.7637937986212204</v>
      </c>
      <c r="I794" s="10">
        <f t="shared" si="96"/>
        <v>1.3701371372383211</v>
      </c>
      <c r="J794" s="4">
        <f t="shared" si="97"/>
        <v>1708.5051104337022</v>
      </c>
      <c r="K794" s="4">
        <f t="shared" si="99"/>
        <v>384.08909456267753</v>
      </c>
      <c r="L794" s="45">
        <f>Pressure!Q794</f>
        <v>1.7760630731473601</v>
      </c>
      <c r="M794" s="10">
        <f t="shared" si="100"/>
        <v>3.9770395192606318</v>
      </c>
      <c r="N794" s="10">
        <f t="shared" si="98"/>
        <v>2.9545467240956045</v>
      </c>
    </row>
    <row r="795" spans="3:14">
      <c r="C795" s="4">
        <f>Pressure!AB795*1000000</f>
        <v>5619781.9291409208</v>
      </c>
      <c r="D795" s="84">
        <f>Pressure!I795</f>
        <v>2.214727558899525E-4</v>
      </c>
      <c r="E795" s="40">
        <f>Pressure!H795</f>
        <v>221.47275588995251</v>
      </c>
      <c r="F795" s="10">
        <f t="shared" si="94"/>
        <v>8</v>
      </c>
      <c r="G795" s="4">
        <f t="shared" si="93"/>
        <v>113231.20822130203</v>
      </c>
      <c r="H795" s="45">
        <f t="shared" si="95"/>
        <v>8.7509063263586864</v>
      </c>
      <c r="I795" s="10">
        <f t="shared" si="96"/>
        <v>1.3698684114998936</v>
      </c>
      <c r="J795" s="4">
        <f t="shared" si="97"/>
        <v>1704.9773913364043</v>
      </c>
      <c r="K795" s="4">
        <f t="shared" si="99"/>
        <v>383.29602790710948</v>
      </c>
      <c r="L795" s="45">
        <f>Pressure!Q795</f>
        <v>1.7783914497602096</v>
      </c>
      <c r="M795" s="10">
        <f t="shared" si="100"/>
        <v>3.9739364127461885</v>
      </c>
      <c r="N795" s="10">
        <f t="shared" si="98"/>
        <v>2.9545467240956045</v>
      </c>
    </row>
    <row r="796" spans="3:14">
      <c r="C796" s="4">
        <f>Pressure!AB796*1000000</f>
        <v>5609224.586448703</v>
      </c>
      <c r="D796" s="84">
        <f>Pressure!I796</f>
        <v>2.214727558899525E-4</v>
      </c>
      <c r="E796" s="40">
        <f>Pressure!H796</f>
        <v>221.47275588995251</v>
      </c>
      <c r="F796" s="10">
        <f t="shared" si="94"/>
        <v>8</v>
      </c>
      <c r="G796" s="4">
        <f t="shared" ref="G796:G862" si="101">IF(C796/(1+(k-1)/2*N796^2)^(k/(k-1))&lt;patm*1000000,patm*1000000,C796/(1+(k-1)/2*N796^2)^(k/(k-1)))</f>
        <v>113018.49166330759</v>
      </c>
      <c r="H796" s="45">
        <f t="shared" si="95"/>
        <v>8.7379728462983124</v>
      </c>
      <c r="I796" s="10">
        <f t="shared" si="96"/>
        <v>1.3695978015958075</v>
      </c>
      <c r="J796" s="4">
        <f t="shared" si="97"/>
        <v>1701.4382385385575</v>
      </c>
      <c r="K796" s="4">
        <f t="shared" si="99"/>
        <v>382.50039084091486</v>
      </c>
      <c r="L796" s="45">
        <f>Pressure!Q796</f>
        <v>1.7807228260261925</v>
      </c>
      <c r="M796" s="10">
        <f t="shared" si="100"/>
        <v>3.9708182757818355</v>
      </c>
      <c r="N796" s="10">
        <f t="shared" si="98"/>
        <v>2.9545467240956045</v>
      </c>
    </row>
    <row r="797" spans="3:14">
      <c r="C797" s="4">
        <f>Pressure!AB797*1000000</f>
        <v>5598633.5921743084</v>
      </c>
      <c r="D797" s="84">
        <f>Pressure!I797</f>
        <v>2.214727558899525E-4</v>
      </c>
      <c r="E797" s="40">
        <f>Pressure!H797</f>
        <v>221.47275588995251</v>
      </c>
      <c r="F797" s="10">
        <f t="shared" ref="F797:F860" si="102">aexit/E797</f>
        <v>8</v>
      </c>
      <c r="G797" s="4">
        <f t="shared" si="101"/>
        <v>112805.09707022987</v>
      </c>
      <c r="H797" s="45">
        <f t="shared" ref="H797:H860" si="103">1/(((k+1)/2)^(1/(k-1))*(patm*1000000/C797)^(1/k)*SQRT((k+1)/(k-1)*(1-(patm*1000000/C797)^((k-1)/k))))</f>
        <v>8.7249938654951418</v>
      </c>
      <c r="I797" s="10">
        <f t="shared" ref="I797:I860" si="104">etanoz*SQRT(2*k^2/(k-1)*(2/(k+1))^((k+1)/(k-1))*(1-(G797/C797)^((k-1)/k)))+(G797-patm*1000000)/C797*(aexit/E797)</f>
        <v>1.3693253036583519</v>
      </c>
      <c r="J797" s="4">
        <f t="shared" ref="J797:J860" si="105">I797*D797*C797</f>
        <v>1697.8878046736206</v>
      </c>
      <c r="K797" s="4">
        <f t="shared" si="99"/>
        <v>381.70221767762706</v>
      </c>
      <c r="L797" s="45">
        <f>Pressure!Q797</f>
        <v>1.7830572212113251</v>
      </c>
      <c r="M797" s="10">
        <f t="shared" si="100"/>
        <v>3.9676851739853096</v>
      </c>
      <c r="N797" s="10">
        <f t="shared" si="98"/>
        <v>2.9545467240956045</v>
      </c>
    </row>
    <row r="798" spans="3:14">
      <c r="C798" s="4">
        <f>Pressure!AB798*1000000</f>
        <v>5588009.3915753253</v>
      </c>
      <c r="D798" s="84">
        <f>Pressure!I798</f>
        <v>2.214727558899525E-4</v>
      </c>
      <c r="E798" s="40">
        <f>Pressure!H798</f>
        <v>221.47275588995251</v>
      </c>
      <c r="F798" s="10">
        <f t="shared" si="102"/>
        <v>8</v>
      </c>
      <c r="G798" s="4">
        <f t="shared" si="101"/>
        <v>112591.03341342312</v>
      </c>
      <c r="H798" s="45">
        <f t="shared" si="103"/>
        <v>8.7119698790572127</v>
      </c>
      <c r="I798" s="10">
        <f t="shared" si="104"/>
        <v>1.3690509135507671</v>
      </c>
      <c r="J798" s="4">
        <f t="shared" si="105"/>
        <v>1694.3262390059181</v>
      </c>
      <c r="K798" s="4">
        <f t="shared" si="99"/>
        <v>380.90154197336409</v>
      </c>
      <c r="L798" s="45">
        <f>Pressure!Q798</f>
        <v>1.7853946545921286</v>
      </c>
      <c r="M798" s="10">
        <f t="shared" si="100"/>
        <v>3.9645371702634877</v>
      </c>
      <c r="N798" s="10">
        <f t="shared" ref="N798:N861" si="106">N797-1/834*(me-mef)</f>
        <v>2.9545467240956045</v>
      </c>
    </row>
    <row r="799" spans="3:14">
      <c r="C799" s="4">
        <f>Pressure!AB799*1000000</f>
        <v>5577352.4201884521</v>
      </c>
      <c r="D799" s="84">
        <f>Pressure!I799</f>
        <v>2.214727558899525E-4</v>
      </c>
      <c r="E799" s="40">
        <f>Pressure!H799</f>
        <v>221.47275588995251</v>
      </c>
      <c r="F799" s="10">
        <f t="shared" si="102"/>
        <v>8</v>
      </c>
      <c r="G799" s="4">
        <f t="shared" si="101"/>
        <v>112376.30946837853</v>
      </c>
      <c r="H799" s="45">
        <f t="shared" si="103"/>
        <v>8.6989013705358413</v>
      </c>
      <c r="I799" s="10">
        <f t="shared" si="104"/>
        <v>1.3687746268720498</v>
      </c>
      <c r="J799" s="4">
        <f t="shared" si="105"/>
        <v>1690.753687541029</v>
      </c>
      <c r="K799" s="4">
        <f t="shared" si="99"/>
        <v>380.09839655164541</v>
      </c>
      <c r="L799" s="45">
        <f>Pressure!Q799</f>
        <v>1.7877351454584305</v>
      </c>
      <c r="M799" s="10">
        <f t="shared" si="100"/>
        <v>3.96137432489241</v>
      </c>
      <c r="N799" s="10">
        <f t="shared" si="106"/>
        <v>2.9545467240956045</v>
      </c>
    </row>
    <row r="800" spans="3:14">
      <c r="C800" s="4">
        <f>Pressure!AB800*1000000</f>
        <v>5566663.1041469881</v>
      </c>
      <c r="D800" s="84">
        <f>Pressure!I800</f>
        <v>2.214727558899525E-4</v>
      </c>
      <c r="E800" s="40">
        <f>Pressure!H800</f>
        <v>221.47275588995251</v>
      </c>
      <c r="F800" s="10">
        <f t="shared" si="102"/>
        <v>8</v>
      </c>
      <c r="G800" s="4">
        <f t="shared" si="101"/>
        <v>112160.9338211211</v>
      </c>
      <c r="H800" s="45">
        <f t="shared" si="103"/>
        <v>8.6857888123020039</v>
      </c>
      <c r="I800" s="10">
        <f t="shared" si="104"/>
        <v>1.3684964389615348</v>
      </c>
      <c r="J800" s="4">
        <f t="shared" si="105"/>
        <v>1687.1702931322161</v>
      </c>
      <c r="K800" s="4">
        <f t="shared" si="99"/>
        <v>379.29281352731806</v>
      </c>
      <c r="L800" s="45">
        <f>Pressure!Q800</f>
        <v>1.7900787131161056</v>
      </c>
      <c r="M800" s="10">
        <f t="shared" si="100"/>
        <v>3.9581966955954258</v>
      </c>
      <c r="N800" s="10">
        <f t="shared" si="106"/>
        <v>2.9545467240956045</v>
      </c>
    </row>
    <row r="801" spans="3:14">
      <c r="C801" s="4">
        <f>Pressure!AB801*1000000</f>
        <v>5555941.8604892818</v>
      </c>
      <c r="D801" s="84">
        <f>Pressure!I801</f>
        <v>2.214727558899525E-4</v>
      </c>
      <c r="E801" s="40">
        <f>Pressure!H801</f>
        <v>221.47275588995251</v>
      </c>
      <c r="F801" s="10">
        <f t="shared" si="102"/>
        <v>8</v>
      </c>
      <c r="G801" s="4">
        <f t="shared" si="101"/>
        <v>111944.9148744246</v>
      </c>
      <c r="H801" s="45">
        <f t="shared" si="103"/>
        <v>8.6726326659120474</v>
      </c>
      <c r="I801" s="10">
        <f t="shared" si="104"/>
        <v>1.3682163449033253</v>
      </c>
      <c r="J801" s="4">
        <f t="shared" si="105"/>
        <v>1683.5761955838311</v>
      </c>
      <c r="K801" s="4">
        <f t="shared" si="99"/>
        <v>378.4848243298033</v>
      </c>
      <c r="L801" s="45">
        <f>Pressure!Q801</f>
        <v>1.7924253768897567</v>
      </c>
      <c r="M801" s="10">
        <f t="shared" si="100"/>
        <v>3.9550043376158213</v>
      </c>
      <c r="N801" s="10">
        <f t="shared" si="106"/>
        <v>2.9545467240956045</v>
      </c>
    </row>
    <row r="802" spans="3:14">
      <c r="C802" s="4">
        <f>Pressure!AB802*1000000</f>
        <v>5545189.0974563584</v>
      </c>
      <c r="D802" s="84">
        <f>Pressure!I802</f>
        <v>2.214727558899525E-4</v>
      </c>
      <c r="E802" s="40">
        <f>Pressure!H802</f>
        <v>221.47275588995251</v>
      </c>
      <c r="F802" s="10">
        <f t="shared" si="102"/>
        <v>8</v>
      </c>
      <c r="G802" s="4">
        <f t="shared" si="101"/>
        <v>111728.26085380829</v>
      </c>
      <c r="H802" s="45">
        <f t="shared" si="103"/>
        <v>8.6594333824605574</v>
      </c>
      <c r="I802" s="10">
        <f t="shared" si="104"/>
        <v>1.3679343395305172</v>
      </c>
      <c r="J802" s="4">
        <f t="shared" si="105"/>
        <v>1679.9715317510841</v>
      </c>
      <c r="K802" s="4">
        <f t="shared" si="99"/>
        <v>377.67445972552582</v>
      </c>
      <c r="L802" s="45">
        <f>Pressure!Q802</f>
        <v>1.7947751561253398</v>
      </c>
      <c r="M802" s="10">
        <f t="shared" si="100"/>
        <v>3.9517973037921634</v>
      </c>
      <c r="N802" s="10">
        <f t="shared" si="106"/>
        <v>2.9545467240956045</v>
      </c>
    </row>
    <row r="803" spans="3:14">
      <c r="C803" s="4">
        <f>Pressure!AB803*1000000</f>
        <v>5534405.2147810748</v>
      </c>
      <c r="D803" s="84">
        <f>Pressure!I803</f>
        <v>2.214727558899525E-4</v>
      </c>
      <c r="E803" s="40">
        <f>Pressure!H803</f>
        <v>221.47275588995251</v>
      </c>
      <c r="F803" s="10">
        <f t="shared" si="102"/>
        <v>8</v>
      </c>
      <c r="G803" s="4">
        <f t="shared" si="101"/>
        <v>111510.97981336304</v>
      </c>
      <c r="H803" s="45">
        <f t="shared" si="103"/>
        <v>8.6461914029233231</v>
      </c>
      <c r="I803" s="10">
        <f t="shared" si="104"/>
        <v>1.3676504174292829</v>
      </c>
      <c r="J803" s="4">
        <f t="shared" si="105"/>
        <v>1676.3564356369827</v>
      </c>
      <c r="K803" s="4">
        <f t="shared" si="99"/>
        <v>376.86174983970659</v>
      </c>
      <c r="L803" s="45">
        <f>Pressure!Q803</f>
        <v>1.7971280701927326</v>
      </c>
      <c r="M803" s="10">
        <f t="shared" si="100"/>
        <v>3.9485756446256284</v>
      </c>
      <c r="N803" s="10">
        <f t="shared" si="106"/>
        <v>2.9545467240956045</v>
      </c>
    </row>
    <row r="804" spans="3:14">
      <c r="C804" s="4">
        <f>Pressure!AB804*1000000</f>
        <v>5523590.6039672317</v>
      </c>
      <c r="D804" s="84">
        <f>Pressure!I804</f>
        <v>2.214727558899525E-4</v>
      </c>
      <c r="E804" s="40">
        <f>Pressure!H804</f>
        <v>221.47275588995251</v>
      </c>
      <c r="F804" s="10">
        <f t="shared" si="102"/>
        <v>8</v>
      </c>
      <c r="G804" s="4">
        <f t="shared" si="101"/>
        <v>111293.07964137509</v>
      </c>
      <c r="H804" s="45">
        <f t="shared" si="103"/>
        <v>8.632907158488349</v>
      </c>
      <c r="I804" s="10">
        <f t="shared" si="104"/>
        <v>1.3673645729427653</v>
      </c>
      <c r="J804" s="4">
        <f t="shared" si="105"/>
        <v>1672.731038485894</v>
      </c>
      <c r="K804" s="4">
        <f t="shared" si="99"/>
        <v>376.04672417739624</v>
      </c>
      <c r="L804" s="45">
        <f>Pressure!Q804</f>
        <v>1.7994841384882507</v>
      </c>
      <c r="M804" s="10">
        <f t="shared" si="100"/>
        <v>3.9453394083489437</v>
      </c>
      <c r="N804" s="10">
        <f t="shared" si="106"/>
        <v>2.9545467240956045</v>
      </c>
    </row>
    <row r="805" spans="3:14">
      <c r="C805" s="4">
        <f>Pressure!AB805*1000000</f>
        <v>5512745.6485601524</v>
      </c>
      <c r="D805" s="84">
        <f>Pressure!I805</f>
        <v>2.214727558899525E-4</v>
      </c>
      <c r="E805" s="40">
        <f>Pressure!H805</f>
        <v>221.47275588995251</v>
      </c>
      <c r="F805" s="10">
        <f t="shared" si="102"/>
        <v>8</v>
      </c>
      <c r="G805" s="4">
        <f t="shared" si="101"/>
        <v>111074.5680657778</v>
      </c>
      <c r="H805" s="45">
        <f t="shared" si="103"/>
        <v>8.6195810708768779</v>
      </c>
      <c r="I805" s="10">
        <f t="shared" si="104"/>
        <v>1.3670768001748217</v>
      </c>
      <c r="J805" s="4">
        <f t="shared" si="105"/>
        <v>1669.0954688742552</v>
      </c>
      <c r="K805" s="4">
        <f t="shared" si="99"/>
        <v>375.22941164386833</v>
      </c>
      <c r="L805" s="45">
        <f>Pressure!Q805</f>
        <v>1.801843380437113</v>
      </c>
      <c r="M805" s="10">
        <f t="shared" si="100"/>
        <v>3.9420886409919897</v>
      </c>
      <c r="N805" s="10">
        <f t="shared" si="106"/>
        <v>2.9545467240956045</v>
      </c>
    </row>
    <row r="806" spans="3:14">
      <c r="C806" s="4">
        <f>Pressure!AB806*1000000</f>
        <v>5501870.7244088799</v>
      </c>
      <c r="D806" s="84">
        <f>Pressure!I806</f>
        <v>2.214727558899525E-4</v>
      </c>
      <c r="E806" s="40">
        <f>Pressure!H806</f>
        <v>221.47275588995251</v>
      </c>
      <c r="F806" s="10">
        <f t="shared" si="102"/>
        <v>8</v>
      </c>
      <c r="G806" s="4">
        <f t="shared" si="101"/>
        <v>110855.45265943465</v>
      </c>
      <c r="H806" s="45">
        <f t="shared" si="103"/>
        <v>8.6062135526544647</v>
      </c>
      <c r="I806" s="10">
        <f t="shared" si="104"/>
        <v>1.3667870929936183</v>
      </c>
      <c r="J806" s="4">
        <f t="shared" si="105"/>
        <v>1665.4498527984681</v>
      </c>
      <c r="K806" s="4">
        <f t="shared" si="99"/>
        <v>374.40984056437844</v>
      </c>
      <c r="L806" s="45">
        <f>Pressure!Q806</f>
        <v>1.8042058154958567</v>
      </c>
      <c r="M806" s="10">
        <f t="shared" si="100"/>
        <v>3.9388233864446693</v>
      </c>
      <c r="N806" s="10">
        <f t="shared" si="106"/>
        <v>2.9545467240956045</v>
      </c>
    </row>
    <row r="807" spans="3:14">
      <c r="C807" s="4">
        <f>Pressure!AB807*1000000</f>
        <v>5490966.1999196466</v>
      </c>
      <c r="D807" s="84">
        <f>Pressure!I807</f>
        <v>2.214727558899525E-4</v>
      </c>
      <c r="E807" s="40">
        <f>Pressure!H807</f>
        <v>221.47275588995251</v>
      </c>
      <c r="F807" s="10">
        <f t="shared" si="102"/>
        <v>8</v>
      </c>
      <c r="G807" s="4">
        <f t="shared" si="101"/>
        <v>110635.74084524627</v>
      </c>
      <c r="H807" s="45">
        <f t="shared" si="103"/>
        <v>8.5928050075317817</v>
      </c>
      <c r="I807" s="10">
        <f t="shared" si="104"/>
        <v>1.3664954450350644</v>
      </c>
      <c r="J807" s="4">
        <f t="shared" si="105"/>
        <v>1661.7943137598706</v>
      </c>
      <c r="K807" s="4">
        <f t="shared" si="99"/>
        <v>373.58803870326665</v>
      </c>
      <c r="L807" s="45">
        <f>Pressure!Q807</f>
        <v>1.8065714631547061</v>
      </c>
      <c r="M807" s="10">
        <f t="shared" si="100"/>
        <v>3.9355436865195124</v>
      </c>
      <c r="N807" s="10">
        <f t="shared" si="106"/>
        <v>2.9545467240956045</v>
      </c>
    </row>
    <row r="808" spans="3:14">
      <c r="C808" s="4">
        <f>Pressure!AB808*1000000</f>
        <v>5480032.436301684</v>
      </c>
      <c r="D808" s="84">
        <f>Pressure!I808</f>
        <v>2.214727558899525E-4</v>
      </c>
      <c r="E808" s="40">
        <f>Pressure!H808</f>
        <v>221.47275588995251</v>
      </c>
      <c r="F808" s="10">
        <f t="shared" si="102"/>
        <v>8</v>
      </c>
      <c r="G808" s="4">
        <f t="shared" si="101"/>
        <v>110415.43990110318</v>
      </c>
      <c r="H808" s="45">
        <f t="shared" si="103"/>
        <v>8.5793558306563753</v>
      </c>
      <c r="I808" s="10">
        <f t="shared" si="104"/>
        <v>1.3662018497061097</v>
      </c>
      <c r="J808" s="4">
        <f t="shared" si="105"/>
        <v>1658.1289728471399</v>
      </c>
      <c r="K808" s="4">
        <f t="shared" si="99"/>
        <v>372.76403328248279</v>
      </c>
      <c r="L808" s="45">
        <f>Pressure!Q808</f>
        <v>1.8089403429398945</v>
      </c>
      <c r="M808" s="10">
        <f t="shared" si="100"/>
        <v>3.932249581009799</v>
      </c>
      <c r="N808" s="10">
        <f t="shared" si="106"/>
        <v>2.9545467240956045</v>
      </c>
    </row>
    <row r="809" spans="3:14">
      <c r="C809" s="4">
        <f>Pressure!AB809*1000000</f>
        <v>5469069.7878048196</v>
      </c>
      <c r="D809" s="84">
        <f>Pressure!I809</f>
        <v>2.214727558899525E-4</v>
      </c>
      <c r="E809" s="40">
        <f>Pressure!H809</f>
        <v>221.47275588995251</v>
      </c>
      <c r="F809" s="10">
        <f t="shared" si="102"/>
        <v>8</v>
      </c>
      <c r="G809" s="4">
        <f t="shared" si="101"/>
        <v>110194.55696467309</v>
      </c>
      <c r="H809" s="45">
        <f t="shared" si="103"/>
        <v>8.5658664088947383</v>
      </c>
      <c r="I809" s="10">
        <f t="shared" si="104"/>
        <v>1.3659063001878922</v>
      </c>
      <c r="J809" s="4">
        <f t="shared" si="105"/>
        <v>1654.453948815943</v>
      </c>
      <c r="K809" s="4">
        <f t="shared" si="99"/>
        <v>371.93785099949264</v>
      </c>
      <c r="L809" s="45">
        <f>Pressure!Q809</f>
        <v>1.8113124744159426</v>
      </c>
      <c r="M809" s="10">
        <f t="shared" si="100"/>
        <v>3.9289411077481704</v>
      </c>
      <c r="N809" s="10">
        <f t="shared" si="106"/>
        <v>2.9545467240956045</v>
      </c>
    </row>
    <row r="810" spans="3:14">
      <c r="C810" s="4">
        <f>Pressure!AB810*1000000</f>
        <v>5458078.6019499972</v>
      </c>
      <c r="D810" s="84">
        <f>Pressure!I810</f>
        <v>2.214727558899525E-4</v>
      </c>
      <c r="E810" s="40">
        <f>Pressure!H810</f>
        <v>221.47275588995251</v>
      </c>
      <c r="F810" s="10">
        <f t="shared" si="102"/>
        <v>8</v>
      </c>
      <c r="G810" s="4">
        <f t="shared" si="101"/>
        <v>109973.09903804556</v>
      </c>
      <c r="H810" s="45">
        <f t="shared" si="103"/>
        <v>8.5523371211060599</v>
      </c>
      <c r="I810" s="10">
        <f t="shared" si="104"/>
        <v>1.3656087894387581</v>
      </c>
      <c r="J810" s="4">
        <f t="shared" si="105"/>
        <v>1650.7693581662124</v>
      </c>
      <c r="K810" s="4">
        <f t="shared" si="99"/>
        <v>371.10951804465009</v>
      </c>
      <c r="L810" s="45">
        <f>Pressure!Q810</f>
        <v>1.8136878771878939</v>
      </c>
      <c r="M810" s="10">
        <f t="shared" si="100"/>
        <v>3.9256183026618308</v>
      </c>
      <c r="N810" s="10">
        <f t="shared" si="106"/>
        <v>2.9545467240956045</v>
      </c>
    </row>
    <row r="811" spans="3:14">
      <c r="C811" s="4">
        <f>Pressure!AB811*1000000</f>
        <v>5447059.2197522558</v>
      </c>
      <c r="D811" s="84">
        <f>Pressure!I811</f>
        <v>2.214727558899525E-4</v>
      </c>
      <c r="E811" s="40">
        <f>Pressure!H811</f>
        <v>221.47275588995251</v>
      </c>
      <c r="F811" s="10">
        <f t="shared" si="102"/>
        <v>8</v>
      </c>
      <c r="G811" s="4">
        <f t="shared" si="101"/>
        <v>109751.07299222471</v>
      </c>
      <c r="H811" s="45">
        <f t="shared" si="103"/>
        <v>8.5387683384070279</v>
      </c>
      <c r="I811" s="10">
        <f t="shared" si="104"/>
        <v>1.3653093101971467</v>
      </c>
      <c r="J811" s="4">
        <f t="shared" si="105"/>
        <v>1647.0753152168988</v>
      </c>
      <c r="K811" s="4">
        <f t="shared" si="99"/>
        <v>370.27906011800252</v>
      </c>
      <c r="L811" s="45">
        <f>Pressure!Q811</f>
        <v>1.81606657090351</v>
      </c>
      <c r="M811" s="10">
        <f t="shared" si="100"/>
        <v>3.9222811998271423</v>
      </c>
      <c r="N811" s="10">
        <f t="shared" si="106"/>
        <v>2.9545467240956045</v>
      </c>
    </row>
    <row r="812" spans="3:14">
      <c r="C812" s="4">
        <f>Pressure!AB812*1000000</f>
        <v>5436011.975936641</v>
      </c>
      <c r="D812" s="84">
        <f>Pressure!I812</f>
        <v>2.214727558899525E-4</v>
      </c>
      <c r="E812" s="40">
        <f>Pressure!H812</f>
        <v>221.47275588995251</v>
      </c>
      <c r="F812" s="10">
        <f t="shared" si="102"/>
        <v>8</v>
      </c>
      <c r="G812" s="4">
        <f t="shared" si="101"/>
        <v>109528.48557147963</v>
      </c>
      <c r="H812" s="45">
        <f t="shared" si="103"/>
        <v>8.5251604244283481</v>
      </c>
      <c r="I812" s="10">
        <f t="shared" si="104"/>
        <v>1.3650078549843427</v>
      </c>
      <c r="J812" s="4">
        <f t="shared" si="105"/>
        <v>1643.3719321783485</v>
      </c>
      <c r="K812" s="4">
        <f t="shared" si="99"/>
        <v>369.44650244556192</v>
      </c>
      <c r="L812" s="45">
        <f>Pressure!Q812</f>
        <v>1.8184485752554245</v>
      </c>
      <c r="M812" s="10">
        <f t="shared" si="100"/>
        <v>3.9189298315202681</v>
      </c>
      <c r="N812" s="10">
        <f t="shared" si="106"/>
        <v>2.9545467240956045</v>
      </c>
    </row>
    <row r="813" spans="3:14">
      <c r="C813" s="4">
        <f>Pressure!AB813*1000000</f>
        <v>5424937.1991475727</v>
      </c>
      <c r="D813" s="84">
        <f>Pressure!I813</f>
        <v>2.214727558899525E-4</v>
      </c>
      <c r="E813" s="40">
        <f>Pressure!H813</f>
        <v>221.47275588995251</v>
      </c>
      <c r="F813" s="10">
        <f t="shared" si="102"/>
        <v>8</v>
      </c>
      <c r="G813" s="4">
        <f t="shared" si="101"/>
        <v>109305.34339756273</v>
      </c>
      <c r="H813" s="45">
        <f t="shared" si="103"/>
        <v>8.5115137355635468</v>
      </c>
      <c r="I813" s="10">
        <f t="shared" si="104"/>
        <v>1.3647044161071138</v>
      </c>
      <c r="J813" s="4">
        <f t="shared" si="105"/>
        <v>1639.6593192224914</v>
      </c>
      <c r="K813" s="4">
        <f t="shared" si="99"/>
        <v>368.61186979508369</v>
      </c>
      <c r="L813" s="45">
        <f>Pressure!Q813</f>
        <v>1.8208339099832618</v>
      </c>
      <c r="M813" s="10">
        <f t="shared" si="100"/>
        <v>3.9155642282707985</v>
      </c>
      <c r="N813" s="10">
        <f t="shared" si="106"/>
        <v>2.9545467240956045</v>
      </c>
    </row>
    <row r="814" spans="3:14">
      <c r="C814" s="4">
        <f>Pressure!AB814*1000000</f>
        <v>5413835.2121510655</v>
      </c>
      <c r="D814" s="84">
        <f>Pressure!I814</f>
        <v>2.214727558899525E-4</v>
      </c>
      <c r="E814" s="40">
        <f>Pressure!H814</f>
        <v>221.47275588995251</v>
      </c>
      <c r="F814" s="10">
        <f t="shared" si="102"/>
        <v>8</v>
      </c>
      <c r="G814" s="4">
        <f t="shared" si="101"/>
        <v>109081.65297378432</v>
      </c>
      <c r="H814" s="45">
        <f t="shared" si="103"/>
        <v>8.4978286212092957</v>
      </c>
      <c r="I814" s="10">
        <f t="shared" si="104"/>
        <v>1.3643989856602117</v>
      </c>
      <c r="J814" s="4">
        <f t="shared" si="105"/>
        <v>1635.9375845506304</v>
      </c>
      <c r="K814" s="4">
        <f t="shared" si="99"/>
        <v>367.77518649130667</v>
      </c>
      <c r="L814" s="45">
        <f>Pressure!Q814</f>
        <v>1.8232225948757161</v>
      </c>
      <c r="M814" s="10">
        <f t="shared" si="100"/>
        <v>3.9121844189065711</v>
      </c>
      <c r="N814" s="10">
        <f t="shared" si="106"/>
        <v>2.9545467240956045</v>
      </c>
    </row>
    <row r="815" spans="3:14">
      <c r="C815" s="4">
        <f>Pressure!AB815*1000000</f>
        <v>5402706.3320313105</v>
      </c>
      <c r="D815" s="84">
        <f>Pressure!I815</f>
        <v>2.214727558899525E-4</v>
      </c>
      <c r="E815" s="40">
        <f>Pressure!H815</f>
        <v>221.47275588995251</v>
      </c>
      <c r="F815" s="10">
        <f t="shared" si="102"/>
        <v>8</v>
      </c>
      <c r="G815" s="4">
        <f t="shared" si="101"/>
        <v>108857.42068897349</v>
      </c>
      <c r="H815" s="45">
        <f t="shared" si="103"/>
        <v>8.484105423999166</v>
      </c>
      <c r="I815" s="10">
        <f t="shared" si="104"/>
        <v>1.364091555528778</v>
      </c>
      <c r="J815" s="4">
        <f t="shared" si="105"/>
        <v>1632.2068344593447</v>
      </c>
      <c r="K815" s="4">
        <f t="shared" si="99"/>
        <v>366.93647643076855</v>
      </c>
      <c r="L815" s="45">
        <f>Pressure!Q815</f>
        <v>1.8256146497725982</v>
      </c>
      <c r="M815" s="10">
        <f t="shared" si="100"/>
        <v>3.90879043060536</v>
      </c>
      <c r="N815" s="10">
        <f t="shared" si="106"/>
        <v>2.9545467240956045</v>
      </c>
    </row>
    <row r="816" spans="3:14">
      <c r="C816" s="4">
        <f>Pressure!AB816*1000000</f>
        <v>5391550.8703803318</v>
      </c>
      <c r="D816" s="84">
        <f>Pressure!I816</f>
        <v>2.214727558899525E-4</v>
      </c>
      <c r="E816" s="40">
        <f>Pressure!H816</f>
        <v>221.47275588995251</v>
      </c>
      <c r="F816" s="10">
        <f t="shared" si="102"/>
        <v>8</v>
      </c>
      <c r="G816" s="4">
        <f t="shared" si="101"/>
        <v>108632.65282129934</v>
      </c>
      <c r="H816" s="45">
        <f t="shared" si="103"/>
        <v>8.4703444800291656</v>
      </c>
      <c r="I816" s="10">
        <f t="shared" si="104"/>
        <v>1.3637821173906144</v>
      </c>
      <c r="J816" s="4">
        <f t="shared" si="105"/>
        <v>1628.4671734040649</v>
      </c>
      <c r="K816" s="4">
        <f t="shared" si="99"/>
        <v>366.09576309609838</v>
      </c>
      <c r="L816" s="45">
        <f>Pressure!Q816</f>
        <v>1.828010094566846</v>
      </c>
      <c r="M816" s="10">
        <f t="shared" si="100"/>
        <v>3.9053822889377616</v>
      </c>
      <c r="N816" s="10">
        <f t="shared" si="106"/>
        <v>2.9545467240956045</v>
      </c>
    </row>
    <row r="817" spans="3:14">
      <c r="C817" s="4">
        <f>Pressure!AB817*1000000</f>
        <v>5380369.1334822532</v>
      </c>
      <c r="D817" s="84">
        <f>Pressure!I817</f>
        <v>2.214727558899525E-4</v>
      </c>
      <c r="E817" s="40">
        <f>Pressure!H817</f>
        <v>221.47275588995251</v>
      </c>
      <c r="F817" s="10">
        <f t="shared" si="102"/>
        <v>8</v>
      </c>
      <c r="G817" s="4">
        <f t="shared" si="101"/>
        <v>108407.35554198379</v>
      </c>
      <c r="H817" s="45">
        <f t="shared" si="103"/>
        <v>8.4565461190769486</v>
      </c>
      <c r="I817" s="10">
        <f t="shared" si="104"/>
        <v>1.3634706627183586</v>
      </c>
      <c r="J817" s="4">
        <f t="shared" si="105"/>
        <v>1624.7187040608476</v>
      </c>
      <c r="K817" s="4">
        <f t="shared" si="99"/>
        <v>365.25306956990414</v>
      </c>
      <c r="L817" s="45">
        <f>Pressure!Q817</f>
        <v>1.8304089492065037</v>
      </c>
      <c r="M817" s="10">
        <f t="shared" si="100"/>
        <v>3.9019600179126601</v>
      </c>
      <c r="N817" s="10">
        <f t="shared" si="106"/>
        <v>2.9545467240956045</v>
      </c>
    </row>
    <row r="818" spans="3:14">
      <c r="C818" s="4">
        <f>Pressure!AB818*1000000</f>
        <v>5369161.422491258</v>
      </c>
      <c r="D818" s="84">
        <f>Pressure!I818</f>
        <v>2.214727558899525E-4</v>
      </c>
      <c r="E818" s="40">
        <f>Pressure!H818</f>
        <v>221.47275588995251</v>
      </c>
      <c r="F818" s="10">
        <f t="shared" si="102"/>
        <v>8</v>
      </c>
      <c r="G818" s="4">
        <f t="shared" si="101"/>
        <v>108181.53491888721</v>
      </c>
      <c r="H818" s="45">
        <f t="shared" si="103"/>
        <v>8.4427106648135766</v>
      </c>
      <c r="I818" s="10">
        <f t="shared" si="104"/>
        <v>1.3631571827815407</v>
      </c>
      <c r="J818" s="4">
        <f t="shared" si="105"/>
        <v>1620.961527386032</v>
      </c>
      <c r="K818" s="4">
        <f t="shared" si="99"/>
        <v>364.40841854818399</v>
      </c>
      <c r="L818" s="45">
        <f>Pressure!Q818</f>
        <v>1.8328112336966693</v>
      </c>
      <c r="M818" s="10">
        <f t="shared" si="100"/>
        <v>3.8985236400210685</v>
      </c>
      <c r="N818" s="10">
        <f t="shared" si="106"/>
        <v>2.9545467240956045</v>
      </c>
    </row>
    <row r="819" spans="3:14">
      <c r="C819" s="4">
        <f>Pressure!AB819*1000000</f>
        <v>5357928.0336043695</v>
      </c>
      <c r="D819" s="84">
        <f>Pressure!I819</f>
        <v>2.214727558899525E-4</v>
      </c>
      <c r="E819" s="40">
        <f>Pressure!H819</f>
        <v>221.47275588995251</v>
      </c>
      <c r="F819" s="10">
        <f t="shared" si="102"/>
        <v>8</v>
      </c>
      <c r="G819" s="4">
        <f t="shared" si="101"/>
        <v>107955.1969199897</v>
      </c>
      <c r="H819" s="45">
        <f t="shared" si="103"/>
        <v>8.4288384350092045</v>
      </c>
      <c r="I819" s="10">
        <f t="shared" si="104"/>
        <v>1.3628416686485461</v>
      </c>
      <c r="J819" s="4">
        <f t="shared" si="105"/>
        <v>1617.1957426741621</v>
      </c>
      <c r="K819" s="4">
        <f t="shared" si="99"/>
        <v>363.56183235334788</v>
      </c>
      <c r="L819" s="45">
        <f>Pressure!Q819</f>
        <v>1.8352169681014125</v>
      </c>
      <c r="M819" s="10">
        <f t="shared" si="100"/>
        <v>3.8950731762766146</v>
      </c>
      <c r="N819" s="10">
        <f t="shared" si="106"/>
        <v>2.9545467240956045</v>
      </c>
    </row>
    <row r="820" spans="3:14">
      <c r="C820" s="4">
        <f>Pressure!AB820*1000000</f>
        <v>5346669.2582287528</v>
      </c>
      <c r="D820" s="84">
        <f>Pressure!I820</f>
        <v>2.214727558899525E-4</v>
      </c>
      <c r="E820" s="40">
        <f>Pressure!H820</f>
        <v>221.47275588995251</v>
      </c>
      <c r="F820" s="10">
        <f t="shared" si="102"/>
        <v>8</v>
      </c>
      <c r="G820" s="4">
        <f t="shared" si="101"/>
        <v>107728.34741676204</v>
      </c>
      <c r="H820" s="45">
        <f t="shared" si="103"/>
        <v>8.414929741732303</v>
      </c>
      <c r="I820" s="10">
        <f t="shared" si="104"/>
        <v>1.3625241111884747</v>
      </c>
      <c r="J820" s="4">
        <f t="shared" si="105"/>
        <v>1613.4214476140701</v>
      </c>
      <c r="K820" s="4">
        <f t="shared" si="99"/>
        <v>362.71333294682569</v>
      </c>
      <c r="L820" s="45">
        <f>Pressure!Q820</f>
        <v>1.8376261725456622</v>
      </c>
      <c r="M820" s="10">
        <f t="shared" si="100"/>
        <v>3.8916086462558397</v>
      </c>
      <c r="N820" s="10">
        <f t="shared" si="106"/>
        <v>2.9545467240956045</v>
      </c>
    </row>
    <row r="821" spans="3:14">
      <c r="C821" s="4">
        <f>Pressure!AB821*1000000</f>
        <v>5335385.3831433076</v>
      </c>
      <c r="D821" s="84">
        <f>Pressure!I821</f>
        <v>2.214727558899525E-4</v>
      </c>
      <c r="E821" s="40">
        <f>Pressure!H821</f>
        <v>221.47275588995251</v>
      </c>
      <c r="F821" s="10">
        <f t="shared" si="102"/>
        <v>8</v>
      </c>
      <c r="G821" s="4">
        <f t="shared" si="101"/>
        <v>107500.99218742159</v>
      </c>
      <c r="H821" s="45">
        <f t="shared" si="103"/>
        <v>8.4009848915421177</v>
      </c>
      <c r="I821" s="10">
        <f t="shared" si="104"/>
        <v>1.3622045010728911</v>
      </c>
      <c r="J821" s="4">
        <f t="shared" si="105"/>
        <v>1609.6387383430488</v>
      </c>
      <c r="K821" s="4">
        <f t="shared" si="99"/>
        <v>361.86294194124565</v>
      </c>
      <c r="L821" s="45">
        <f>Pressure!Q821</f>
        <v>1.8400388672170673</v>
      </c>
      <c r="M821" s="10">
        <f t="shared" si="100"/>
        <v>3.8881300681384108</v>
      </c>
      <c r="N821" s="10">
        <f t="shared" si="106"/>
        <v>2.9545467240956045</v>
      </c>
    </row>
    <row r="822" spans="3:14">
      <c r="C822" s="4">
        <f>Pressure!AB822*1000000</f>
        <v>5324076.6906559356</v>
      </c>
      <c r="D822" s="84">
        <f>Pressure!I822</f>
        <v>2.214727558899525E-4</v>
      </c>
      <c r="E822" s="40">
        <f>Pressure!H822</f>
        <v>221.47275588995251</v>
      </c>
      <c r="F822" s="10">
        <f t="shared" si="102"/>
        <v>8</v>
      </c>
      <c r="G822" s="4">
        <f t="shared" si="101"/>
        <v>107273.13692010092</v>
      </c>
      <c r="H822" s="45">
        <f t="shared" si="103"/>
        <v>8.3870041856761066</v>
      </c>
      <c r="I822" s="10">
        <f t="shared" si="104"/>
        <v>1.3618828287774991</v>
      </c>
      <c r="J822" s="4">
        <f t="shared" si="105"/>
        <v>1605.8477094995719</v>
      </c>
      <c r="K822" s="4">
        <f t="shared" si="99"/>
        <v>361.01068061228631</v>
      </c>
      <c r="L822" s="45">
        <f>Pressure!Q822</f>
        <v>1.8424550723678315</v>
      </c>
      <c r="M822" s="10">
        <f t="shared" si="100"/>
        <v>3.8846374587447947</v>
      </c>
      <c r="N822" s="10">
        <f t="shared" si="106"/>
        <v>2.9545467240956045</v>
      </c>
    </row>
    <row r="823" spans="3:14">
      <c r="C823" s="4">
        <f>Pressure!AB823*1000000</f>
        <v>5312743.4587549809</v>
      </c>
      <c r="D823" s="84">
        <f>Pressure!I823</f>
        <v>2.214727558899525E-4</v>
      </c>
      <c r="E823" s="40">
        <f>Pressure!H823</f>
        <v>221.47275588995251</v>
      </c>
      <c r="F823" s="10">
        <f t="shared" si="102"/>
        <v>8</v>
      </c>
      <c r="G823" s="4">
        <f t="shared" si="101"/>
        <v>107044.78721589924</v>
      </c>
      <c r="H823" s="45">
        <f t="shared" si="103"/>
        <v>8.3729879202304467</v>
      </c>
      <c r="I823" s="10">
        <f t="shared" si="104"/>
        <v>1.3615590845836982</v>
      </c>
      <c r="J823" s="4">
        <f t="shared" si="105"/>
        <v>1602.0484542740621</v>
      </c>
      <c r="K823" s="4">
        <f t="shared" si="99"/>
        <v>360.15656991008996</v>
      </c>
      <c r="L823" s="45">
        <f>Pressure!Q823</f>
        <v>1.8448748083165198</v>
      </c>
      <c r="M823" s="10">
        <f t="shared" si="100"/>
        <v>3.8811308335713108</v>
      </c>
      <c r="N823" s="10">
        <f t="shared" si="106"/>
        <v>2.9545467240956045</v>
      </c>
    </row>
    <row r="824" spans="3:14">
      <c r="C824" s="4">
        <f>Pressure!AB824*1000000</f>
        <v>5301385.9612568822</v>
      </c>
      <c r="D824" s="84">
        <f>Pressure!I824</f>
        <v>2.214727558899525E-4</v>
      </c>
      <c r="E824" s="40">
        <f>Pressure!H824</f>
        <v>221.47275588995251</v>
      </c>
      <c r="F824" s="10">
        <f t="shared" si="102"/>
        <v>8</v>
      </c>
      <c r="G824" s="4">
        <f t="shared" si="101"/>
        <v>106815.94859185733</v>
      </c>
      <c r="H824" s="45">
        <f t="shared" si="103"/>
        <v>8.3589363863361221</v>
      </c>
      <c r="I824" s="10">
        <f t="shared" si="104"/>
        <v>1.3612332585800768</v>
      </c>
      <c r="J824" s="4">
        <f t="shared" si="105"/>
        <v>1598.2410644583883</v>
      </c>
      <c r="K824" s="4">
        <f t="shared" si="99"/>
        <v>359.30063047038988</v>
      </c>
      <c r="L824" s="45">
        <f>Pressure!Q824</f>
        <v>1.8472980954498437</v>
      </c>
      <c r="M824" s="10">
        <f t="shared" si="100"/>
        <v>3.8776102068277587</v>
      </c>
      <c r="N824" s="10">
        <f t="shared" si="106"/>
        <v>2.9545467240956045</v>
      </c>
    </row>
    <row r="825" spans="3:14">
      <c r="C825" s="4">
        <f>Pressure!AB825*1000000</f>
        <v>5290004.4679484107</v>
      </c>
      <c r="D825" s="84">
        <f>Pressure!I825</f>
        <v>2.214727558899525E-4</v>
      </c>
      <c r="E825" s="40">
        <f>Pressure!H825</f>
        <v>221.47275588995251</v>
      </c>
      <c r="F825" s="10">
        <f t="shared" si="102"/>
        <v>8</v>
      </c>
      <c r="G825" s="4">
        <f t="shared" si="101"/>
        <v>106586.62648382352</v>
      </c>
      <c r="H825" s="45">
        <f t="shared" si="103"/>
        <v>8.3448498703286287</v>
      </c>
      <c r="I825" s="10">
        <f t="shared" si="104"/>
        <v>1.3609053406637948</v>
      </c>
      <c r="J825" s="4">
        <f t="shared" si="105"/>
        <v>1594.4256304935479</v>
      </c>
      <c r="K825" s="4">
        <f t="shared" si="99"/>
        <v>358.44288262522997</v>
      </c>
      <c r="L825" s="45">
        <f>Pressure!Q825</f>
        <v>1.8497249542244194</v>
      </c>
      <c r="M825" s="10">
        <f t="shared" si="100"/>
        <v>3.8740755914698739</v>
      </c>
      <c r="N825" s="10">
        <f t="shared" si="106"/>
        <v>2.9545467240956045</v>
      </c>
    </row>
    <row r="826" spans="3:14">
      <c r="C826" s="4">
        <f>Pressure!AB826*1000000</f>
        <v>5278599.2447248492</v>
      </c>
      <c r="D826" s="84">
        <f>Pressure!I826</f>
        <v>2.214727558899525E-4</v>
      </c>
      <c r="E826" s="40">
        <f>Pressure!H826</f>
        <v>221.47275588995251</v>
      </c>
      <c r="F826" s="10">
        <f t="shared" si="102"/>
        <v>8</v>
      </c>
      <c r="G826" s="4">
        <f t="shared" si="101"/>
        <v>106356.82624923774</v>
      </c>
      <c r="H826" s="45">
        <f t="shared" si="103"/>
        <v>8.3307286539128675</v>
      </c>
      <c r="I826" s="10">
        <f t="shared" si="104"/>
        <v>1.3605753205418931</v>
      </c>
      <c r="J826" s="4">
        <f t="shared" si="105"/>
        <v>1590.6022415159896</v>
      </c>
      <c r="K826" s="4">
        <f t="shared" si="99"/>
        <v>357.58334641337837</v>
      </c>
      <c r="L826" s="45">
        <f>Pressure!Q826</f>
        <v>1.8521554051685063</v>
      </c>
      <c r="M826" s="10">
        <f t="shared" si="100"/>
        <v>3.8705269992343236</v>
      </c>
      <c r="N826" s="10">
        <f t="shared" si="106"/>
        <v>2.9545467240956045</v>
      </c>
    </row>
    <row r="827" spans="3:14">
      <c r="C827" s="4">
        <f>Pressure!AB827*1000000</f>
        <v>5267170.5537237478</v>
      </c>
      <c r="D827" s="84">
        <f>Pressure!I827</f>
        <v>2.214727558899525E-4</v>
      </c>
      <c r="E827" s="40">
        <f>Pressure!H827</f>
        <v>221.47275588995251</v>
      </c>
      <c r="F827" s="10">
        <f t="shared" si="102"/>
        <v>8</v>
      </c>
      <c r="G827" s="4">
        <f t="shared" si="101"/>
        <v>106126.55316982655</v>
      </c>
      <c r="H827" s="45">
        <f t="shared" si="103"/>
        <v>8.3165730143229002</v>
      </c>
      <c r="I827" s="10">
        <f t="shared" si="104"/>
        <v>1.360243187732515</v>
      </c>
      <c r="J827" s="4">
        <f t="shared" si="105"/>
        <v>1586.7709854024522</v>
      </c>
      <c r="K827" s="4">
        <f t="shared" si="99"/>
        <v>356.72204159040785</v>
      </c>
      <c r="L827" s="45">
        <f>Pressure!Q827</f>
        <v>1.8545894688837221</v>
      </c>
      <c r="M827" s="10">
        <f t="shared" si="100"/>
        <v>3.8669644406701864</v>
      </c>
      <c r="N827" s="10">
        <f t="shared" si="106"/>
        <v>2.9545467240956045</v>
      </c>
    </row>
    <row r="828" spans="3:14">
      <c r="C828" s="4">
        <f>Pressure!AB828*1000000</f>
        <v>5255718.6534544537</v>
      </c>
      <c r="D828" s="84">
        <f>Pressure!I828</f>
        <v>2.214727558899525E-4</v>
      </c>
      <c r="E828" s="40">
        <f>Pressure!H828</f>
        <v>221.47275588995251</v>
      </c>
      <c r="F828" s="10">
        <f t="shared" si="102"/>
        <v>8</v>
      </c>
      <c r="G828" s="4">
        <f t="shared" si="101"/>
        <v>105895.81245421301</v>
      </c>
      <c r="H828" s="45">
        <f t="shared" si="103"/>
        <v>8.3023832244766389</v>
      </c>
      <c r="I828" s="10">
        <f t="shared" si="104"/>
        <v>1.3599089315660471</v>
      </c>
      <c r="J828" s="4">
        <f t="shared" si="105"/>
        <v>1582.9319488133865</v>
      </c>
      <c r="K828" s="4">
        <f t="shared" si="99"/>
        <v>355.85898763845745</v>
      </c>
      <c r="L828" s="45">
        <f>Pressure!Q828</f>
        <v>1.857027166046737</v>
      </c>
      <c r="M828" s="10">
        <f t="shared" si="100"/>
        <v>3.8633879251689702</v>
      </c>
      <c r="N828" s="10">
        <f t="shared" si="106"/>
        <v>2.9545467240956045</v>
      </c>
    </row>
    <row r="829" spans="3:14">
      <c r="C829" s="4">
        <f>Pressure!AB829*1000000</f>
        <v>5244243.7989236126</v>
      </c>
      <c r="D829" s="84">
        <f>Pressure!I829</f>
        <v>2.214727558899525E-4</v>
      </c>
      <c r="E829" s="40">
        <f>Pressure!H829</f>
        <v>221.47275588995251</v>
      </c>
      <c r="F829" s="10">
        <f t="shared" si="102"/>
        <v>8</v>
      </c>
      <c r="G829" s="4">
        <f t="shared" si="101"/>
        <v>105664.60924044535</v>
      </c>
      <c r="H829" s="45">
        <f t="shared" si="103"/>
        <v>8.2881595531258778</v>
      </c>
      <c r="I829" s="10">
        <f t="shared" si="104"/>
        <v>1.3595725411861801</v>
      </c>
      <c r="J829" s="4">
        <f t="shared" si="105"/>
        <v>1579.085217235028</v>
      </c>
      <c r="K829" s="4">
        <f t="shared" si="99"/>
        <v>354.99420377569083</v>
      </c>
      <c r="L829" s="45">
        <f>Pressure!Q829</f>
        <v>1.8594685174109493</v>
      </c>
      <c r="M829" s="10">
        <f t="shared" si="100"/>
        <v>3.8597974609975161</v>
      </c>
      <c r="N829" s="10">
        <f t="shared" si="106"/>
        <v>2.9545467240956045</v>
      </c>
    </row>
    <row r="830" spans="3:14">
      <c r="C830" s="4">
        <f>Pressure!AB830*1000000</f>
        <v>5232746.2417568974</v>
      </c>
      <c r="D830" s="84">
        <f>Pressure!I830</f>
        <v>2.214727558899525E-4</v>
      </c>
      <c r="E830" s="40">
        <f>Pressure!H830</f>
        <v>221.47275588995251</v>
      </c>
      <c r="F830" s="10">
        <f t="shared" si="102"/>
        <v>8</v>
      </c>
      <c r="G830" s="4">
        <f t="shared" si="101"/>
        <v>105432.94859844964</v>
      </c>
      <c r="H830" s="45">
        <f t="shared" si="103"/>
        <v>8.2739022650018441</v>
      </c>
      <c r="I830" s="10">
        <f t="shared" si="104"/>
        <v>1.3592340055508987</v>
      </c>
      <c r="J830" s="4">
        <f t="shared" si="105"/>
        <v>1575.2308750202044</v>
      </c>
      <c r="K830" s="4">
        <f t="shared" si="99"/>
        <v>354.12770896547016</v>
      </c>
      <c r="L830" s="45">
        <f>Pressure!Q830</f>
        <v>1.8619135438081404</v>
      </c>
      <c r="M830" s="10">
        <f t="shared" si="100"/>
        <v>3.8561930553244075</v>
      </c>
      <c r="N830" s="10">
        <f t="shared" si="106"/>
        <v>2.9545467240956045</v>
      </c>
    </row>
    <row r="831" spans="3:14">
      <c r="C831" s="4">
        <f>Pressure!AB831*1000000</f>
        <v>5221226.2303165346</v>
      </c>
      <c r="D831" s="84">
        <f>Pressure!I831</f>
        <v>2.214727558899525E-4</v>
      </c>
      <c r="E831" s="40">
        <f>Pressure!H831</f>
        <v>221.47275588995251</v>
      </c>
      <c r="F831" s="10">
        <f t="shared" si="102"/>
        <v>8</v>
      </c>
      <c r="G831" s="4">
        <f t="shared" si="101"/>
        <v>105200.83553239783</v>
      </c>
      <c r="H831" s="45">
        <f t="shared" si="103"/>
        <v>8.2596116209557788</v>
      </c>
      <c r="I831" s="10">
        <f t="shared" si="104"/>
        <v>1.3588933134333827</v>
      </c>
      <c r="J831" s="4">
        <f t="shared" si="105"/>
        <v>1571.3690054277322</v>
      </c>
      <c r="K831" s="4">
        <f t="shared" si="99"/>
        <v>353.25952192521294</v>
      </c>
      <c r="L831" s="45">
        <f>Pressure!Q831</f>
        <v>1.8643622661501129</v>
      </c>
      <c r="M831" s="10">
        <f t="shared" si="100"/>
        <v>3.8525747142503746</v>
      </c>
      <c r="N831" s="10">
        <f t="shared" si="106"/>
        <v>2.9545467240956045</v>
      </c>
    </row>
    <row r="832" spans="3:14">
      <c r="C832" s="4">
        <f>Pressure!AB832*1000000</f>
        <v>5209684.0098156063</v>
      </c>
      <c r="D832" s="84">
        <f>Pressure!I832</f>
        <v>2.214727558899525E-4</v>
      </c>
      <c r="E832" s="40">
        <f>Pressure!H832</f>
        <v>221.47275588995251</v>
      </c>
      <c r="F832" s="10">
        <f t="shared" si="102"/>
        <v>8</v>
      </c>
      <c r="G832" s="4">
        <f t="shared" si="101"/>
        <v>104968.27498301071</v>
      </c>
      <c r="H832" s="45">
        <f t="shared" si="103"/>
        <v>8.2452878780958017</v>
      </c>
      <c r="I832" s="10">
        <f t="shared" si="104"/>
        <v>1.3585504534228496</v>
      </c>
      <c r="J832" s="4">
        <f t="shared" si="105"/>
        <v>1567.499690660738</v>
      </c>
      <c r="K832" s="4">
        <f t="shared" si="99"/>
        <v>352.38966113500697</v>
      </c>
      <c r="L832" s="45">
        <f>Pressure!Q832</f>
        <v>1.8668147054303101</v>
      </c>
      <c r="M832" s="10">
        <f t="shared" si="100"/>
        <v>3.8489424428344083</v>
      </c>
      <c r="N832" s="10">
        <f t="shared" si="106"/>
        <v>2.9545467240956045</v>
      </c>
    </row>
    <row r="833" spans="3:14">
      <c r="C833" s="4">
        <f>Pressure!AB833*1000000</f>
        <v>5198119.8224285608</v>
      </c>
      <c r="D833" s="84">
        <f>Pressure!I833</f>
        <v>2.214727558899525E-4</v>
      </c>
      <c r="E833" s="40">
        <f>Pressure!H833</f>
        <v>221.47275588995251</v>
      </c>
      <c r="F833" s="10">
        <f t="shared" si="102"/>
        <v>8</v>
      </c>
      <c r="G833" s="4">
        <f t="shared" si="101"/>
        <v>104735.27182978464</v>
      </c>
      <c r="H833" s="45">
        <f t="shared" si="103"/>
        <v>8.230931289919214</v>
      </c>
      <c r="I833" s="10">
        <f t="shared" si="104"/>
        <v>1.3582054139253184</v>
      </c>
      <c r="J833" s="4">
        <f t="shared" si="105"/>
        <v>1563.6230119037007</v>
      </c>
      <c r="K833" s="4">
        <f t="shared" si="99"/>
        <v>351.51814484593785</v>
      </c>
      <c r="L833" s="45">
        <f>Pressure!Q833</f>
        <v>1.8692708827254203</v>
      </c>
      <c r="M833" s="10">
        <f t="shared" si="100"/>
        <v>3.8452962451213719</v>
      </c>
      <c r="N833" s="10">
        <f t="shared" si="106"/>
        <v>2.9545467240956045</v>
      </c>
    </row>
    <row r="834" spans="3:14">
      <c r="C834" s="4">
        <f>Pressure!AB834*1000000</f>
        <v>5186533.9073981941</v>
      </c>
      <c r="D834" s="84">
        <f>Pressure!I834</f>
        <v>2.214727558899525E-4</v>
      </c>
      <c r="E834" s="40">
        <f>Pressure!H834</f>
        <v>221.47275588995251</v>
      </c>
      <c r="F834" s="10">
        <f t="shared" si="102"/>
        <v>8</v>
      </c>
      <c r="G834" s="4">
        <f t="shared" si="101"/>
        <v>104501.83089314704</v>
      </c>
      <c r="H834" s="45">
        <f t="shared" si="103"/>
        <v>8.2165421064407447</v>
      </c>
      <c r="I834" s="10">
        <f t="shared" si="104"/>
        <v>1.3578581831643017</v>
      </c>
      <c r="J834" s="4">
        <f t="shared" si="105"/>
        <v>1559.7390493583191</v>
      </c>
      <c r="K834" s="4">
        <f t="shared" si="99"/>
        <v>350.64499108815232</v>
      </c>
      <c r="L834" s="45">
        <f>Pressure!Q834</f>
        <v>1.8717308191969635</v>
      </c>
      <c r="M834" s="10">
        <f t="shared" si="100"/>
        <v>3.8416361241663779</v>
      </c>
      <c r="N834" s="10">
        <f t="shared" si="106"/>
        <v>2.9545467240956045</v>
      </c>
    </row>
    <row r="835" spans="3:14">
      <c r="C835" s="4">
        <f>Pressure!AB835*1000000</f>
        <v>5174926.5011393959</v>
      </c>
      <c r="D835" s="84">
        <f>Pressure!I835</f>
        <v>2.214727558899525E-4</v>
      </c>
      <c r="E835" s="40">
        <f>Pressure!H835</f>
        <v>221.47275588995251</v>
      </c>
      <c r="F835" s="10">
        <f t="shared" si="102"/>
        <v>8</v>
      </c>
      <c r="G835" s="4">
        <f t="shared" si="101"/>
        <v>104267.9569365467</v>
      </c>
      <c r="H835" s="45">
        <f t="shared" si="103"/>
        <v>8.2021205743169059</v>
      </c>
      <c r="I835" s="10">
        <f t="shared" si="104"/>
        <v>1.3575087491814317</v>
      </c>
      <c r="J835" s="4">
        <f t="shared" si="105"/>
        <v>1555.8478822782879</v>
      </c>
      <c r="K835" s="4">
        <f t="shared" si="99"/>
        <v>349.77021767867632</v>
      </c>
      <c r="L835" s="45">
        <f>Pressure!Q835</f>
        <v>1.8741945360928651</v>
      </c>
      <c r="M835" s="10">
        <f t="shared" si="100"/>
        <v>3.8379620820617211</v>
      </c>
      <c r="N835" s="10">
        <f t="shared" si="106"/>
        <v>2.9545467240956045</v>
      </c>
    </row>
    <row r="836" spans="3:14">
      <c r="C836" s="4">
        <f>Pressure!AB836*1000000</f>
        <v>5163297.8373398157</v>
      </c>
      <c r="D836" s="84">
        <f>Pressure!I836</f>
        <v>2.214727558899525E-4</v>
      </c>
      <c r="E836" s="40">
        <f>Pressure!H836</f>
        <v>221.47275588995251</v>
      </c>
      <c r="F836" s="10">
        <f t="shared" si="102"/>
        <v>8</v>
      </c>
      <c r="G836" s="4">
        <f t="shared" si="101"/>
        <v>104033.65466848218</v>
      </c>
      <c r="H836" s="45">
        <f t="shared" si="103"/>
        <v>8.1876669369667976</v>
      </c>
      <c r="I836" s="10">
        <f t="shared" si="104"/>
        <v>1.3571570998370264</v>
      </c>
      <c r="J836" s="4">
        <f t="shared" si="105"/>
        <v>1551.949589003046</v>
      </c>
      <c r="K836" s="4">
        <f t="shared" si="99"/>
        <v>348.89384222900185</v>
      </c>
      <c r="L836" s="45">
        <f>Pressure!Q836</f>
        <v>1.8766620547490134</v>
      </c>
      <c r="M836" s="10">
        <f t="shared" si="100"/>
        <v>3.8342741199585211</v>
      </c>
      <c r="N836" s="10">
        <f t="shared" si="106"/>
        <v>2.9545467240956045</v>
      </c>
    </row>
    <row r="837" spans="3:14">
      <c r="C837" s="4">
        <f>Pressure!AB837*1000000</f>
        <v>5151648.1470568627</v>
      </c>
      <c r="D837" s="84">
        <f>Pressure!I837</f>
        <v>2.214727558899525E-4</v>
      </c>
      <c r="E837" s="40">
        <f>Pressure!H837</f>
        <v>221.47275588995251</v>
      </c>
      <c r="F837" s="10">
        <f t="shared" si="102"/>
        <v>8</v>
      </c>
      <c r="G837" s="4">
        <f t="shared" si="101"/>
        <v>103798.92874445609</v>
      </c>
      <c r="H837" s="45">
        <f t="shared" si="103"/>
        <v>8.1731814346885425</v>
      </c>
      <c r="I837" s="10">
        <f t="shared" si="104"/>
        <v>1.3568032228105726</v>
      </c>
      <c r="J837" s="4">
        <f t="shared" si="105"/>
        <v>1548.0442469902923</v>
      </c>
      <c r="K837" s="4">
        <f t="shared" si="99"/>
        <v>348.01588215239701</v>
      </c>
      <c r="L837" s="45">
        <f>Pressure!Q837</f>
        <v>1.8791333965908046</v>
      </c>
      <c r="M837" s="10">
        <f t="shared" si="100"/>
        <v>3.8305722380925848</v>
      </c>
      <c r="N837" s="10">
        <f t="shared" si="106"/>
        <v>2.9545467240956045</v>
      </c>
    </row>
    <row r="838" spans="3:14">
      <c r="C838" s="4">
        <f>Pressure!AB838*1000000</f>
        <v>5139977.6588123944</v>
      </c>
      <c r="D838" s="84">
        <f>Pressure!I838</f>
        <v>2.214727558899525E-4</v>
      </c>
      <c r="E838" s="40">
        <f>Pressure!H838</f>
        <v>221.47275588995251</v>
      </c>
      <c r="F838" s="10">
        <f t="shared" si="102"/>
        <v>8</v>
      </c>
      <c r="G838" s="4">
        <f t="shared" si="101"/>
        <v>103563.78376888305</v>
      </c>
      <c r="H838" s="45">
        <f t="shared" si="103"/>
        <v>8.1586643047730369</v>
      </c>
      <c r="I838" s="10">
        <f t="shared" si="104"/>
        <v>1.3564471056011693</v>
      </c>
      <c r="J838" s="4">
        <f t="shared" si="105"/>
        <v>1544.1319328477298</v>
      </c>
      <c r="K838" s="4">
        <f t="shared" si="99"/>
        <v>347.13635467104217</v>
      </c>
      <c r="L838" s="45">
        <f>Pressure!Q838</f>
        <v>1.8816085831346741</v>
      </c>
      <c r="M838" s="10">
        <f t="shared" si="100"/>
        <v>3.8268564358043835</v>
      </c>
      <c r="N838" s="10">
        <f t="shared" si="106"/>
        <v>2.9545467240956045</v>
      </c>
    </row>
    <row r="839" spans="3:14">
      <c r="C839" s="4">
        <f>Pressure!AB839*1000000</f>
        <v>5128286.5986838471</v>
      </c>
      <c r="D839" s="84">
        <f>Pressure!I839</f>
        <v>2.214727558899525E-4</v>
      </c>
      <c r="E839" s="40">
        <f>Pressure!H839</f>
        <v>221.47275588995251</v>
      </c>
      <c r="F839" s="10">
        <f t="shared" si="102"/>
        <v>8</v>
      </c>
      <c r="G839" s="4">
        <f t="shared" si="101"/>
        <v>103328.22429692579</v>
      </c>
      <c r="H839" s="45">
        <f t="shared" si="103"/>
        <v>8.1441157816135075</v>
      </c>
      <c r="I839" s="10">
        <f t="shared" si="104"/>
        <v>1.356088735527889</v>
      </c>
      <c r="J839" s="4">
        <f t="shared" si="105"/>
        <v>1540.2127223636146</v>
      </c>
      <c r="K839" s="4">
        <f t="shared" si="99"/>
        <v>346.25527682289794</v>
      </c>
      <c r="L839" s="45">
        <f>Pressure!Q839</f>
        <v>1.8840876359896164</v>
      </c>
      <c r="M839" s="10">
        <f t="shared" si="100"/>
        <v>3.8231267115638858</v>
      </c>
      <c r="N839" s="10">
        <f t="shared" si="106"/>
        <v>2.9545467240956045</v>
      </c>
    </row>
    <row r="840" spans="3:14">
      <c r="C840" s="4">
        <f>Pressure!AB840*1000000</f>
        <v>5116575.1903927438</v>
      </c>
      <c r="D840" s="84">
        <f>Pressure!I840</f>
        <v>2.214727558899525E-4</v>
      </c>
      <c r="E840" s="40">
        <f>Pressure!H840</f>
        <v>221.47275588995251</v>
      </c>
      <c r="F840" s="10">
        <f t="shared" si="102"/>
        <v>8</v>
      </c>
      <c r="G840" s="4">
        <f t="shared" si="101"/>
        <v>103092.25483627855</v>
      </c>
      <c r="H840" s="45">
        <f t="shared" si="103"/>
        <v>8.1295360968119752</v>
      </c>
      <c r="I840" s="10">
        <f t="shared" si="104"/>
        <v>1.3557280997300858</v>
      </c>
      <c r="J840" s="4">
        <f t="shared" si="105"/>
        <v>1536.286690536426</v>
      </c>
      <c r="K840" s="4">
        <f t="shared" si="99"/>
        <v>345.37266546837509</v>
      </c>
      <c r="L840" s="45">
        <f>Pressure!Q840</f>
        <v>1.8865705768586922</v>
      </c>
      <c r="M840" s="10">
        <f t="shared" si="100"/>
        <v>3.8193830629886936</v>
      </c>
      <c r="N840" s="10">
        <f t="shared" si="106"/>
        <v>2.9545467240956045</v>
      </c>
    </row>
    <row r="841" spans="3:14">
      <c r="C841" s="4">
        <f>Pressure!AB841*1000000</f>
        <v>5104843.6553907488</v>
      </c>
      <c r="D841" s="84">
        <f>Pressure!I841</f>
        <v>2.214727558899525E-4</v>
      </c>
      <c r="E841" s="40">
        <f>Pressure!H841</f>
        <v>221.47275588995251</v>
      </c>
      <c r="F841" s="10">
        <f t="shared" si="102"/>
        <v>8</v>
      </c>
      <c r="G841" s="4">
        <f t="shared" si="101"/>
        <v>102855.87984890079</v>
      </c>
      <c r="H841" s="45">
        <f t="shared" si="103"/>
        <v>8.1149254792828529</v>
      </c>
      <c r="I841" s="10">
        <f t="shared" si="104"/>
        <v>1.3553651851676536</v>
      </c>
      <c r="J841" s="4">
        <f t="shared" si="105"/>
        <v>1532.3539116037173</v>
      </c>
      <c r="K841" s="4">
        <f t="shared" si="99"/>
        <v>344.4885372968206</v>
      </c>
      <c r="L841" s="45">
        <f>Pressure!Q841</f>
        <v>1.8890574275405256</v>
      </c>
      <c r="M841" s="10">
        <f t="shared" si="100"/>
        <v>3.8156254868669479</v>
      </c>
      <c r="N841" s="10">
        <f t="shared" si="106"/>
        <v>2.9545467240956045</v>
      </c>
    </row>
    <row r="842" spans="3:14">
      <c r="C842" s="4">
        <f>Pressure!AB842*1000000</f>
        <v>5093092.2129421821</v>
      </c>
      <c r="D842" s="84">
        <f>Pressure!I842</f>
        <v>2.214727558899525E-4</v>
      </c>
      <c r="E842" s="40">
        <f>Pressure!H842</f>
        <v>221.47275588995251</v>
      </c>
      <c r="F842" s="10">
        <f t="shared" si="102"/>
        <v>8</v>
      </c>
      <c r="G842" s="4">
        <f t="shared" si="101"/>
        <v>102619.10375267996</v>
      </c>
      <c r="H842" s="45">
        <f t="shared" si="103"/>
        <v>8.1002841553523446</v>
      </c>
      <c r="I842" s="10">
        <f t="shared" si="104"/>
        <v>1.3549999786211986</v>
      </c>
      <c r="J842" s="4">
        <f t="shared" si="105"/>
        <v>1528.4144590697729</v>
      </c>
      <c r="K842" s="4">
        <f t="shared" si="99"/>
        <v>343.60290883273524</v>
      </c>
      <c r="L842" s="45">
        <f>Pressure!Q842</f>
        <v>1.8915482099307901</v>
      </c>
      <c r="M842" s="10">
        <f t="shared" si="100"/>
        <v>3.8118539791759809</v>
      </c>
      <c r="N842" s="10">
        <f t="shared" si="106"/>
        <v>2.9545467240956045</v>
      </c>
    </row>
    <row r="843" spans="3:14">
      <c r="C843" s="4">
        <f>Pressure!AB843*1000000</f>
        <v>5081321.0802050875</v>
      </c>
      <c r="D843" s="84">
        <f>Pressure!I843</f>
        <v>2.214727558899525E-4</v>
      </c>
      <c r="E843" s="40">
        <f>Pressure!H843</f>
        <v>221.47275588995251</v>
      </c>
      <c r="F843" s="10">
        <f t="shared" si="102"/>
        <v>8</v>
      </c>
      <c r="G843" s="4">
        <f t="shared" si="101"/>
        <v>102381.93092306481</v>
      </c>
      <c r="H843" s="45">
        <f t="shared" si="103"/>
        <v>8.0856123488562037</v>
      </c>
      <c r="I843" s="10">
        <f t="shared" si="104"/>
        <v>1.3546324666921918</v>
      </c>
      <c r="J843" s="4">
        <f t="shared" si="105"/>
        <v>1524.4684057327891</v>
      </c>
      <c r="K843" s="4">
        <f t="shared" si="99"/>
        <v>342.71579644188415</v>
      </c>
      <c r="L843" s="45">
        <f>Pressure!Q843</f>
        <v>1.8940429460236852</v>
      </c>
      <c r="M843" s="10">
        <f t="shared" si="100"/>
        <v>3.8080685351019379</v>
      </c>
      <c r="N843" s="10">
        <f t="shared" si="106"/>
        <v>2.9545467240956045</v>
      </c>
    </row>
    <row r="844" spans="3:14">
      <c r="C844" s="4">
        <f>Pressure!AB844*1000000</f>
        <v>5069530.4723087549</v>
      </c>
      <c r="D844" s="84">
        <f>Pressure!I844</f>
        <v>2.214727558899525E-4</v>
      </c>
      <c r="E844" s="40">
        <f>Pressure!H844</f>
        <v>221.47275588995251</v>
      </c>
      <c r="F844" s="10">
        <f t="shared" si="102"/>
        <v>8</v>
      </c>
      <c r="G844" s="4">
        <f t="shared" si="101"/>
        <v>102144.36569462728</v>
      </c>
      <c r="H844" s="45">
        <f t="shared" si="103"/>
        <v>8.0709102812332407</v>
      </c>
      <c r="I844" s="10">
        <f t="shared" si="104"/>
        <v>1.3542626358030319</v>
      </c>
      <c r="J844" s="4">
        <f t="shared" si="105"/>
        <v>1520.515823710859</v>
      </c>
      <c r="K844" s="4">
        <f t="shared" si="99"/>
        <v>341.8272163371384</v>
      </c>
      <c r="L844" s="45">
        <f>Pressure!Q844</f>
        <v>1.8965416579134038</v>
      </c>
      <c r="M844" s="10">
        <f t="shared" si="100"/>
        <v>3.8042691490582654</v>
      </c>
      <c r="N844" s="10">
        <f t="shared" si="106"/>
        <v>2.9545467240956045</v>
      </c>
    </row>
    <row r="845" spans="3:14">
      <c r="C845" s="4">
        <f>Pressure!AB845*1000000</f>
        <v>5057720.6024294412</v>
      </c>
      <c r="D845" s="84">
        <f>Pressure!I845</f>
        <v>2.214727558899525E-4</v>
      </c>
      <c r="E845" s="40">
        <f>Pressure!H845</f>
        <v>221.47275588995251</v>
      </c>
      <c r="F845" s="10">
        <f t="shared" si="102"/>
        <v>8</v>
      </c>
      <c r="G845" s="4">
        <f t="shared" si="101"/>
        <v>101906.41236258839</v>
      </c>
      <c r="H845" s="45">
        <f t="shared" si="103"/>
        <v>8.0561781716168017</v>
      </c>
      <c r="I845" s="10">
        <f t="shared" si="104"/>
        <v>1.3538904721970744</v>
      </c>
      <c r="J845" s="4">
        <f t="shared" si="105"/>
        <v>1516.5567844673585</v>
      </c>
      <c r="K845" s="4">
        <f t="shared" si="99"/>
        <v>340.93718458418203</v>
      </c>
      <c r="L845" s="45">
        <f>Pressure!Q845</f>
        <v>1.899044367795591</v>
      </c>
      <c r="M845" s="10">
        <f t="shared" si="100"/>
        <v>3.80045581470393</v>
      </c>
      <c r="N845" s="10">
        <f t="shared" si="106"/>
        <v>2.9545467240956045</v>
      </c>
    </row>
    <row r="846" spans="3:14">
      <c r="C846" s="4">
        <f>Pressure!AB846*1000000</f>
        <v>5045891.6818635864</v>
      </c>
      <c r="D846" s="84">
        <f>Pressure!I846</f>
        <v>2.214727558899525E-4</v>
      </c>
      <c r="E846" s="40">
        <f>Pressure!H846</f>
        <v>221.47275588995251</v>
      </c>
      <c r="F846" s="10">
        <f t="shared" si="102"/>
        <v>8</v>
      </c>
      <c r="G846" s="4">
        <f t="shared" si="101"/>
        <v>101668.07518429324</v>
      </c>
      <c r="H846" s="45">
        <f t="shared" si="103"/>
        <v>8.0414162369232365</v>
      </c>
      <c r="I846" s="10">
        <f t="shared" si="104"/>
        <v>1.3535159619386019</v>
      </c>
      <c r="J846" s="4">
        <f t="shared" si="105"/>
        <v>1512.591358835489</v>
      </c>
      <c r="K846" s="4">
        <f t="shared" si="99"/>
        <v>340.04571710702959</v>
      </c>
      <c r="L846" s="45">
        <f>Pressure!Q846</f>
        <v>1.9015510979687946</v>
      </c>
      <c r="M846" s="10">
        <f t="shared" si="100"/>
        <v>3.7966285249604175</v>
      </c>
      <c r="N846" s="10">
        <f t="shared" si="106"/>
        <v>2.9545467240956045</v>
      </c>
    </row>
    <row r="847" spans="3:14">
      <c r="C847" s="4">
        <f>Pressure!AB847*1000000</f>
        <v>5034043.9200985627</v>
      </c>
      <c r="D847" s="84">
        <f>Pressure!I847</f>
        <v>2.214727558899525E-4</v>
      </c>
      <c r="E847" s="40">
        <f>Pressure!H847</f>
        <v>221.47275588995251</v>
      </c>
      <c r="F847" s="10">
        <f t="shared" si="102"/>
        <v>8</v>
      </c>
      <c r="G847" s="4">
        <f t="shared" si="101"/>
        <v>101429.35838063662</v>
      </c>
      <c r="H847" s="45">
        <f t="shared" si="103"/>
        <v>8.0266246919374922</v>
      </c>
      <c r="I847" s="10">
        <f t="shared" si="104"/>
        <v>1.3531390909127372</v>
      </c>
      <c r="J847" s="4">
        <f t="shared" si="105"/>
        <v>1508.6196170419971</v>
      </c>
      <c r="K847" s="4">
        <f t="shared" ref="K847:K910" si="107">J847/4.4482</f>
        <v>339.15282969335846</v>
      </c>
      <c r="L847" s="45">
        <f>Pressure!Q847</f>
        <v>1.9040618708359076</v>
      </c>
      <c r="M847" s="10">
        <f t="shared" ref="M847:M910" si="108">(J847+J846)/2*(L847-L846)</f>
        <v>3.7927872720285705</v>
      </c>
      <c r="N847" s="10">
        <f t="shared" si="106"/>
        <v>2.9545467240956045</v>
      </c>
    </row>
    <row r="848" spans="3:14">
      <c r="C848" s="4">
        <f>Pressure!AB848*1000000</f>
        <v>5022177.5248814253</v>
      </c>
      <c r="D848" s="84">
        <f>Pressure!I848</f>
        <v>2.214727558899525E-4</v>
      </c>
      <c r="E848" s="40">
        <f>Pressure!H848</f>
        <v>221.47275588995251</v>
      </c>
      <c r="F848" s="10">
        <f t="shared" si="102"/>
        <v>8</v>
      </c>
      <c r="G848" s="4">
        <f t="shared" si="101"/>
        <v>101190.26613744821</v>
      </c>
      <c r="H848" s="45">
        <f t="shared" si="103"/>
        <v>8.0118037493963801</v>
      </c>
      <c r="I848" s="10">
        <f t="shared" si="104"/>
        <v>1.3527598448253089</v>
      </c>
      <c r="J848" s="4">
        <f t="shared" si="105"/>
        <v>1504.6416287302186</v>
      </c>
      <c r="K848" s="4">
        <f t="shared" si="107"/>
        <v>338.25853799968945</v>
      </c>
      <c r="L848" s="45">
        <f>Pressure!Q848</f>
        <v>1.9065767089056052</v>
      </c>
      <c r="M848" s="10">
        <f t="shared" si="108"/>
        <v>3.7889320474061088</v>
      </c>
      <c r="N848" s="10">
        <f t="shared" si="106"/>
        <v>2.9545467240956045</v>
      </c>
    </row>
    <row r="849" spans="3:14">
      <c r="C849" s="4">
        <f>Pressure!AB849*1000000</f>
        <v>5010292.7022854136</v>
      </c>
      <c r="D849" s="84">
        <f>Pressure!I849</f>
        <v>2.214727558899525E-4</v>
      </c>
      <c r="E849" s="40">
        <f>Pressure!H849</f>
        <v>221.47275588995251</v>
      </c>
      <c r="F849" s="10">
        <f t="shared" si="102"/>
        <v>8</v>
      </c>
      <c r="G849" s="4">
        <f t="shared" si="101"/>
        <v>101000</v>
      </c>
      <c r="H849" s="45">
        <f t="shared" si="103"/>
        <v>7.9969536200691245</v>
      </c>
      <c r="I849" s="10">
        <f t="shared" si="104"/>
        <v>1.3523900050148858</v>
      </c>
      <c r="J849" s="4">
        <f t="shared" si="105"/>
        <v>1500.6705521267575</v>
      </c>
      <c r="K849" s="4">
        <f t="shared" si="107"/>
        <v>337.3658001274128</v>
      </c>
      <c r="L849" s="45">
        <f>Pressure!Q849</f>
        <v>1.9090956347937731</v>
      </c>
      <c r="M849" s="10">
        <f t="shared" si="108"/>
        <v>3.7850793271935332</v>
      </c>
      <c r="N849" s="10">
        <f t="shared" si="106"/>
        <v>2.9545467240956045</v>
      </c>
    </row>
    <row r="850" spans="3:14">
      <c r="C850" s="4">
        <f>Pressure!AB850*1000000</f>
        <v>4998389.6567743644</v>
      </c>
      <c r="D850" s="84">
        <f>Pressure!I850</f>
        <v>2.214727558899525E-4</v>
      </c>
      <c r="E850" s="40">
        <f>Pressure!H850</f>
        <v>221.47275588995251</v>
      </c>
      <c r="F850" s="10">
        <f t="shared" si="102"/>
        <v>8</v>
      </c>
      <c r="G850" s="4">
        <f t="shared" si="101"/>
        <v>101000</v>
      </c>
      <c r="H850" s="45">
        <f t="shared" si="103"/>
        <v>7.9820745128355641</v>
      </c>
      <c r="I850" s="10">
        <f t="shared" si="104"/>
        <v>1.3520639992653116</v>
      </c>
      <c r="J850" s="4">
        <f t="shared" si="105"/>
        <v>1496.7444905095876</v>
      </c>
      <c r="K850" s="4">
        <f t="shared" si="107"/>
        <v>336.4831820758032</v>
      </c>
      <c r="L850" s="45">
        <f>Pressure!Q850</f>
        <v>1.9116186712249323</v>
      </c>
      <c r="M850" s="10">
        <f t="shared" si="108"/>
        <v>3.7812936759381324</v>
      </c>
      <c r="N850" s="10">
        <f t="shared" si="106"/>
        <v>2.9545467240956045</v>
      </c>
    </row>
    <row r="851" spans="3:14">
      <c r="C851" s="4">
        <f>Pressure!AB851*1000000</f>
        <v>4986468.5912651662</v>
      </c>
      <c r="D851" s="84">
        <f>Pressure!I851</f>
        <v>2.214727558899525E-4</v>
      </c>
      <c r="E851" s="40">
        <f>Pressure!H851</f>
        <v>221.47275588995251</v>
      </c>
      <c r="F851" s="10">
        <f t="shared" si="102"/>
        <v>8</v>
      </c>
      <c r="G851" s="4">
        <f t="shared" si="101"/>
        <v>101000</v>
      </c>
      <c r="H851" s="45">
        <f t="shared" si="103"/>
        <v>7.9671666347619663</v>
      </c>
      <c r="I851" s="10">
        <f t="shared" si="104"/>
        <v>1.3517365515902977</v>
      </c>
      <c r="J851" s="4">
        <f t="shared" si="105"/>
        <v>1492.8131606071313</v>
      </c>
      <c r="K851" s="4">
        <f t="shared" si="107"/>
        <v>335.59937966079116</v>
      </c>
      <c r="L851" s="45">
        <f>Pressure!Q851</f>
        <v>1.9141458410336565</v>
      </c>
      <c r="M851" s="10">
        <f t="shared" si="108"/>
        <v>3.7775599186712125</v>
      </c>
      <c r="N851" s="10">
        <f t="shared" si="106"/>
        <v>2.9545467240956045</v>
      </c>
    </row>
    <row r="852" spans="3:14">
      <c r="C852" s="4">
        <f>Pressure!AB852*1000000</f>
        <v>4974529.7071883064</v>
      </c>
      <c r="D852" s="84">
        <f>Pressure!I852</f>
        <v>2.214727558899525E-4</v>
      </c>
      <c r="E852" s="40">
        <f>Pressure!H852</f>
        <v>221.47275588995251</v>
      </c>
      <c r="F852" s="10">
        <f t="shared" si="102"/>
        <v>8</v>
      </c>
      <c r="G852" s="4">
        <f t="shared" si="101"/>
        <v>101000</v>
      </c>
      <c r="H852" s="45">
        <f t="shared" si="103"/>
        <v>7.9522301911746407</v>
      </c>
      <c r="I852" s="10">
        <f t="shared" si="104"/>
        <v>1.3514076581329184</v>
      </c>
      <c r="J852" s="4">
        <f t="shared" si="105"/>
        <v>1488.876633799613</v>
      </c>
      <c r="K852" s="4">
        <f t="shared" si="107"/>
        <v>334.71440892936761</v>
      </c>
      <c r="L852" s="45">
        <f>Pressure!Q852</f>
        <v>1.9166771671659846</v>
      </c>
      <c r="M852" s="10">
        <f t="shared" si="108"/>
        <v>3.7738146475388858</v>
      </c>
      <c r="N852" s="10">
        <f t="shared" si="106"/>
        <v>2.9545467240956045</v>
      </c>
    </row>
    <row r="853" spans="3:14">
      <c r="C853" s="4">
        <f>Pressure!AB853*1000000</f>
        <v>4962573.2045462634</v>
      </c>
      <c r="D853" s="84">
        <f>Pressure!I853</f>
        <v>2.214727558899525E-4</v>
      </c>
      <c r="E853" s="40">
        <f>Pressure!H853</f>
        <v>221.47275588995251</v>
      </c>
      <c r="F853" s="10">
        <f t="shared" si="102"/>
        <v>8</v>
      </c>
      <c r="G853" s="4">
        <f t="shared" si="101"/>
        <v>101000</v>
      </c>
      <c r="H853" s="45">
        <f t="shared" si="103"/>
        <v>7.9372653857310116</v>
      </c>
      <c r="I853" s="10">
        <f t="shared" si="104"/>
        <v>1.3510773149688511</v>
      </c>
      <c r="J853" s="4">
        <f t="shared" si="105"/>
        <v>1484.9349809823207</v>
      </c>
      <c r="K853" s="4">
        <f t="shared" si="107"/>
        <v>333.82828581950469</v>
      </c>
      <c r="L853" s="45">
        <f>Pressure!Q853</f>
        <v>1.9192126726808296</v>
      </c>
      <c r="M853" s="10">
        <f t="shared" si="108"/>
        <v>3.7700578746949267</v>
      </c>
      <c r="N853" s="10">
        <f t="shared" si="106"/>
        <v>2.9545467240956045</v>
      </c>
    </row>
    <row r="854" spans="3:14">
      <c r="C854" s="4">
        <f>Pressure!AB854*1000000</f>
        <v>4950599.2819704637</v>
      </c>
      <c r="D854" s="84">
        <f>Pressure!I854</f>
        <v>2.214727558899525E-4</v>
      </c>
      <c r="E854" s="40">
        <f>Pressure!H854</f>
        <v>221.47275588995251</v>
      </c>
      <c r="F854" s="10">
        <f t="shared" si="102"/>
        <v>8</v>
      </c>
      <c r="G854" s="4">
        <f t="shared" si="101"/>
        <v>101000</v>
      </c>
      <c r="H854" s="45">
        <f t="shared" si="103"/>
        <v>7.9222724204890023</v>
      </c>
      <c r="I854" s="10">
        <f t="shared" si="104"/>
        <v>1.3507455181073025</v>
      </c>
      <c r="J854" s="4">
        <f t="shared" si="105"/>
        <v>1480.9882725845812</v>
      </c>
      <c r="K854" s="4">
        <f t="shared" si="107"/>
        <v>332.94102616442183</v>
      </c>
      <c r="L854" s="45">
        <f>Pressure!Q854</f>
        <v>1.9217523807513825</v>
      </c>
      <c r="M854" s="10">
        <f t="shared" si="108"/>
        <v>3.7662896118622267</v>
      </c>
      <c r="N854" s="10">
        <f t="shared" si="106"/>
        <v>2.9545467240956045</v>
      </c>
    </row>
    <row r="855" spans="3:14">
      <c r="C855" s="4">
        <f>Pressure!AB855*1000000</f>
        <v>4938608.1367760962</v>
      </c>
      <c r="D855" s="84">
        <f>Pressure!I855</f>
        <v>2.214727558899525E-4</v>
      </c>
      <c r="E855" s="40">
        <f>Pressure!H855</f>
        <v>221.47275588995251</v>
      </c>
      <c r="F855" s="10">
        <f t="shared" si="102"/>
        <v>8</v>
      </c>
      <c r="G855" s="4">
        <f t="shared" si="101"/>
        <v>101000</v>
      </c>
      <c r="H855" s="45">
        <f t="shared" si="103"/>
        <v>7.907251495973906</v>
      </c>
      <c r="I855" s="10">
        <f t="shared" si="104"/>
        <v>1.3504122634918891</v>
      </c>
      <c r="J855" s="4">
        <f t="shared" si="105"/>
        <v>1477.0365785880169</v>
      </c>
      <c r="K855" s="4">
        <f t="shared" si="107"/>
        <v>332.05264569669009</v>
      </c>
      <c r="L855" s="45">
        <f>Pressure!Q855</f>
        <v>1.9242963146665135</v>
      </c>
      <c r="M855" s="10">
        <f t="shared" si="108"/>
        <v>3.7625098703491049</v>
      </c>
      <c r="N855" s="10">
        <f t="shared" si="106"/>
        <v>2.9545467240956045</v>
      </c>
    </row>
    <row r="856" spans="3:14">
      <c r="C856" s="4">
        <f>Pressure!AB856*1000000</f>
        <v>4926599.9650153974</v>
      </c>
      <c r="D856" s="84">
        <f>Pressure!I856</f>
        <v>2.214727558899525E-4</v>
      </c>
      <c r="E856" s="40">
        <f>Pressure!H856</f>
        <v>221.47275588995251</v>
      </c>
      <c r="F856" s="10">
        <f t="shared" si="102"/>
        <v>8</v>
      </c>
      <c r="G856" s="4">
        <f t="shared" si="101"/>
        <v>101000</v>
      </c>
      <c r="H856" s="45">
        <f t="shared" si="103"/>
        <v>7.8922028112434832</v>
      </c>
      <c r="I856" s="10">
        <f t="shared" si="104"/>
        <v>1.3500775470014927</v>
      </c>
      <c r="J856" s="4">
        <f t="shared" si="105"/>
        <v>1473.0799685442842</v>
      </c>
      <c r="K856" s="4">
        <f t="shared" si="107"/>
        <v>331.16316005221984</v>
      </c>
      <c r="L856" s="45">
        <f>Pressure!Q856</f>
        <v>1.9268444978321682</v>
      </c>
      <c r="M856" s="10">
        <f t="shared" si="108"/>
        <v>3.7587186610608589</v>
      </c>
      <c r="N856" s="10">
        <f t="shared" si="106"/>
        <v>2.9545467240956045</v>
      </c>
    </row>
    <row r="857" spans="3:14">
      <c r="C857" s="4">
        <f>Pressure!AB857*1000000</f>
        <v>4914574.9615291739</v>
      </c>
      <c r="D857" s="84">
        <f>Pressure!I857</f>
        <v>2.214727558899525E-4</v>
      </c>
      <c r="E857" s="40">
        <f>Pressure!H857</f>
        <v>221.47275588995251</v>
      </c>
      <c r="F857" s="10">
        <f t="shared" si="102"/>
        <v>8</v>
      </c>
      <c r="G857" s="4">
        <f t="shared" si="101"/>
        <v>101000</v>
      </c>
      <c r="H857" s="45">
        <f t="shared" si="103"/>
        <v>7.8771265639509158</v>
      </c>
      <c r="I857" s="10">
        <f t="shared" si="104"/>
        <v>1.3497413644510801</v>
      </c>
      <c r="J857" s="4">
        <f t="shared" si="105"/>
        <v>1469.1185115922146</v>
      </c>
      <c r="K857" s="4">
        <f t="shared" si="107"/>
        <v>330.27258477411419</v>
      </c>
      <c r="L857" s="45">
        <f>Pressure!Q857</f>
        <v>1.9293969537727631</v>
      </c>
      <c r="M857" s="10">
        <f t="shared" si="108"/>
        <v>3.7549159945169115</v>
      </c>
      <c r="N857" s="10">
        <f t="shared" si="106"/>
        <v>2.9545467240956045</v>
      </c>
    </row>
    <row r="858" spans="3:14">
      <c r="C858" s="4">
        <f>Pressure!AB858*1000000</f>
        <v>4902533.319996926</v>
      </c>
      <c r="D858" s="84">
        <f>Pressure!I858</f>
        <v>2.214727558899525E-4</v>
      </c>
      <c r="E858" s="40">
        <f>Pressure!H858</f>
        <v>221.47275588995251</v>
      </c>
      <c r="F858" s="10">
        <f t="shared" si="102"/>
        <v>8</v>
      </c>
      <c r="G858" s="4">
        <f t="shared" si="101"/>
        <v>101000</v>
      </c>
      <c r="H858" s="45">
        <f t="shared" si="103"/>
        <v>7.8620229504062404</v>
      </c>
      <c r="I858" s="10">
        <f t="shared" si="104"/>
        <v>1.3494037115924999</v>
      </c>
      <c r="J858" s="4">
        <f t="shared" si="105"/>
        <v>1465.1522764744852</v>
      </c>
      <c r="K858" s="4">
        <f t="shared" si="107"/>
        <v>329.38093531641681</v>
      </c>
      <c r="L858" s="45">
        <f>Pressure!Q858</f>
        <v>1.9319537061325769</v>
      </c>
      <c r="M858" s="10">
        <f t="shared" si="108"/>
        <v>3.7511018808610954</v>
      </c>
      <c r="N858" s="10">
        <f t="shared" si="106"/>
        <v>2.9545467240956045</v>
      </c>
    </row>
    <row r="859" spans="3:14">
      <c r="C859" s="4">
        <f>Pressure!AB859*1000000</f>
        <v>4890475.2329850635</v>
      </c>
      <c r="D859" s="84">
        <f>Pressure!I859</f>
        <v>2.214727558899525E-4</v>
      </c>
      <c r="E859" s="40">
        <f>Pressure!H859</f>
        <v>221.47275588995251</v>
      </c>
      <c r="F859" s="10">
        <f t="shared" si="102"/>
        <v>8</v>
      </c>
      <c r="G859" s="4">
        <f t="shared" si="101"/>
        <v>101000</v>
      </c>
      <c r="H859" s="45">
        <f t="shared" si="103"/>
        <v>7.8468921656354258</v>
      </c>
      <c r="I859" s="10">
        <f t="shared" si="104"/>
        <v>1.3490645841152367</v>
      </c>
      <c r="J859" s="4">
        <f t="shared" si="105"/>
        <v>1461.1813315536399</v>
      </c>
      <c r="K859" s="4">
        <f t="shared" si="107"/>
        <v>328.48822704771368</v>
      </c>
      <c r="L859" s="45">
        <f>Pressure!Q859</f>
        <v>1.9345147786771411</v>
      </c>
      <c r="M859" s="10">
        <f t="shared" si="108"/>
        <v>3.747276329878118</v>
      </c>
      <c r="N859" s="10">
        <f t="shared" si="106"/>
        <v>2.9545467240956045</v>
      </c>
    </row>
    <row r="860" spans="3:14">
      <c r="C860" s="4">
        <f>Pressure!AB860*1000000</f>
        <v>4878400.8919938244</v>
      </c>
      <c r="D860" s="84">
        <f>Pressure!I860</f>
        <v>2.214727558899525E-4</v>
      </c>
      <c r="E860" s="40">
        <f>Pressure!H860</f>
        <v>221.47275588995251</v>
      </c>
      <c r="F860" s="10">
        <f t="shared" si="102"/>
        <v>8</v>
      </c>
      <c r="G860" s="4">
        <f t="shared" si="101"/>
        <v>101000</v>
      </c>
      <c r="H860" s="45">
        <f t="shared" si="103"/>
        <v>7.8317344034379879</v>
      </c>
      <c r="I860" s="10">
        <f t="shared" si="104"/>
        <v>1.3487239776471451</v>
      </c>
      <c r="J860" s="4">
        <f t="shared" si="105"/>
        <v>1457.2057448276769</v>
      </c>
      <c r="K860" s="4">
        <f t="shared" si="107"/>
        <v>327.59447525463713</v>
      </c>
      <c r="L860" s="45">
        <f>Pressure!Q860</f>
        <v>1.9370801952946277</v>
      </c>
      <c r="M860" s="10">
        <f t="shared" si="108"/>
        <v>3.7434393510034698</v>
      </c>
      <c r="N860" s="10">
        <f t="shared" si="106"/>
        <v>2.9545467240956045</v>
      </c>
    </row>
    <row r="861" spans="3:14">
      <c r="C861" s="4">
        <f>Pressure!AB861*1000000</f>
        <v>4866310.4875024948</v>
      </c>
      <c r="D861" s="84">
        <f>Pressure!I861</f>
        <v>2.214727558899525E-4</v>
      </c>
      <c r="E861" s="40">
        <f>Pressure!H861</f>
        <v>221.47275588995251</v>
      </c>
      <c r="F861" s="10">
        <f>aexit/E861</f>
        <v>8</v>
      </c>
      <c r="G861" s="4">
        <f t="shared" si="101"/>
        <v>101000</v>
      </c>
      <c r="H861" s="45">
        <f t="shared" ref="H861:H909" si="109">1/(((k+1)/2)^(1/(k-1))*(patm*1000000/C861)^(1/k)*SQRT((k+1)/(k-1)*(1-(patm*1000000/C861)^((k-1)/k))))</f>
        <v>7.8165498564425926</v>
      </c>
      <c r="I861" s="10">
        <f t="shared" ref="I861:I909" si="110">etanoz*SQRT(2*k^2/(k-1)*(2/(k+1))^((k+1)/(k-1))*(1-(G861/C861)^((k-1)/k)))+(G861-patm*1000000)/C861*(aexit/E861)</f>
        <v>1.3483818877551517</v>
      </c>
      <c r="J861" s="4">
        <f t="shared" ref="J861:J910" si="111">I861*D861*C861</f>
        <v>1453.2255839450643</v>
      </c>
      <c r="K861" s="4">
        <f t="shared" si="107"/>
        <v>326.69969514524172</v>
      </c>
      <c r="L861" s="45">
        <f>Pressure!Q861</f>
        <v>1.9396499799972373</v>
      </c>
      <c r="M861" s="10">
        <f t="shared" si="108"/>
        <v>3.7395909533379621</v>
      </c>
      <c r="N861" s="10">
        <f t="shared" si="106"/>
        <v>2.9545467240956045</v>
      </c>
    </row>
    <row r="862" spans="3:14">
      <c r="C862" s="4">
        <f>Pressure!AB862*1000000</f>
        <v>4854204.209013748</v>
      </c>
      <c r="D862" s="84">
        <f>Pressure!I862</f>
        <v>2.214727558899525E-4</v>
      </c>
      <c r="E862" s="121">
        <f>Pressure!H862</f>
        <v>221.47275588995251</v>
      </c>
      <c r="F862" s="122">
        <f>aexit/E862</f>
        <v>8</v>
      </c>
      <c r="G862" s="4">
        <f t="shared" si="101"/>
        <v>101000</v>
      </c>
      <c r="H862" s="45">
        <f t="shared" si="109"/>
        <v>7.8013387161616627</v>
      </c>
      <c r="I862" s="10">
        <f t="shared" si="110"/>
        <v>1.3480383099459374</v>
      </c>
      <c r="J862" s="4">
        <f t="shared" si="111"/>
        <v>1449.2409162194438</v>
      </c>
      <c r="K862" s="4">
        <f t="shared" si="107"/>
        <v>325.80390185230965</v>
      </c>
      <c r="L862" s="45">
        <f>Pressure!Q862</f>
        <v>1.9422241569225847</v>
      </c>
      <c r="M862" s="10">
        <f t="shared" si="108"/>
        <v>3.7357311456585611</v>
      </c>
      <c r="N862" s="122">
        <f>N861-1/834*(me-mef)</f>
        <v>2.9545467240956045</v>
      </c>
    </row>
    <row r="863" spans="3:14">
      <c r="C863" s="4">
        <f>Pressure!AB863*1000000</f>
        <v>4537427.3635873767</v>
      </c>
      <c r="D863" s="86">
        <f>astarf</f>
        <v>2.214727558899525E-4</v>
      </c>
      <c r="E863" s="40">
        <f>atfinal</f>
        <v>221.47275588995251</v>
      </c>
      <c r="G863" s="4">
        <f t="shared" ref="G863:G910" si="112">IF(C863/(1+(k-1)/2*mef^2)^(k/(k-1))&lt;patm*1000000,patm*1000000,C863/(1+(k-1)/2*mef^2)^(k/(k-1)))</f>
        <v>101000</v>
      </c>
      <c r="H863" s="45">
        <f t="shared" si="109"/>
        <v>7.4008809712888217</v>
      </c>
      <c r="I863" s="10">
        <f t="shared" si="110"/>
        <v>1.3386581914387283</v>
      </c>
      <c r="J863" s="4">
        <f t="shared" si="111"/>
        <v>1345.2397618174195</v>
      </c>
      <c r="K863" s="4">
        <f t="shared" si="107"/>
        <v>302.4233986370711</v>
      </c>
      <c r="L863" s="45">
        <f>Pressure!Q863</f>
        <v>1.9439906938054712</v>
      </c>
      <c r="M863" s="10">
        <f t="shared" si="108"/>
        <v>2.4682765931329347</v>
      </c>
    </row>
    <row r="864" spans="3:14">
      <c r="C864" s="4">
        <f>Pressure!AB864*1000000</f>
        <v>4241322.8190114619</v>
      </c>
      <c r="D864" s="86">
        <f t="shared" ref="D864:D910" si="113">astarf</f>
        <v>2.214727558899525E-4</v>
      </c>
      <c r="E864" s="40">
        <f t="shared" ref="E864:E910" si="114">atfinal</f>
        <v>221.47275588995251</v>
      </c>
      <c r="G864" s="4">
        <f t="shared" si="112"/>
        <v>101000</v>
      </c>
      <c r="H864" s="45">
        <f t="shared" si="109"/>
        <v>7.022066363846597</v>
      </c>
      <c r="I864" s="10">
        <f t="shared" si="110"/>
        <v>1.3291375883291014</v>
      </c>
      <c r="J864" s="4">
        <f t="shared" si="111"/>
        <v>1248.5087173667189</v>
      </c>
      <c r="K864" s="4">
        <f t="shared" si="107"/>
        <v>280.67728909822375</v>
      </c>
      <c r="L864" s="45">
        <f>Pressure!Q864</f>
        <v>1.9457572306883577</v>
      </c>
      <c r="M864" s="10">
        <f t="shared" si="108"/>
        <v>2.2909761767048087</v>
      </c>
    </row>
    <row r="865" spans="3:13">
      <c r="C865" s="4">
        <f>Pressure!AB865*1000000</f>
        <v>3964541.537221442</v>
      </c>
      <c r="D865" s="86">
        <f t="shared" si="113"/>
        <v>2.214727558899525E-4</v>
      </c>
      <c r="E865" s="40">
        <f t="shared" si="114"/>
        <v>221.47275588995251</v>
      </c>
      <c r="G865" s="4">
        <f t="shared" si="112"/>
        <v>101000</v>
      </c>
      <c r="H865" s="45">
        <f t="shared" si="109"/>
        <v>6.6637110030208033</v>
      </c>
      <c r="I865" s="10">
        <f t="shared" si="110"/>
        <v>1.3194728731675525</v>
      </c>
      <c r="J865" s="4">
        <f t="shared" si="111"/>
        <v>1158.5472435588526</v>
      </c>
      <c r="K865" s="4">
        <f t="shared" si="107"/>
        <v>260.45304697604706</v>
      </c>
      <c r="L865" s="45">
        <f>Pressure!Q865</f>
        <v>1.9475237675712442</v>
      </c>
      <c r="M865" s="10">
        <f t="shared" si="108"/>
        <v>2.1260765670734463</v>
      </c>
    </row>
    <row r="866" spans="3:13">
      <c r="C866" s="4">
        <f>Pressure!AB866*1000000</f>
        <v>3705822.5160086965</v>
      </c>
      <c r="D866" s="86">
        <f t="shared" si="113"/>
        <v>2.214727558899525E-4</v>
      </c>
      <c r="E866" s="40">
        <f t="shared" si="114"/>
        <v>221.47275588995251</v>
      </c>
      <c r="G866" s="4">
        <f t="shared" si="112"/>
        <v>101000</v>
      </c>
      <c r="H866" s="45">
        <f t="shared" si="109"/>
        <v>6.3246969474295662</v>
      </c>
      <c r="I866" s="10">
        <f t="shared" si="110"/>
        <v>1.3096602600132965</v>
      </c>
      <c r="J866" s="4">
        <f t="shared" si="111"/>
        <v>1074.8888925882491</v>
      </c>
      <c r="K866" s="4">
        <f t="shared" si="107"/>
        <v>241.64581012280229</v>
      </c>
      <c r="L866" s="45">
        <f>Pressure!Q866</f>
        <v>1.9492903044541308</v>
      </c>
      <c r="M866" s="10">
        <f t="shared" si="108"/>
        <v>1.972723655037715</v>
      </c>
    </row>
    <row r="867" spans="3:13">
      <c r="C867" s="4">
        <f>Pressure!AB867*1000000</f>
        <v>3463987.0439551296</v>
      </c>
      <c r="D867" s="86">
        <f t="shared" si="113"/>
        <v>2.214727558899525E-4</v>
      </c>
      <c r="E867" s="40">
        <f t="shared" si="114"/>
        <v>221.47275588995251</v>
      </c>
      <c r="G867" s="4">
        <f t="shared" si="112"/>
        <v>101000</v>
      </c>
      <c r="H867" s="45">
        <f t="shared" si="109"/>
        <v>6.003968529456027</v>
      </c>
      <c r="I867" s="10">
        <f t="shared" si="110"/>
        <v>1.2996957942495375</v>
      </c>
      <c r="J867" s="4">
        <f t="shared" si="111"/>
        <v>997.09900389987286</v>
      </c>
      <c r="K867" s="4">
        <f t="shared" si="107"/>
        <v>224.15786248367269</v>
      </c>
      <c r="L867" s="45">
        <f>Pressure!Q867</f>
        <v>1.9510568413370173</v>
      </c>
      <c r="M867" s="10">
        <f t="shared" si="108"/>
        <v>1.8301215200203691</v>
      </c>
    </row>
    <row r="868" spans="3:13">
      <c r="C868" s="4">
        <f>Pressure!AB868*1000000</f>
        <v>3237933.3302806336</v>
      </c>
      <c r="D868" s="86">
        <f t="shared" si="113"/>
        <v>2.214727558899525E-4</v>
      </c>
      <c r="E868" s="40">
        <f t="shared" si="114"/>
        <v>221.47275588995251</v>
      </c>
      <c r="G868" s="4">
        <f t="shared" si="112"/>
        <v>101000</v>
      </c>
      <c r="H868" s="45">
        <f t="shared" si="109"/>
        <v>5.7005288884655458</v>
      </c>
      <c r="I868" s="10">
        <f t="shared" si="110"/>
        <v>1.2895753415302278</v>
      </c>
      <c r="J868" s="4">
        <f t="shared" si="111"/>
        <v>924.77255473673176</v>
      </c>
      <c r="K868" s="4">
        <f t="shared" si="107"/>
        <v>207.8981508782725</v>
      </c>
      <c r="L868" s="45">
        <f>Pressure!Q868</f>
        <v>1.9528233782199038</v>
      </c>
      <c r="M868" s="10">
        <f t="shared" si="108"/>
        <v>1.6975284962510893</v>
      </c>
    </row>
    <row r="869" spans="3:13">
      <c r="C869" s="4">
        <f>Pressure!AB869*1000000</f>
        <v>3026631.4851372875</v>
      </c>
      <c r="D869" s="86">
        <f t="shared" si="113"/>
        <v>2.214727558899525E-4</v>
      </c>
      <c r="E869" s="40">
        <f t="shared" si="114"/>
        <v>221.47275588995251</v>
      </c>
      <c r="G869" s="4">
        <f t="shared" si="112"/>
        <v>101000</v>
      </c>
      <c r="H869" s="45">
        <f t="shared" si="109"/>
        <v>5.4134367013032252</v>
      </c>
      <c r="I869" s="10">
        <f t="shared" si="110"/>
        <v>1.279294575765564</v>
      </c>
      <c r="J869" s="4">
        <f t="shared" si="111"/>
        <v>857.53215513347743</v>
      </c>
      <c r="K869" s="4">
        <f t="shared" si="107"/>
        <v>192.78183425508686</v>
      </c>
      <c r="L869" s="45">
        <f>Pressure!Q869</f>
        <v>1.9545899151027903</v>
      </c>
      <c r="M869" s="10">
        <f t="shared" si="108"/>
        <v>1.5742535032640474</v>
      </c>
    </row>
    <row r="870" spans="3:13">
      <c r="C870" s="4">
        <f>Pressure!AB870*1000000</f>
        <v>2829118.8274807362</v>
      </c>
      <c r="D870" s="86">
        <f t="shared" si="113"/>
        <v>2.214727558899525E-4</v>
      </c>
      <c r="E870" s="40">
        <f t="shared" si="114"/>
        <v>221.47275588995251</v>
      </c>
      <c r="G870" s="4">
        <f t="shared" si="112"/>
        <v>101000</v>
      </c>
      <c r="H870" s="45">
        <f t="shared" si="109"/>
        <v>5.1418030991596835</v>
      </c>
      <c r="I870" s="10">
        <f t="shared" si="110"/>
        <v>1.2688489660414879</v>
      </c>
      <c r="J870" s="4">
        <f t="shared" si="111"/>
        <v>795.02617769193012</v>
      </c>
      <c r="K870" s="4">
        <f t="shared" si="107"/>
        <v>178.72986324624119</v>
      </c>
      <c r="L870" s="45">
        <f>Pressure!Q870</f>
        <v>1.9563564519856769</v>
      </c>
      <c r="M870" s="10">
        <f t="shared" si="108"/>
        <v>1.4596526230287754</v>
      </c>
    </row>
    <row r="871" spans="3:13">
      <c r="C871" s="4">
        <f>Pressure!AB871*1000000</f>
        <v>2644495.4991416535</v>
      </c>
      <c r="D871" s="86">
        <f t="shared" si="113"/>
        <v>2.214727558899525E-4</v>
      </c>
      <c r="E871" s="40">
        <f t="shared" si="114"/>
        <v>221.47275588995251</v>
      </c>
      <c r="G871" s="4">
        <f t="shared" si="112"/>
        <v>101000</v>
      </c>
      <c r="H871" s="45">
        <f t="shared" si="109"/>
        <v>4.8847887605518352</v>
      </c>
      <c r="I871" s="10">
        <f t="shared" si="110"/>
        <v>1.2582337623546813</v>
      </c>
      <c r="J871" s="4">
        <f t="shared" si="111"/>
        <v>736.92701311815904</v>
      </c>
      <c r="K871" s="4">
        <f t="shared" si="107"/>
        <v>165.66858799473025</v>
      </c>
      <c r="L871" s="45">
        <f>Pressure!Q871</f>
        <v>1.9581229888685634</v>
      </c>
      <c r="M871" s="10">
        <f t="shared" si="108"/>
        <v>1.3531259072108619</v>
      </c>
    </row>
    <row r="872" spans="3:13">
      <c r="C872" s="4">
        <f>Pressure!AB872*1000000</f>
        <v>2471920.3651151983</v>
      </c>
      <c r="D872" s="86">
        <f t="shared" si="113"/>
        <v>2.214727558899525E-4</v>
      </c>
      <c r="E872" s="40">
        <f t="shared" si="114"/>
        <v>221.47275588995251</v>
      </c>
      <c r="G872" s="4">
        <f t="shared" si="112"/>
        <v>101000</v>
      </c>
      <c r="H872" s="45">
        <f t="shared" si="109"/>
        <v>4.6416011707927556</v>
      </c>
      <c r="I872" s="10">
        <f t="shared" si="110"/>
        <v>1.2474439800285977</v>
      </c>
      <c r="J872" s="4">
        <f t="shared" si="111"/>
        <v>682.9294431017164</v>
      </c>
      <c r="K872" s="4">
        <f t="shared" si="107"/>
        <v>153.52939236134085</v>
      </c>
      <c r="L872" s="45">
        <f>Pressure!Q872</f>
        <v>1.9598895257514499</v>
      </c>
      <c r="M872" s="10">
        <f t="shared" si="108"/>
        <v>1.2541143991584844</v>
      </c>
    </row>
    <row r="873" spans="3:13">
      <c r="C873" s="4">
        <f>Pressure!AB873*1000000</f>
        <v>2310607.1813903856</v>
      </c>
      <c r="D873" s="86">
        <f t="shared" si="113"/>
        <v>2.214727558899525E-4</v>
      </c>
      <c r="E873" s="40">
        <f t="shared" si="114"/>
        <v>221.47275588995251</v>
      </c>
      <c r="G873" s="4">
        <f t="shared" si="112"/>
        <v>101000</v>
      </c>
      <c r="H873" s="45">
        <f t="shared" si="109"/>
        <v>4.4114920389251013</v>
      </c>
      <c r="I873" s="10">
        <f t="shared" si="110"/>
        <v>1.2364743826576154</v>
      </c>
      <c r="J873" s="4">
        <f t="shared" si="111"/>
        <v>632.7491226786309</v>
      </c>
      <c r="K873" s="4">
        <f t="shared" si="107"/>
        <v>142.24835274462274</v>
      </c>
      <c r="L873" s="45">
        <f>Pressure!Q873</f>
        <v>1.9616560626343365</v>
      </c>
      <c r="M873" s="10">
        <f t="shared" si="108"/>
        <v>1.1620973562371155</v>
      </c>
    </row>
    <row r="874" spans="3:13">
      <c r="C874" s="4">
        <f>Pressure!AB874*1000000</f>
        <v>2159821.0128601827</v>
      </c>
      <c r="D874" s="86">
        <f t="shared" si="113"/>
        <v>2.214727558899525E-4</v>
      </c>
      <c r="E874" s="40">
        <f t="shared" si="114"/>
        <v>221.47275588995251</v>
      </c>
      <c r="G874" s="4">
        <f t="shared" si="112"/>
        <v>101000</v>
      </c>
      <c r="H874" s="45">
        <f t="shared" si="109"/>
        <v>4.1937548636679347</v>
      </c>
      <c r="I874" s="10">
        <f t="shared" si="110"/>
        <v>1.2253194634049487</v>
      </c>
      <c r="J874" s="4">
        <f t="shared" si="111"/>
        <v>586.12116474342201</v>
      </c>
      <c r="K874" s="4">
        <f t="shared" si="107"/>
        <v>131.76591986498406</v>
      </c>
      <c r="L874" s="45">
        <f>Pressure!Q874</f>
        <v>1.963422599517223</v>
      </c>
      <c r="M874" s="10">
        <f t="shared" si="108"/>
        <v>1.0765896590927793</v>
      </c>
    </row>
    <row r="875" spans="3:13">
      <c r="C875" s="4">
        <f>Pressure!AB875*1000000</f>
        <v>2018874.8849925119</v>
      </c>
      <c r="D875" s="86">
        <f t="shared" si="113"/>
        <v>2.214727558899525E-4</v>
      </c>
      <c r="E875" s="40">
        <f t="shared" si="114"/>
        <v>221.47275588995251</v>
      </c>
      <c r="G875" s="4">
        <f t="shared" si="112"/>
        <v>101000</v>
      </c>
      <c r="H875" s="45">
        <f t="shared" si="109"/>
        <v>3.9877226404816524</v>
      </c>
      <c r="I875" s="10">
        <f t="shared" si="110"/>
        <v>1.2139734244549267</v>
      </c>
      <c r="J875" s="4">
        <f t="shared" si="111"/>
        <v>542.7988198641898</v>
      </c>
      <c r="K875" s="4">
        <f t="shared" si="107"/>
        <v>122.02662197387478</v>
      </c>
      <c r="L875" s="45">
        <f>Pressure!Q875</f>
        <v>1.9651891364001095</v>
      </c>
      <c r="M875" s="10">
        <f t="shared" si="108"/>
        <v>0.99713939531851814</v>
      </c>
    </row>
    <row r="876" spans="3:13">
      <c r="C876" s="4">
        <f>Pressure!AB876*1000000</f>
        <v>1887126.6540073156</v>
      </c>
      <c r="D876" s="86">
        <f t="shared" si="113"/>
        <v>2.214727558899525E-4</v>
      </c>
      <c r="E876" s="40">
        <f t="shared" si="114"/>
        <v>221.47275588995251</v>
      </c>
      <c r="G876" s="4">
        <f t="shared" si="112"/>
        <v>101000</v>
      </c>
      <c r="H876" s="45">
        <f t="shared" si="109"/>
        <v>3.7927657023930621</v>
      </c>
      <c r="I876" s="10">
        <f t="shared" si="110"/>
        <v>1.2024301543910247</v>
      </c>
      <c r="J876" s="4">
        <f t="shared" si="111"/>
        <v>502.55224501103601</v>
      </c>
      <c r="K876" s="4">
        <f t="shared" si="107"/>
        <v>112.97878805157951</v>
      </c>
      <c r="L876" s="45">
        <f>Pressure!Q876</f>
        <v>1.966955673282996</v>
      </c>
      <c r="M876" s="10">
        <f t="shared" si="108"/>
        <v>0.92332560583339651</v>
      </c>
    </row>
    <row r="877" spans="3:13">
      <c r="C877" s="4">
        <f>Pressure!AB877*1000000</f>
        <v>1763976.0813003799</v>
      </c>
      <c r="D877" s="86">
        <f t="shared" si="113"/>
        <v>2.214727558899525E-4</v>
      </c>
      <c r="E877" s="40">
        <f t="shared" si="114"/>
        <v>221.47275588995251</v>
      </c>
      <c r="G877" s="4">
        <f t="shared" si="112"/>
        <v>101000</v>
      </c>
      <c r="H877" s="45">
        <f t="shared" si="109"/>
        <v>3.608289687747027</v>
      </c>
      <c r="I877" s="10">
        <f t="shared" si="110"/>
        <v>1.1906832032366919</v>
      </c>
      <c r="J877" s="4">
        <f t="shared" si="111"/>
        <v>465.16735523387098</v>
      </c>
      <c r="K877" s="4">
        <f t="shared" si="107"/>
        <v>104.57428965286429</v>
      </c>
      <c r="L877" s="45">
        <f>Pressure!Q877</f>
        <v>1.9687222101658826</v>
      </c>
      <c r="M877" s="10">
        <f t="shared" si="108"/>
        <v>0.85475618306241696</v>
      </c>
    </row>
    <row r="878" spans="3:13">
      <c r="C878" s="4">
        <f>Pressure!AB878*1000000</f>
        <v>1648862.0987851208</v>
      </c>
      <c r="D878" s="86">
        <f t="shared" si="113"/>
        <v>2.214727558899525E-4</v>
      </c>
      <c r="E878" s="40">
        <f t="shared" si="114"/>
        <v>221.47275588995251</v>
      </c>
      <c r="G878" s="4">
        <f t="shared" si="112"/>
        <v>101000</v>
      </c>
      <c r="H878" s="45">
        <f t="shared" si="109"/>
        <v>3.433733628567158</v>
      </c>
      <c r="I878" s="10">
        <f t="shared" si="110"/>
        <v>1.1787257548556096</v>
      </c>
      <c r="J878" s="4">
        <f t="shared" si="111"/>
        <v>430.4447527229932</v>
      </c>
      <c r="K878" s="4">
        <f t="shared" si="107"/>
        <v>96.768300149047533</v>
      </c>
      <c r="L878" s="45">
        <f>Pressure!Q878</f>
        <v>1.9704887470487691</v>
      </c>
      <c r="M878" s="10">
        <f t="shared" si="108"/>
        <v>0.79106591073277521</v>
      </c>
    </row>
    <row r="879" spans="3:13">
      <c r="C879" s="4">
        <f>Pressure!AB879*1000000</f>
        <v>1541260.2526933639</v>
      </c>
      <c r="D879" s="86">
        <f t="shared" si="113"/>
        <v>2.214727558899525E-4</v>
      </c>
      <c r="E879" s="40">
        <f t="shared" si="114"/>
        <v>221.47275588995251</v>
      </c>
      <c r="G879" s="4">
        <f t="shared" si="112"/>
        <v>101000</v>
      </c>
      <c r="H879" s="45">
        <f t="shared" si="109"/>
        <v>3.2685681537209192</v>
      </c>
      <c r="I879" s="10">
        <f t="shared" si="110"/>
        <v>1.1665505963602643</v>
      </c>
      <c r="J879" s="4">
        <f t="shared" si="111"/>
        <v>398.19872805663198</v>
      </c>
      <c r="K879" s="4">
        <f t="shared" si="107"/>
        <v>89.519070198424529</v>
      </c>
      <c r="L879" s="45">
        <f>Pressure!Q879</f>
        <v>1.9722552839316556</v>
      </c>
      <c r="M879" s="10">
        <f t="shared" si="108"/>
        <v>0.73191463578034033</v>
      </c>
    </row>
    <row r="880" spans="3:13">
      <c r="C880" s="4">
        <f>Pressure!AB880*1000000</f>
        <v>1440680.3141892001</v>
      </c>
      <c r="D880" s="86">
        <f t="shared" si="113"/>
        <v>2.214727558899525E-4</v>
      </c>
      <c r="E880" s="40">
        <f t="shared" si="114"/>
        <v>221.47275588995251</v>
      </c>
      <c r="G880" s="4">
        <f t="shared" si="112"/>
        <v>101000</v>
      </c>
      <c r="H880" s="45">
        <f t="shared" si="109"/>
        <v>3.1122938016011679</v>
      </c>
      <c r="I880" s="10">
        <f t="shared" si="110"/>
        <v>1.1541500841210273</v>
      </c>
      <c r="J880" s="4">
        <f t="shared" si="111"/>
        <v>368.25632878557525</v>
      </c>
      <c r="K880" s="4">
        <f t="shared" si="107"/>
        <v>82.787718354744669</v>
      </c>
      <c r="L880" s="45">
        <f>Pressure!Q880</f>
        <v>1.9740218208145421</v>
      </c>
      <c r="M880" s="10">
        <f t="shared" si="108"/>
        <v>0.67698556349332428</v>
      </c>
    </row>
    <row r="881" spans="3:13">
      <c r="C881" s="4">
        <f>Pressure!AB881*1000000</f>
        <v>1346664.0459099854</v>
      </c>
      <c r="D881" s="86">
        <f t="shared" si="113"/>
        <v>2.214727558899525E-4</v>
      </c>
      <c r="E881" s="40">
        <f t="shared" si="114"/>
        <v>221.47275588995251</v>
      </c>
      <c r="G881" s="4">
        <f t="shared" si="112"/>
        <v>101000</v>
      </c>
      <c r="H881" s="45">
        <f t="shared" si="109"/>
        <v>2.9644394375637528</v>
      </c>
      <c r="I881" s="10">
        <f t="shared" si="110"/>
        <v>1.1415161059004417</v>
      </c>
      <c r="J881" s="4">
        <f t="shared" si="111"/>
        <v>340.45649082774315</v>
      </c>
      <c r="K881" s="4">
        <f t="shared" si="107"/>
        <v>76.538035795994588</v>
      </c>
      <c r="L881" s="45">
        <f>Pressure!Q881</f>
        <v>1.9757883576974287</v>
      </c>
      <c r="M881" s="10">
        <f t="shared" si="108"/>
        <v>0.62598366761071644</v>
      </c>
    </row>
    <row r="882" spans="3:13">
      <c r="C882" s="4">
        <f>Pressure!AB882*1000000</f>
        <v>1258783.1142589562</v>
      </c>
      <c r="D882" s="86">
        <f t="shared" si="113"/>
        <v>2.214727558899525E-4</v>
      </c>
      <c r="E882" s="40">
        <f t="shared" si="114"/>
        <v>221.47275588995251</v>
      </c>
      <c r="G882" s="4">
        <f t="shared" si="112"/>
        <v>101000</v>
      </c>
      <c r="H882" s="45">
        <f t="shared" si="109"/>
        <v>2.8245607719093098</v>
      </c>
      <c r="I882" s="10">
        <f t="shared" si="110"/>
        <v>1.1286400385566657</v>
      </c>
      <c r="J882" s="4">
        <f t="shared" si="111"/>
        <v>314.64922844655939</v>
      </c>
      <c r="K882" s="4">
        <f t="shared" si="107"/>
        <v>70.736304223407089</v>
      </c>
      <c r="L882" s="45">
        <f>Pressure!Q882</f>
        <v>1.9775548945803152</v>
      </c>
      <c r="M882" s="10">
        <f t="shared" si="108"/>
        <v>0.57863420764398132</v>
      </c>
    </row>
    <row r="883" spans="3:13">
      <c r="C883" s="4">
        <f>Pressure!AB883*1000000</f>
        <v>1176637.137937957</v>
      </c>
      <c r="D883" s="86">
        <f t="shared" si="113"/>
        <v>2.214727558899525E-4</v>
      </c>
      <c r="E883" s="40">
        <f t="shared" si="114"/>
        <v>221.47275588995251</v>
      </c>
      <c r="G883" s="4">
        <f t="shared" si="112"/>
        <v>101000</v>
      </c>
      <c r="H883" s="45">
        <f t="shared" si="109"/>
        <v>2.6922389747782933</v>
      </c>
      <c r="I883" s="10">
        <f t="shared" si="110"/>
        <v>1.1155127006629768</v>
      </c>
      <c r="J883" s="4">
        <f t="shared" si="111"/>
        <v>290.69487886763</v>
      </c>
      <c r="K883" s="4">
        <f t="shared" si="107"/>
        <v>65.351126043709812</v>
      </c>
      <c r="L883" s="45">
        <f>Pressure!Q883</f>
        <v>1.9793214314632017</v>
      </c>
      <c r="M883" s="10">
        <f t="shared" si="108"/>
        <v>0.53468134620426766</v>
      </c>
    </row>
    <row r="884" spans="3:13">
      <c r="C884" s="4">
        <f>Pressure!AB884*1000000</f>
        <v>1099851.8638295096</v>
      </c>
      <c r="D884" s="86">
        <f t="shared" si="113"/>
        <v>2.214727558899525E-4</v>
      </c>
      <c r="E884" s="40">
        <f t="shared" si="114"/>
        <v>221.47275588995251</v>
      </c>
      <c r="G884" s="4">
        <f t="shared" si="112"/>
        <v>101000</v>
      </c>
      <c r="H884" s="45">
        <f t="shared" si="109"/>
        <v>2.5670793849567857</v>
      </c>
      <c r="I884" s="10">
        <f t="shared" si="110"/>
        <v>1.102124299273135</v>
      </c>
      <c r="J884" s="4">
        <f t="shared" si="111"/>
        <v>268.46339784983832</v>
      </c>
      <c r="K884" s="4">
        <f t="shared" si="107"/>
        <v>60.353266006438183</v>
      </c>
      <c r="L884" s="45">
        <f>Pressure!Q884</f>
        <v>1.9810879683460882</v>
      </c>
      <c r="M884" s="10">
        <f t="shared" si="108"/>
        <v>0.49388685959633927</v>
      </c>
    </row>
    <row r="885" spans="3:13">
      <c r="C885" s="4">
        <f>Pressure!AB885*1000000</f>
        <v>1028077.4619176023</v>
      </c>
      <c r="D885" s="86">
        <f t="shared" si="113"/>
        <v>2.214727558899525E-4</v>
      </c>
      <c r="E885" s="40">
        <f t="shared" si="114"/>
        <v>221.47275588995251</v>
      </c>
      <c r="G885" s="4">
        <f t="shared" si="112"/>
        <v>101000</v>
      </c>
      <c r="H885" s="45">
        <f t="shared" si="109"/>
        <v>2.4487103102856436</v>
      </c>
      <c r="I885" s="10">
        <f t="shared" si="110"/>
        <v>1.0884643699202896</v>
      </c>
      <c r="J885" s="4">
        <f t="shared" si="111"/>
        <v>247.83370277065211</v>
      </c>
      <c r="K885" s="4">
        <f t="shared" si="107"/>
        <v>55.71550352291986</v>
      </c>
      <c r="L885" s="45">
        <f>Pressure!Q885</f>
        <v>1.9828545052289748</v>
      </c>
      <c r="M885" s="10">
        <f t="shared" si="108"/>
        <v>0.45602893538673639</v>
      </c>
    </row>
    <row r="886" spans="3:13">
      <c r="C886" s="4">
        <f>Pressure!AB886*1000000</f>
        <v>960986.93147896254</v>
      </c>
      <c r="D886" s="86">
        <f t="shared" si="113"/>
        <v>2.214727558899525E-4</v>
      </c>
      <c r="E886" s="40">
        <f t="shared" si="114"/>
        <v>221.47275588995251</v>
      </c>
      <c r="G886" s="4">
        <f t="shared" si="112"/>
        <v>101000</v>
      </c>
      <c r="H886" s="45">
        <f t="shared" si="109"/>
        <v>2.3367819181520182</v>
      </c>
      <c r="I886" s="10">
        <f t="shared" si="110"/>
        <v>1.074521708763891</v>
      </c>
      <c r="J886" s="4">
        <f t="shared" si="111"/>
        <v>228.69306001233886</v>
      </c>
      <c r="K886" s="4">
        <f t="shared" si="107"/>
        <v>51.412494944548101</v>
      </c>
      <c r="L886" s="45">
        <f>Pressure!Q886</f>
        <v>1.9846210421118613</v>
      </c>
      <c r="M886" s="10">
        <f t="shared" si="108"/>
        <v>0.42090105106933617</v>
      </c>
    </row>
    <row r="887" spans="3:13">
      <c r="C887" s="4">
        <f>Pressure!AB887*1000000</f>
        <v>898274.61128349137</v>
      </c>
      <c r="D887" s="86">
        <f t="shared" si="113"/>
        <v>2.214727558899525E-4</v>
      </c>
      <c r="E887" s="40">
        <f t="shared" si="114"/>
        <v>221.47275588995251</v>
      </c>
      <c r="G887" s="4">
        <f t="shared" si="112"/>
        <v>101000</v>
      </c>
      <c r="H887" s="45">
        <f t="shared" si="109"/>
        <v>2.2309652154527226</v>
      </c>
      <c r="I887" s="10">
        <f t="shared" si="110"/>
        <v>1.0602842955866425</v>
      </c>
      <c r="J887" s="4">
        <f t="shared" si="111"/>
        <v>210.93651364679724</v>
      </c>
      <c r="K887" s="4">
        <f t="shared" si="107"/>
        <v>47.420645125398416</v>
      </c>
      <c r="L887" s="45">
        <f>Pressure!Q887</f>
        <v>1.9863875789947478</v>
      </c>
      <c r="M887" s="10">
        <f t="shared" si="108"/>
        <v>0.38831092833827152</v>
      </c>
    </row>
    <row r="888" spans="3:13">
      <c r="C888" s="4">
        <f>Pressure!AB888*1000000</f>
        <v>839654.78701639536</v>
      </c>
      <c r="D888" s="86">
        <f t="shared" si="113"/>
        <v>2.214727558899525E-4</v>
      </c>
      <c r="E888" s="40">
        <f t="shared" si="114"/>
        <v>221.47275588995251</v>
      </c>
      <c r="G888" s="4">
        <f t="shared" si="112"/>
        <v>101000</v>
      </c>
      <c r="H888" s="45">
        <f t="shared" si="109"/>
        <v>2.1309511184961756</v>
      </c>
      <c r="I888" s="10">
        <f t="shared" si="110"/>
        <v>1.0457392060816424</v>
      </c>
      <c r="J888" s="4">
        <f t="shared" si="111"/>
        <v>194.46635261274349</v>
      </c>
      <c r="K888" s="4">
        <f t="shared" si="107"/>
        <v>43.717987638312913</v>
      </c>
      <c r="L888" s="45">
        <f>Pressure!Q888</f>
        <v>1.9881541158776344</v>
      </c>
      <c r="M888" s="10">
        <f t="shared" si="108"/>
        <v>0.35807955783769629</v>
      </c>
    </row>
    <row r="889" spans="3:13">
      <c r="C889" s="4">
        <f>Pressure!AB889*1000000</f>
        <v>784860.38957751077</v>
      </c>
      <c r="D889" s="86">
        <f t="shared" si="113"/>
        <v>2.214727558899525E-4</v>
      </c>
      <c r="E889" s="40">
        <f t="shared" si="114"/>
        <v>221.47275588995251</v>
      </c>
      <c r="G889" s="4">
        <f t="shared" si="112"/>
        <v>101000</v>
      </c>
      <c r="H889" s="45">
        <f t="shared" si="109"/>
        <v>2.0364496146116955</v>
      </c>
      <c r="I889" s="10">
        <f t="shared" si="110"/>
        <v>1.0308725115449502</v>
      </c>
      <c r="J889" s="4">
        <f t="shared" si="111"/>
        <v>179.19161376075539</v>
      </c>
      <c r="K889" s="4">
        <f t="shared" si="107"/>
        <v>40.284073054438963</v>
      </c>
      <c r="L889" s="45">
        <f>Pressure!Q889</f>
        <v>1.9899206527605209</v>
      </c>
      <c r="M889" s="10">
        <f t="shared" si="108"/>
        <v>0.33004028959157972</v>
      </c>
    </row>
    <row r="890" spans="3:13">
      <c r="C890" s="4">
        <f>Pressure!AB890*1000000</f>
        <v>733641.77832732815</v>
      </c>
      <c r="D890" s="86">
        <f t="shared" si="113"/>
        <v>2.214727558899525E-4</v>
      </c>
      <c r="E890" s="40">
        <f t="shared" si="114"/>
        <v>221.47275588995251</v>
      </c>
      <c r="G890" s="4">
        <f t="shared" si="112"/>
        <v>101000</v>
      </c>
      <c r="H890" s="45">
        <f t="shared" si="109"/>
        <v>1.9471890188393022</v>
      </c>
      <c r="I890" s="10">
        <f t="shared" si="110"/>
        <v>1.0156691636831516</v>
      </c>
      <c r="J890" s="4">
        <f t="shared" si="111"/>
        <v>165.0276183097792</v>
      </c>
      <c r="K890" s="4">
        <f t="shared" si="107"/>
        <v>37.099864734000093</v>
      </c>
      <c r="L890" s="45">
        <f>Pressure!Q890</f>
        <v>1.9916871896434074</v>
      </c>
      <c r="M890" s="10">
        <f t="shared" si="108"/>
        <v>0.30403798462573811</v>
      </c>
    </row>
    <row r="891" spans="3:13">
      <c r="C891" s="4">
        <f>Pressure!AB891*1000000</f>
        <v>685765.60373624263</v>
      </c>
      <c r="D891" s="86">
        <f t="shared" si="113"/>
        <v>2.214727558899525E-4</v>
      </c>
      <c r="E891" s="40">
        <f t="shared" si="114"/>
        <v>221.47275588995251</v>
      </c>
      <c r="G891" s="4">
        <f t="shared" si="112"/>
        <v>101000</v>
      </c>
      <c r="H891" s="45">
        <f t="shared" si="109"/>
        <v>1.862915331086614</v>
      </c>
      <c r="I891" s="10">
        <f t="shared" si="110"/>
        <v>1.0001128617355126</v>
      </c>
      <c r="J891" s="4">
        <f t="shared" si="111"/>
        <v>151.89553941360532</v>
      </c>
      <c r="K891" s="4">
        <f t="shared" si="107"/>
        <v>34.147641610899989</v>
      </c>
      <c r="L891" s="45">
        <f>Pressure!Q891</f>
        <v>1.9934537265262939</v>
      </c>
      <c r="M891" s="10">
        <f t="shared" si="108"/>
        <v>0.27992822357961139</v>
      </c>
    </row>
    <row r="892" spans="3:13">
      <c r="C892" s="4">
        <f>Pressure!AB892*1000000</f>
        <v>641013.74425532168</v>
      </c>
      <c r="D892" s="86">
        <f t="shared" si="113"/>
        <v>2.214727558899525E-4</v>
      </c>
      <c r="E892" s="40">
        <f t="shared" si="114"/>
        <v>221.47275588995251</v>
      </c>
      <c r="G892" s="4">
        <f t="shared" si="112"/>
        <v>101000</v>
      </c>
      <c r="H892" s="45">
        <f t="shared" si="109"/>
        <v>1.7833917017088809</v>
      </c>
      <c r="I892" s="10">
        <f t="shared" si="110"/>
        <v>0.98418589846451721</v>
      </c>
      <c r="J892" s="4">
        <f t="shared" si="111"/>
        <v>139.72199867778389</v>
      </c>
      <c r="K892" s="4">
        <f t="shared" si="107"/>
        <v>31.410907485675978</v>
      </c>
      <c r="L892" s="45">
        <f>Pressure!Q892</f>
        <v>1.9952202634091805</v>
      </c>
      <c r="M892" s="10">
        <f t="shared" si="108"/>
        <v>0.25757656836750281</v>
      </c>
    </row>
    <row r="893" spans="3:13">
      <c r="C893" s="4">
        <f>Pressure!AB893*1000000</f>
        <v>599182.31256501714</v>
      </c>
      <c r="D893" s="86">
        <f t="shared" si="113"/>
        <v>2.214727558899525E-4</v>
      </c>
      <c r="E893" s="40">
        <f t="shared" si="114"/>
        <v>221.47275588995251</v>
      </c>
      <c r="G893" s="4">
        <f t="shared" si="112"/>
        <v>101000</v>
      </c>
      <c r="H893" s="45">
        <f t="shared" si="109"/>
        <v>1.7083980167988078</v>
      </c>
      <c r="I893" s="10">
        <f t="shared" si="110"/>
        <v>0.9678689807444345</v>
      </c>
      <c r="J893" s="4">
        <f t="shared" si="111"/>
        <v>128.43868959650541</v>
      </c>
      <c r="K893" s="4">
        <f t="shared" si="107"/>
        <v>28.874306370330789</v>
      </c>
      <c r="L893" s="45">
        <f>Pressure!Q893</f>
        <v>1.996986800292067</v>
      </c>
      <c r="M893" s="10">
        <f t="shared" si="108"/>
        <v>0.23685787318838433</v>
      </c>
    </row>
    <row r="894" spans="3:13">
      <c r="C894" s="4">
        <f>Pressure!AB894*1000000</f>
        <v>560080.72667434288</v>
      </c>
      <c r="D894" s="86">
        <f t="shared" si="113"/>
        <v>2.214727558899525E-4</v>
      </c>
      <c r="E894" s="40">
        <f t="shared" si="114"/>
        <v>221.47275588995251</v>
      </c>
      <c r="G894" s="4">
        <f t="shared" si="112"/>
        <v>101000</v>
      </c>
      <c r="H894" s="45">
        <f t="shared" si="109"/>
        <v>1.6377306188546235</v>
      </c>
      <c r="I894" s="10">
        <f t="shared" si="110"/>
        <v>0.95114101941705553</v>
      </c>
      <c r="J894" s="4">
        <f t="shared" si="111"/>
        <v>117.98202599485325</v>
      </c>
      <c r="K894" s="4">
        <f t="shared" si="107"/>
        <v>26.523543454622825</v>
      </c>
      <c r="L894" s="45">
        <f>Pressure!Q894</f>
        <v>1.9987533371749535</v>
      </c>
      <c r="M894" s="10">
        <f t="shared" si="108"/>
        <v>0.21765564139971305</v>
      </c>
    </row>
    <row r="895" spans="3:13">
      <c r="C895" s="4">
        <f>Pressure!AB895*1000000</f>
        <v>523530.84163848951</v>
      </c>
      <c r="D895" s="86">
        <f t="shared" si="113"/>
        <v>2.214727558899525E-4</v>
      </c>
      <c r="E895" s="40">
        <f t="shared" si="114"/>
        <v>221.47275588995251</v>
      </c>
      <c r="G895" s="4">
        <f t="shared" si="112"/>
        <v>101000</v>
      </c>
      <c r="H895" s="45">
        <f t="shared" si="109"/>
        <v>1.5712021843420318</v>
      </c>
      <c r="I895" s="10">
        <f t="shared" si="110"/>
        <v>0.93397888170694021</v>
      </c>
      <c r="J895" s="4">
        <f t="shared" si="111"/>
        <v>108.29281366384613</v>
      </c>
      <c r="K895" s="4">
        <f t="shared" si="107"/>
        <v>24.345311286328432</v>
      </c>
      <c r="L895" s="45">
        <f>Pressure!Q895</f>
        <v>2.00051987405784</v>
      </c>
      <c r="M895" s="10">
        <f t="shared" si="108"/>
        <v>0.19986142496316373</v>
      </c>
    </row>
    <row r="896" spans="3:13">
      <c r="C896" s="4">
        <f>Pressure!AB896*1000000</f>
        <v>489366.13793902384</v>
      </c>
      <c r="D896" s="86">
        <f t="shared" si="113"/>
        <v>2.214727558899525E-4</v>
      </c>
      <c r="E896" s="40">
        <f t="shared" si="114"/>
        <v>221.47275588995251</v>
      </c>
      <c r="G896" s="4">
        <f t="shared" si="112"/>
        <v>101000</v>
      </c>
      <c r="H896" s="45">
        <f t="shared" si="109"/>
        <v>1.5086417875781488</v>
      </c>
      <c r="I896" s="10">
        <f t="shared" si="110"/>
        <v>0.91635709768400142</v>
      </c>
      <c r="J896" s="4">
        <f t="shared" si="111"/>
        <v>99.315943462567006</v>
      </c>
      <c r="K896" s="4">
        <f t="shared" si="107"/>
        <v>22.327220777520573</v>
      </c>
      <c r="L896" s="45">
        <f>Pressure!Q896</f>
        <v>2.0022864109407266</v>
      </c>
      <c r="M896" s="10">
        <f t="shared" si="108"/>
        <v>0.18337426333701995</v>
      </c>
    </row>
    <row r="897" spans="3:13">
      <c r="C897" s="4">
        <f>Pressure!AB897*1000000</f>
        <v>457430.96282897063</v>
      </c>
      <c r="D897" s="86">
        <f t="shared" si="113"/>
        <v>2.214727558899525E-4</v>
      </c>
      <c r="E897" s="40">
        <f t="shared" si="114"/>
        <v>221.47275588995251</v>
      </c>
      <c r="G897" s="4">
        <f t="shared" si="112"/>
        <v>101000</v>
      </c>
      <c r="H897" s="45">
        <f t="shared" si="109"/>
        <v>1.4498951912238098</v>
      </c>
      <c r="I897" s="10">
        <f t="shared" si="110"/>
        <v>0.89824750987177826</v>
      </c>
      <c r="J897" s="4">
        <f t="shared" si="111"/>
        <v>91.000104231326517</v>
      </c>
      <c r="K897" s="4">
        <f t="shared" si="107"/>
        <v>20.457736664566909</v>
      </c>
      <c r="L897" s="45">
        <f>Pressure!Q897</f>
        <v>2.0040529478236131</v>
      </c>
      <c r="M897" s="10">
        <f t="shared" si="108"/>
        <v>0.16810015882822713</v>
      </c>
    </row>
    <row r="898" spans="3:13">
      <c r="C898" s="4">
        <f>Pressure!AB898*1000000</f>
        <v>427579.82118638419</v>
      </c>
      <c r="D898" s="86">
        <f t="shared" si="113"/>
        <v>2.214727558899525E-4</v>
      </c>
      <c r="E898" s="40">
        <f t="shared" si="114"/>
        <v>221.47275588995251</v>
      </c>
      <c r="G898" s="4">
        <f t="shared" si="112"/>
        <v>101000</v>
      </c>
      <c r="H898" s="45">
        <f t="shared" si="109"/>
        <v>1.3948254187862095</v>
      </c>
      <c r="I898" s="10">
        <f t="shared" si="110"/>
        <v>0.8796188519005752</v>
      </c>
      <c r="J898" s="4">
        <f t="shared" si="111"/>
        <v>83.297513908940331</v>
      </c>
      <c r="K898" s="4">
        <f t="shared" si="107"/>
        <v>18.726117060595371</v>
      </c>
      <c r="L898" s="45">
        <f>Pressure!Q898</f>
        <v>2.0058194847064996</v>
      </c>
      <c r="M898" s="10">
        <f t="shared" si="108"/>
        <v>0.15395158552202659</v>
      </c>
    </row>
    <row r="899" spans="3:13">
      <c r="C899" s="4">
        <f>Pressure!AB899*1000000</f>
        <v>399676.71264556854</v>
      </c>
      <c r="D899" s="86">
        <f t="shared" si="113"/>
        <v>2.214727558899525E-4</v>
      </c>
      <c r="E899" s="40">
        <f t="shared" si="114"/>
        <v>221.47275588995251</v>
      </c>
      <c r="G899" s="4">
        <f t="shared" si="112"/>
        <v>101000</v>
      </c>
      <c r="H899" s="45">
        <f t="shared" si="109"/>
        <v>1.343313685891558</v>
      </c>
      <c r="I899" s="10">
        <f t="shared" si="110"/>
        <v>0.86043623776974443</v>
      </c>
      <c r="J899" s="4">
        <f t="shared" si="111"/>
        <v>76.163667270698056</v>
      </c>
      <c r="K899" s="4">
        <f t="shared" si="107"/>
        <v>17.122356744457996</v>
      </c>
      <c r="L899" s="45">
        <f>Pressure!Q899</f>
        <v>2.0075860215893861</v>
      </c>
      <c r="M899" s="10">
        <f t="shared" si="108"/>
        <v>0.14084702897124107</v>
      </c>
    </row>
    <row r="900" spans="3:13">
      <c r="C900" s="4">
        <f>Pressure!AB900*1000000</f>
        <v>373594.51198595332</v>
      </c>
      <c r="D900" s="86">
        <f t="shared" si="113"/>
        <v>2.214727558899525E-4</v>
      </c>
      <c r="E900" s="40">
        <f t="shared" si="114"/>
        <v>221.47275588995251</v>
      </c>
      <c r="G900" s="4">
        <f t="shared" si="112"/>
        <v>101000</v>
      </c>
      <c r="H900" s="45">
        <f t="shared" si="109"/>
        <v>1.2952607977429169</v>
      </c>
      <c r="I900" s="10">
        <f t="shared" si="110"/>
        <v>0.84066053733284851</v>
      </c>
      <c r="J900" s="4">
        <f t="shared" si="111"/>
        <v>69.557098693631175</v>
      </c>
      <c r="K900" s="4">
        <f t="shared" si="107"/>
        <v>15.637133827982369</v>
      </c>
      <c r="L900" s="45">
        <f>Pressure!Q900</f>
        <v>2.0093525584722727</v>
      </c>
      <c r="M900" s="10">
        <f t="shared" si="108"/>
        <v>0.12871055383923163</v>
      </c>
    </row>
    <row r="901" spans="3:13">
      <c r="C901" s="4">
        <f>Pressure!AB901*1000000</f>
        <v>349214.389955702</v>
      </c>
      <c r="D901" s="86">
        <f t="shared" si="113"/>
        <v>2.214727558899525E-4</v>
      </c>
      <c r="E901" s="40">
        <f t="shared" si="114"/>
        <v>221.47275588995251</v>
      </c>
      <c r="G901" s="4">
        <f t="shared" si="112"/>
        <v>101000</v>
      </c>
      <c r="H901" s="45">
        <f t="shared" si="109"/>
        <v>1.2505891649240817</v>
      </c>
      <c r="I901" s="10">
        <f t="shared" si="110"/>
        <v>0.82024760533436614</v>
      </c>
      <c r="J901" s="4">
        <f t="shared" si="111"/>
        <v>63.439158300099351</v>
      </c>
      <c r="K901" s="4">
        <f t="shared" si="107"/>
        <v>14.261759430803325</v>
      </c>
      <c r="L901" s="45">
        <f>Pressure!Q901</f>
        <v>2.0111190953551592</v>
      </c>
      <c r="M901" s="10">
        <f t="shared" si="108"/>
        <v>0.11747139663264008</v>
      </c>
    </row>
    <row r="902" spans="3:13">
      <c r="C902" s="4">
        <f>Pressure!AB902*1000000</f>
        <v>326425.27189135569</v>
      </c>
      <c r="D902" s="86">
        <f t="shared" si="113"/>
        <v>2.214727558899525E-4</v>
      </c>
      <c r="E902" s="40">
        <f t="shared" si="114"/>
        <v>221.47275588995251</v>
      </c>
      <c r="G902" s="4">
        <f t="shared" si="112"/>
        <v>101000</v>
      </c>
      <c r="H902" s="45">
        <f t="shared" si="109"/>
        <v>1.2092456562177063</v>
      </c>
      <c r="I902" s="10">
        <f t="shared" si="110"/>
        <v>0.79914731961091889</v>
      </c>
      <c r="J902" s="4">
        <f t="shared" si="111"/>
        <v>57.773799710585692</v>
      </c>
      <c r="K902" s="4">
        <f t="shared" si="107"/>
        <v>12.988129965061304</v>
      </c>
      <c r="L902" s="45">
        <f>Pressure!Q902</f>
        <v>2.0128856322380457</v>
      </c>
      <c r="M902" s="10">
        <f t="shared" si="108"/>
        <v>0.10706358050482551</v>
      </c>
    </row>
    <row r="903" spans="3:13">
      <c r="C903" s="4">
        <f>Pressure!AB903*1000000</f>
        <v>305123.33166700753</v>
      </c>
      <c r="D903" s="86">
        <f t="shared" si="113"/>
        <v>2.214727558899525E-4</v>
      </c>
      <c r="E903" s="40">
        <f t="shared" si="114"/>
        <v>221.47275588995251</v>
      </c>
      <c r="G903" s="4">
        <f t="shared" si="112"/>
        <v>101000</v>
      </c>
      <c r="H903" s="45">
        <f t="shared" si="109"/>
        <v>1.1712056079307167</v>
      </c>
      <c r="I903" s="10">
        <f t="shared" si="110"/>
        <v>0.7773023672180156</v>
      </c>
      <c r="J903" s="4">
        <f t="shared" si="111"/>
        <v>52.527377421894371</v>
      </c>
      <c r="K903" s="4">
        <f t="shared" si="107"/>
        <v>11.808681583987765</v>
      </c>
      <c r="L903" s="45">
        <f>Pressure!Q903</f>
        <v>2.0146521691209323</v>
      </c>
      <c r="M903" s="10">
        <f t="shared" si="108"/>
        <v>9.7425548815162993E-2</v>
      </c>
    </row>
    <row r="904" spans="3:13">
      <c r="C904" s="4">
        <f>Pressure!AB904*1000000</f>
        <v>285211.51866746816</v>
      </c>
      <c r="D904" s="86">
        <f t="shared" si="113"/>
        <v>2.214727558899525E-4</v>
      </c>
      <c r="E904" s="40">
        <f t="shared" si="114"/>
        <v>221.47275588995251</v>
      </c>
      <c r="G904" s="4">
        <f t="shared" si="112"/>
        <v>101000</v>
      </c>
      <c r="H904" s="45">
        <f t="shared" si="109"/>
        <v>1.1364784654247126</v>
      </c>
      <c r="I904" s="10">
        <f t="shared" si="110"/>
        <v>0.7546466925421671</v>
      </c>
      <c r="J904" s="4">
        <f t="shared" si="111"/>
        <v>47.668451469215256</v>
      </c>
      <c r="K904" s="4">
        <f t="shared" si="107"/>
        <v>10.716346267976991</v>
      </c>
      <c r="L904" s="45">
        <f>Pressure!Q904</f>
        <v>2.0164187060038188</v>
      </c>
      <c r="M904" s="10">
        <f t="shared" si="108"/>
        <v>8.8499813623766313E-2</v>
      </c>
    </row>
    <row r="905" spans="3:13">
      <c r="C905" s="4">
        <f>Pressure!AB905*1000000</f>
        <v>266599.11563032836</v>
      </c>
      <c r="D905" s="86">
        <f t="shared" si="113"/>
        <v>2.214727558899525E-4</v>
      </c>
      <c r="E905" s="40">
        <f t="shared" si="114"/>
        <v>221.47275588995251</v>
      </c>
      <c r="G905" s="4">
        <f t="shared" si="112"/>
        <v>101000</v>
      </c>
      <c r="H905" s="45">
        <f t="shared" si="109"/>
        <v>1.1051157804396603</v>
      </c>
      <c r="I905" s="10">
        <f t="shared" si="110"/>
        <v>0.73110348448567097</v>
      </c>
      <c r="J905" s="4">
        <f t="shared" si="111"/>
        <v>43.167596449675479</v>
      </c>
      <c r="K905" s="4">
        <f t="shared" si="107"/>
        <v>9.7045088911639485</v>
      </c>
      <c r="L905" s="45">
        <f>Pressure!Q905</f>
        <v>2.0181852428867053</v>
      </c>
      <c r="M905" s="10">
        <f t="shared" si="108"/>
        <v>8.0232614472184202E-2</v>
      </c>
    </row>
    <row r="906" spans="3:13">
      <c r="C906" s="4">
        <f>Pressure!AB906*1000000</f>
        <v>249201.32534247497</v>
      </c>
      <c r="D906" s="86">
        <f t="shared" si="113"/>
        <v>2.214727558899525E-4</v>
      </c>
      <c r="E906" s="40">
        <f t="shared" si="114"/>
        <v>221.47275588995251</v>
      </c>
      <c r="G906" s="4">
        <f t="shared" si="112"/>
        <v>101000</v>
      </c>
      <c r="H906" s="45">
        <f t="shared" si="109"/>
        <v>1.0772226918865961</v>
      </c>
      <c r="I906" s="10">
        <f t="shared" si="110"/>
        <v>0.70658252316042069</v>
      </c>
      <c r="J906" s="4">
        <f t="shared" si="111"/>
        <v>38.997211045294456</v>
      </c>
      <c r="K906" s="4">
        <f t="shared" si="107"/>
        <v>8.7669644002730216</v>
      </c>
      <c r="L906" s="45">
        <f>Pressure!Q906</f>
        <v>2.0199517797695918</v>
      </c>
      <c r="M906" s="10">
        <f t="shared" si="108"/>
        <v>7.2573581457567871E-2</v>
      </c>
    </row>
    <row r="907" spans="3:13">
      <c r="C907" s="4">
        <f>Pressure!AB907*1000000</f>
        <v>232938.88430806724</v>
      </c>
      <c r="D907" s="86">
        <f t="shared" si="113"/>
        <v>2.214727558899525E-4</v>
      </c>
      <c r="E907" s="40">
        <f t="shared" si="114"/>
        <v>221.47275588995251</v>
      </c>
      <c r="G907" s="4">
        <f t="shared" si="112"/>
        <v>101000</v>
      </c>
      <c r="H907" s="45">
        <f t="shared" si="109"/>
        <v>1.0529746966663731</v>
      </c>
      <c r="I907" s="10">
        <f t="shared" si="110"/>
        <v>0.68097661740616944</v>
      </c>
      <c r="J907" s="4">
        <f t="shared" si="111"/>
        <v>35.131322647523518</v>
      </c>
      <c r="K907" s="4">
        <f t="shared" si="107"/>
        <v>7.8978738922538376</v>
      </c>
      <c r="L907" s="45">
        <f>Pressure!Q907</f>
        <v>2.0217183166524784</v>
      </c>
      <c r="M907" s="10">
        <f t="shared" si="108"/>
        <v>6.5475394421329769E-2</v>
      </c>
    </row>
    <row r="908" spans="3:13">
      <c r="C908" s="4">
        <f>Pressure!AB908*1000000</f>
        <v>217737.70162786028</v>
      </c>
      <c r="D908" s="86">
        <f t="shared" si="113"/>
        <v>2.214727558899525E-4</v>
      </c>
      <c r="E908" s="40">
        <f t="shared" si="114"/>
        <v>221.47275588995251</v>
      </c>
      <c r="G908" s="4">
        <f t="shared" si="112"/>
        <v>101000</v>
      </c>
      <c r="H908" s="45">
        <f t="shared" si="109"/>
        <v>1.0326426973375333</v>
      </c>
      <c r="I908" s="10">
        <f t="shared" si="110"/>
        <v>0.65415671999211666</v>
      </c>
      <c r="J908" s="4">
        <f t="shared" si="111"/>
        <v>31.545379125092385</v>
      </c>
      <c r="K908" s="4">
        <f t="shared" si="107"/>
        <v>7.0917178016034317</v>
      </c>
      <c r="L908" s="45">
        <f>Pressure!Q908</f>
        <v>2.0234848535353649</v>
      </c>
      <c r="M908" s="10">
        <f t="shared" si="108"/>
        <v>5.8893426455275726E-2</v>
      </c>
    </row>
    <row r="909" spans="3:13">
      <c r="C909" s="4">
        <f>Pressure!AB909*1000000</f>
        <v>203528.52144463177</v>
      </c>
      <c r="D909" s="86">
        <f t="shared" si="113"/>
        <v>2.214727558899525E-4</v>
      </c>
      <c r="E909" s="40">
        <f t="shared" si="114"/>
        <v>221.47275588995251</v>
      </c>
      <c r="G909" s="4">
        <f t="shared" si="112"/>
        <v>101000</v>
      </c>
      <c r="H909" s="45">
        <f t="shared" si="109"/>
        <v>1.0166314474822122</v>
      </c>
      <c r="I909" s="10">
        <f t="shared" si="110"/>
        <v>0.62596506505528549</v>
      </c>
      <c r="J909" s="4">
        <f t="shared" si="111"/>
        <v>28.216015385784619</v>
      </c>
      <c r="K909" s="4">
        <f t="shared" si="107"/>
        <v>6.3432434211107012</v>
      </c>
      <c r="L909" s="45">
        <f>Pressure!Q909</f>
        <v>2.0252513904182514</v>
      </c>
      <c r="M909" s="10">
        <f t="shared" si="108"/>
        <v>5.278535378809833E-2</v>
      </c>
    </row>
    <row r="910" spans="3:13">
      <c r="C910" s="4">
        <f>Pressure!AB910*1000000</f>
        <v>0</v>
      </c>
      <c r="D910" s="86">
        <f t="shared" si="113"/>
        <v>2.214727558899525E-4</v>
      </c>
      <c r="E910" s="40">
        <f t="shared" si="114"/>
        <v>221.47275588995251</v>
      </c>
      <c r="G910" s="4">
        <f t="shared" si="112"/>
        <v>101000</v>
      </c>
      <c r="H910" s="45">
        <v>1</v>
      </c>
      <c r="I910" s="62">
        <f>I909</f>
        <v>0.62596506505528549</v>
      </c>
      <c r="J910" s="4">
        <f t="shared" si="111"/>
        <v>0</v>
      </c>
      <c r="K910" s="4">
        <f t="shared" si="107"/>
        <v>0</v>
      </c>
      <c r="L910" s="45">
        <f>Pressure!Q910</f>
        <v>2.0270179273011379</v>
      </c>
      <c r="M910" s="10">
        <f t="shared" si="108"/>
        <v>2.4922315933541123E-2</v>
      </c>
    </row>
    <row r="911" spans="3:13">
      <c r="L911" s="63">
        <f>SUM(M28:M910)</f>
        <v>3501.5342970019656</v>
      </c>
    </row>
  </sheetData>
  <sheetProtection password="C7BC" sheet="1"/>
  <customSheetViews>
    <customSheetView guid="{136183A0-5E83-4B15-A2A6-F3C23DCC406A}" showGridLines="0" printArea="1">
      <selection activeCell="C11" sqref="C11"/>
      <pageMargins left="0.75" right="0.75" top="1" bottom="1" header="0.5" footer="0.5"/>
      <pageSetup orientation="landscape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pageMargins left="0.75" right="0.75" top="1" bottom="1" header="0.5" footer="0.5"/>
  <pageSetup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Button 1">
              <controlPr defaultSize="0" print="0" autoFill="0" autoPict="0" macro="[0]!Macro4">
                <anchor moveWithCells="1" sizeWithCells="1">
                  <from>
                    <xdr:col>4</xdr:col>
                    <xdr:colOff>289560</xdr:colOff>
                    <xdr:row>20</xdr:row>
                    <xdr:rowOff>0</xdr:rowOff>
                  </from>
                  <to>
                    <xdr:col>5</xdr:col>
                    <xdr:colOff>746760</xdr:colOff>
                    <xdr:row>22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621E-FB4F-4891-B52C-8B72AD550518}">
  <sheetPr>
    <tabColor theme="8" tint="0.39997558519241921"/>
  </sheetPr>
  <dimension ref="B2:AB29"/>
  <sheetViews>
    <sheetView showGridLines="0" zoomScaleNormal="100" workbookViewId="0">
      <selection activeCell="C5" sqref="C5"/>
    </sheetView>
  </sheetViews>
  <sheetFormatPr defaultColWidth="8.77734375" defaultRowHeight="13.2"/>
  <cols>
    <col min="1" max="1" width="5.77734375" style="352" customWidth="1"/>
    <col min="2" max="4" width="8.77734375" style="352" customWidth="1"/>
    <col min="5" max="5" width="26.21875" style="352" customWidth="1"/>
    <col min="6" max="6" width="21.44140625" style="352" customWidth="1"/>
    <col min="7" max="16384" width="8.77734375" style="352"/>
  </cols>
  <sheetData>
    <row r="2" spans="2:28">
      <c r="B2" s="353" t="s">
        <v>501</v>
      </c>
      <c r="Y2" s="354"/>
    </row>
    <row r="4" spans="2:28">
      <c r="Y4" s="354"/>
      <c r="AB4" s="355"/>
    </row>
    <row r="5" spans="2:28">
      <c r="B5" s="356" t="s">
        <v>507</v>
      </c>
      <c r="C5" s="351">
        <v>35</v>
      </c>
      <c r="D5" s="354" t="s">
        <v>508</v>
      </c>
      <c r="E5" s="354" t="s">
        <v>510</v>
      </c>
      <c r="F5" s="391"/>
      <c r="G5" s="367"/>
      <c r="H5" s="355"/>
    </row>
    <row r="6" spans="2:28">
      <c r="B6" s="356" t="s">
        <v>506</v>
      </c>
      <c r="C6" s="351">
        <v>12</v>
      </c>
      <c r="D6" s="354" t="s">
        <v>508</v>
      </c>
      <c r="E6" s="354" t="s">
        <v>509</v>
      </c>
      <c r="F6" s="391"/>
      <c r="G6" s="367"/>
      <c r="Y6" s="356"/>
      <c r="AA6" s="355"/>
    </row>
    <row r="7" spans="2:28">
      <c r="B7" s="356"/>
      <c r="C7" s="390"/>
      <c r="D7" s="354"/>
      <c r="E7" s="354"/>
      <c r="F7" s="391"/>
      <c r="G7" s="367"/>
      <c r="Y7" s="356"/>
      <c r="AA7" s="355"/>
    </row>
    <row r="8" spans="2:28">
      <c r="F8" s="392" t="s">
        <v>518</v>
      </c>
      <c r="G8" s="367"/>
      <c r="Y8" s="356"/>
    </row>
    <row r="9" spans="2:28">
      <c r="B9" s="356" t="s">
        <v>0</v>
      </c>
      <c r="C9" s="352">
        <f>dc</f>
        <v>75</v>
      </c>
      <c r="D9" s="354" t="s">
        <v>2</v>
      </c>
      <c r="E9" s="354" t="s">
        <v>502</v>
      </c>
      <c r="F9" s="393" t="s">
        <v>310</v>
      </c>
      <c r="G9" s="367"/>
      <c r="X9" s="357"/>
      <c r="Y9" s="358">
        <f>C6/180*PI()</f>
        <v>0.20943951023931953</v>
      </c>
      <c r="Z9" s="359" t="s">
        <v>506</v>
      </c>
      <c r="AA9" s="360"/>
      <c r="AB9" s="361"/>
    </row>
    <row r="10" spans="2:28">
      <c r="B10" s="356" t="s">
        <v>516</v>
      </c>
      <c r="C10" s="362">
        <f>dto</f>
        <v>16.7924944805876</v>
      </c>
      <c r="D10" s="354" t="s">
        <v>2</v>
      </c>
      <c r="E10" s="354" t="s">
        <v>503</v>
      </c>
      <c r="F10" s="393" t="s">
        <v>310</v>
      </c>
      <c r="G10" s="367"/>
      <c r="X10" s="363"/>
      <c r="Y10" s="364">
        <f>C5/180*PI()</f>
        <v>0.6108652381980153</v>
      </c>
      <c r="Z10" s="365" t="s">
        <v>507</v>
      </c>
      <c r="AA10" s="366"/>
      <c r="AB10" s="361"/>
    </row>
    <row r="11" spans="2:28">
      <c r="B11" s="355" t="s">
        <v>203</v>
      </c>
      <c r="C11" s="362">
        <f>Performance!C11</f>
        <v>47.496346881044651</v>
      </c>
      <c r="D11" s="354" t="s">
        <v>2</v>
      </c>
      <c r="E11" s="354" t="s">
        <v>204</v>
      </c>
      <c r="F11" s="393" t="s">
        <v>307</v>
      </c>
      <c r="G11" s="367"/>
      <c r="X11" s="363"/>
      <c r="Y11" s="367"/>
      <c r="Z11" s="367"/>
      <c r="AA11" s="366"/>
      <c r="AB11" s="361"/>
    </row>
    <row r="12" spans="2:28">
      <c r="B12" s="356" t="s">
        <v>504</v>
      </c>
      <c r="C12" s="362">
        <f>SQRT(Performance!C13)*C10</f>
        <v>49.772267176400767</v>
      </c>
      <c r="D12" s="354" t="s">
        <v>2</v>
      </c>
      <c r="E12" s="354" t="s">
        <v>505</v>
      </c>
      <c r="F12" s="393" t="s">
        <v>307</v>
      </c>
      <c r="G12" s="367"/>
      <c r="X12" s="363"/>
      <c r="Y12" s="368" t="s">
        <v>511</v>
      </c>
      <c r="Z12" s="368"/>
      <c r="AA12" s="366"/>
      <c r="AB12" s="361"/>
    </row>
    <row r="13" spans="2:28">
      <c r="B13" s="355"/>
      <c r="F13" s="367"/>
      <c r="G13" s="367"/>
      <c r="X13" s="369" t="s">
        <v>496</v>
      </c>
      <c r="Y13" s="370" t="s">
        <v>497</v>
      </c>
      <c r="Z13" s="370" t="s">
        <v>498</v>
      </c>
      <c r="AA13" s="371" t="s">
        <v>499</v>
      </c>
      <c r="AB13" s="372"/>
    </row>
    <row r="14" spans="2:28">
      <c r="B14" s="394" t="s">
        <v>1</v>
      </c>
      <c r="C14" s="395">
        <f>(dcplot-C10)/2/TAN(beta)</f>
        <v>41.564466492489728</v>
      </c>
      <c r="D14" s="354" t="s">
        <v>2</v>
      </c>
      <c r="E14" s="396" t="s">
        <v>513</v>
      </c>
      <c r="F14" s="367"/>
      <c r="G14" s="367"/>
      <c r="X14" s="363">
        <v>1</v>
      </c>
      <c r="Y14" s="368">
        <v>0</v>
      </c>
      <c r="Z14" s="373">
        <f>dcplot/2</f>
        <v>37.5</v>
      </c>
      <c r="AA14" s="374">
        <f>-Z14</f>
        <v>-37.5</v>
      </c>
      <c r="AB14" s="361"/>
    </row>
    <row r="15" spans="2:28">
      <c r="B15" s="394" t="s">
        <v>512</v>
      </c>
      <c r="C15" s="395">
        <f>(C11-C10)/2/TAN(alpha)</f>
        <v>72.225134240086291</v>
      </c>
      <c r="D15" s="354" t="s">
        <v>2</v>
      </c>
      <c r="E15" s="396" t="s">
        <v>514</v>
      </c>
      <c r="X15" s="363">
        <v>2</v>
      </c>
      <c r="Y15" s="373">
        <f>(C9-C10)/2/TAN(beta)</f>
        <v>41.564466492489728</v>
      </c>
      <c r="Z15" s="373">
        <f>C10/2</f>
        <v>8.3962472402937998</v>
      </c>
      <c r="AA15" s="374">
        <f>-Z15</f>
        <v>-8.3962472402937998</v>
      </c>
      <c r="AB15" s="361"/>
    </row>
    <row r="16" spans="2:28">
      <c r="B16" s="394" t="s">
        <v>8</v>
      </c>
      <c r="C16" s="395">
        <f>C15+C14</f>
        <v>113.78960073257602</v>
      </c>
      <c r="D16" s="354" t="s">
        <v>2</v>
      </c>
      <c r="E16" s="396" t="s">
        <v>515</v>
      </c>
      <c r="X16" s="363">
        <v>3</v>
      </c>
      <c r="Y16" s="373">
        <f>((C11-C10)/2/TAN(alpha)+Y15)</f>
        <v>113.78960073257602</v>
      </c>
      <c r="Z16" s="373">
        <f>C11/2</f>
        <v>23.748173440522326</v>
      </c>
      <c r="AA16" s="374">
        <f>-Z16</f>
        <v>-23.748173440522326</v>
      </c>
      <c r="AB16" s="361"/>
    </row>
    <row r="17" spans="2:28">
      <c r="B17" s="355"/>
      <c r="X17" s="363">
        <v>4</v>
      </c>
      <c r="Y17" s="373">
        <f>((C12-C10)/2/TAN(alpha)+Y15)</f>
        <v>119.14328230672876</v>
      </c>
      <c r="Z17" s="373">
        <f>C12/2</f>
        <v>24.886133588200384</v>
      </c>
      <c r="AA17" s="374">
        <f>-Z17</f>
        <v>-24.886133588200384</v>
      </c>
      <c r="AB17" s="361"/>
    </row>
    <row r="18" spans="2:28">
      <c r="X18" s="363"/>
      <c r="Y18" s="373"/>
      <c r="Z18" s="373"/>
      <c r="AA18" s="366"/>
      <c r="AB18" s="361"/>
    </row>
    <row r="19" spans="2:28">
      <c r="B19" s="355"/>
      <c r="X19" s="363"/>
      <c r="Y19" s="373"/>
      <c r="Z19" s="373"/>
      <c r="AA19" s="366"/>
      <c r="AB19" s="361"/>
    </row>
    <row r="20" spans="2:28">
      <c r="B20" s="355"/>
      <c r="X20" s="363">
        <v>1</v>
      </c>
      <c r="Y20" s="373">
        <f t="shared" ref="Y20:AA23" si="0">Y14/dcplot</f>
        <v>0</v>
      </c>
      <c r="Z20" s="373">
        <f t="shared" si="0"/>
        <v>0.5</v>
      </c>
      <c r="AA20" s="374">
        <f t="shared" si="0"/>
        <v>-0.5</v>
      </c>
      <c r="AB20" s="361"/>
    </row>
    <row r="21" spans="2:28">
      <c r="B21" s="355"/>
      <c r="X21" s="363">
        <v>2</v>
      </c>
      <c r="Y21" s="373">
        <f t="shared" si="0"/>
        <v>0.55419288656652976</v>
      </c>
      <c r="Z21" s="373">
        <f t="shared" si="0"/>
        <v>0.11194996320391733</v>
      </c>
      <c r="AA21" s="374">
        <f t="shared" si="0"/>
        <v>-0.11194996320391733</v>
      </c>
      <c r="AB21" s="361"/>
    </row>
    <row r="22" spans="2:28">
      <c r="B22" s="355"/>
      <c r="X22" s="363">
        <v>3</v>
      </c>
      <c r="Y22" s="373">
        <f t="shared" si="0"/>
        <v>1.5171946764343469</v>
      </c>
      <c r="Z22" s="373">
        <f t="shared" si="0"/>
        <v>0.31664231254029768</v>
      </c>
      <c r="AA22" s="374">
        <f t="shared" si="0"/>
        <v>-0.31664231254029768</v>
      </c>
      <c r="AB22" s="361"/>
    </row>
    <row r="23" spans="2:28">
      <c r="B23" s="355"/>
      <c r="X23" s="363">
        <v>4</v>
      </c>
      <c r="Y23" s="373">
        <f t="shared" si="0"/>
        <v>1.5885770974230502</v>
      </c>
      <c r="Z23" s="373">
        <f t="shared" si="0"/>
        <v>0.33181511450933843</v>
      </c>
      <c r="AA23" s="374">
        <f t="shared" si="0"/>
        <v>-0.33181511450933843</v>
      </c>
      <c r="AB23" s="361"/>
    </row>
    <row r="24" spans="2:28">
      <c r="B24" s="355"/>
      <c r="X24" s="363"/>
      <c r="Y24" s="373">
        <f>Y22</f>
        <v>1.5171946764343469</v>
      </c>
      <c r="Z24" s="373">
        <f>Z22</f>
        <v>0.31664231254029768</v>
      </c>
      <c r="AA24" s="366"/>
      <c r="AB24" s="361"/>
    </row>
    <row r="25" spans="2:28">
      <c r="B25" s="355"/>
      <c r="X25" s="363"/>
      <c r="Y25" s="373">
        <f>Y22</f>
        <v>1.5171946764343469</v>
      </c>
      <c r="Z25" s="373">
        <f>-Z22</f>
        <v>-0.31664231254029768</v>
      </c>
      <c r="AA25" s="366"/>
      <c r="AB25" s="361"/>
    </row>
    <row r="26" spans="2:28">
      <c r="X26" s="363"/>
      <c r="Y26" s="373">
        <f>Y23</f>
        <v>1.5885770974230502</v>
      </c>
      <c r="Z26" s="373">
        <f>Z23</f>
        <v>0.33181511450933843</v>
      </c>
      <c r="AA26" s="366"/>
      <c r="AB26" s="361"/>
    </row>
    <row r="27" spans="2:28">
      <c r="X27" s="363"/>
      <c r="Y27" s="373">
        <f>Y23</f>
        <v>1.5885770974230502</v>
      </c>
      <c r="Z27" s="373">
        <f>-Z23</f>
        <v>-0.33181511450933843</v>
      </c>
      <c r="AA27" s="366"/>
      <c r="AB27" s="361"/>
    </row>
    <row r="28" spans="2:28">
      <c r="X28" s="363"/>
      <c r="Y28" s="373">
        <f>Y24</f>
        <v>1.5171946764343469</v>
      </c>
      <c r="Z28" s="368">
        <v>1</v>
      </c>
      <c r="AA28" s="366"/>
      <c r="AB28" s="361"/>
    </row>
    <row r="29" spans="2:28">
      <c r="X29" s="375"/>
      <c r="Y29" s="376">
        <f>Y25</f>
        <v>1.5171946764343469</v>
      </c>
      <c r="Z29" s="377">
        <v>-1</v>
      </c>
      <c r="AA29" s="378"/>
      <c r="AB29" s="361"/>
    </row>
  </sheetData>
  <sheetProtection password="C7BC" sheet="1" objects="1" scenarios="1"/>
  <phoneticPr fontId="0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4216-7E8E-4E52-BA12-35D9D695BA25}">
  <sheetPr codeName="Sheet9">
    <tabColor theme="8" tint="0.39997558519241921"/>
    <pageSetUpPr autoPageBreaks="0"/>
  </sheetPr>
  <dimension ref="B2:N53"/>
  <sheetViews>
    <sheetView showGridLines="0" zoomScale="110" zoomScaleNormal="110" workbookViewId="0">
      <selection activeCell="I10" sqref="I10"/>
    </sheetView>
  </sheetViews>
  <sheetFormatPr defaultRowHeight="13.2"/>
  <cols>
    <col min="1" max="1" width="2.21875" customWidth="1"/>
  </cols>
  <sheetData>
    <row r="2" spans="2:5">
      <c r="B2" s="82" t="s">
        <v>333</v>
      </c>
    </row>
    <row r="4" spans="2:5">
      <c r="B4" s="207" t="s">
        <v>335</v>
      </c>
    </row>
    <row r="5" spans="2:5">
      <c r="B5" s="207" t="s">
        <v>334</v>
      </c>
    </row>
    <row r="6" spans="2:5">
      <c r="B6" s="207"/>
    </row>
    <row r="7" spans="2:5">
      <c r="B7" s="209" t="str">
        <f>'Data and Kn'!C6</f>
        <v>Example Rocket Motor (L-Class)</v>
      </c>
      <c r="C7" s="210"/>
      <c r="D7" s="208"/>
      <c r="E7" s="176"/>
    </row>
    <row r="8" spans="2:5">
      <c r="B8" s="211" t="str">
        <f>'Data and Kn'!C7</f>
        <v>utilizing KNDX propellant.</v>
      </c>
      <c r="C8" s="212"/>
      <c r="D8" s="183"/>
      <c r="E8" s="180"/>
    </row>
    <row r="9" spans="2:5">
      <c r="B9" s="173"/>
      <c r="C9" s="174" t="s">
        <v>336</v>
      </c>
      <c r="D9" s="175">
        <f>mgrain</f>
        <v>2.8124459515941598</v>
      </c>
      <c r="E9" s="176" t="s">
        <v>28</v>
      </c>
    </row>
    <row r="10" spans="2:5">
      <c r="B10" s="177"/>
      <c r="C10" s="178"/>
      <c r="D10" s="179">
        <f>D9/0.4536</f>
        <v>6.2002776710629623</v>
      </c>
      <c r="E10" s="180" t="s">
        <v>338</v>
      </c>
    </row>
    <row r="11" spans="2:5">
      <c r="B11" s="173"/>
      <c r="C11" s="174" t="s">
        <v>176</v>
      </c>
      <c r="D11" s="181">
        <f>itot</f>
        <v>3501.5342970019656</v>
      </c>
      <c r="E11" s="176" t="s">
        <v>174</v>
      </c>
    </row>
    <row r="12" spans="2:5">
      <c r="B12" s="177"/>
      <c r="C12" s="178"/>
      <c r="D12" s="182">
        <f>D11/4.448</f>
        <v>787.21544446986627</v>
      </c>
      <c r="E12" s="180" t="s">
        <v>339</v>
      </c>
    </row>
    <row r="13" spans="2:5">
      <c r="B13" s="173"/>
      <c r="C13" s="174" t="s">
        <v>340</v>
      </c>
      <c r="D13" s="181">
        <f>Performance!K22</f>
        <v>1728.9381029773467</v>
      </c>
      <c r="E13" s="176" t="s">
        <v>168</v>
      </c>
    </row>
    <row r="14" spans="2:5">
      <c r="B14" s="177"/>
      <c r="C14" s="183"/>
      <c r="D14" s="182">
        <f>Performance!P22</f>
        <v>388.68263634219386</v>
      </c>
      <c r="E14" s="180" t="s">
        <v>338</v>
      </c>
    </row>
    <row r="15" spans="2:5">
      <c r="B15" s="184"/>
      <c r="C15" s="185" t="s">
        <v>341</v>
      </c>
      <c r="D15" s="186">
        <f>Performance!K23</f>
        <v>2.0252513904182514</v>
      </c>
      <c r="E15" s="187" t="s">
        <v>169</v>
      </c>
    </row>
    <row r="16" spans="2:5">
      <c r="B16" s="184"/>
      <c r="C16" s="185" t="s">
        <v>337</v>
      </c>
      <c r="D16" s="188">
        <f>Performance!C18</f>
        <v>126.96450111789696</v>
      </c>
      <c r="E16" s="187" t="s">
        <v>169</v>
      </c>
    </row>
    <row r="17" spans="2:14">
      <c r="B17" s="184"/>
      <c r="C17" s="185" t="s">
        <v>353</v>
      </c>
      <c r="D17" s="213" t="str">
        <f>Performance!C19</f>
        <v>L</v>
      </c>
      <c r="E17" s="214">
        <f>Performance!K22</f>
        <v>1728.9381029773467</v>
      </c>
    </row>
    <row r="19" spans="2:14">
      <c r="B19" s="430" t="s">
        <v>350</v>
      </c>
      <c r="C19" s="431"/>
      <c r="D19" s="431"/>
      <c r="E19" s="432"/>
    </row>
    <row r="20" spans="2:14">
      <c r="B20" s="201" t="s">
        <v>349</v>
      </c>
      <c r="C20" s="202">
        <f>N47</f>
        <v>9.56854419608444E-2</v>
      </c>
      <c r="D20" s="43" t="s">
        <v>348</v>
      </c>
      <c r="E20" s="203"/>
    </row>
    <row r="21" spans="2:14">
      <c r="B21" s="204"/>
      <c r="C21" s="205"/>
      <c r="D21" s="205"/>
      <c r="E21" s="206"/>
    </row>
    <row r="22" spans="2:14">
      <c r="B22" s="189" t="s">
        <v>342</v>
      </c>
      <c r="C22" s="191" t="s">
        <v>343</v>
      </c>
      <c r="D22" s="193" t="s">
        <v>345</v>
      </c>
      <c r="E22" s="195" t="s">
        <v>345</v>
      </c>
    </row>
    <row r="23" spans="2:14">
      <c r="B23" s="190"/>
      <c r="C23" s="192" t="s">
        <v>344</v>
      </c>
      <c r="D23" s="194" t="s">
        <v>346</v>
      </c>
      <c r="E23" s="196" t="s">
        <v>347</v>
      </c>
    </row>
    <row r="24" spans="2:14">
      <c r="B24" s="197">
        <v>1</v>
      </c>
      <c r="C24" s="198">
        <f>Performance!L28</f>
        <v>0</v>
      </c>
      <c r="D24" s="199">
        <f>Performance!J28</f>
        <v>0</v>
      </c>
      <c r="E24" s="200">
        <f>Performance!K28</f>
        <v>0</v>
      </c>
      <c r="H24" s="45"/>
    </row>
    <row r="25" spans="2:14">
      <c r="B25" s="197">
        <f>B24+1</f>
        <v>2</v>
      </c>
      <c r="C25" s="198">
        <f>Performance!L70</f>
        <v>0.13216739721887991</v>
      </c>
      <c r="D25" s="199">
        <f>Performance!J70</f>
        <v>1401.9066201734465</v>
      </c>
      <c r="E25" s="200">
        <f>Performance!K70</f>
        <v>315.16267707689548</v>
      </c>
      <c r="N25" s="346">
        <f t="shared" ref="N25:N46" si="0">C25-C24</f>
        <v>0.13216739721887991</v>
      </c>
    </row>
    <row r="26" spans="2:14">
      <c r="B26" s="197">
        <f t="shared" ref="B26:B45" si="1">B25+1</f>
        <v>3</v>
      </c>
      <c r="C26" s="198">
        <f>Performance!L71</f>
        <v>0.13479998096386012</v>
      </c>
      <c r="D26" s="199">
        <f>Performance!J71</f>
        <v>1405.8775988048385</v>
      </c>
      <c r="E26" s="200">
        <f>Performance!K71</f>
        <v>316.0553929240678</v>
      </c>
      <c r="N26" s="346">
        <f t="shared" si="0"/>
        <v>2.6325837449802103E-3</v>
      </c>
    </row>
    <row r="27" spans="2:14">
      <c r="B27" s="197">
        <f t="shared" si="1"/>
        <v>4</v>
      </c>
      <c r="C27" s="198">
        <f>Performance!L112</f>
        <v>0.23909601841983627</v>
      </c>
      <c r="D27" s="199">
        <f>Performance!J112</f>
        <v>1561.4628031491618</v>
      </c>
      <c r="E27" s="200">
        <f>Performance!K112</f>
        <v>351.0325082390994</v>
      </c>
      <c r="N27" s="347">
        <f t="shared" si="0"/>
        <v>0.10429603745597615</v>
      </c>
    </row>
    <row r="28" spans="2:14">
      <c r="B28" s="197">
        <f t="shared" si="1"/>
        <v>5</v>
      </c>
      <c r="C28" s="198">
        <f>Performance!L154</f>
        <v>0.33958711800376656</v>
      </c>
      <c r="D28" s="199">
        <f>Performance!J154</f>
        <v>1712.7859814408434</v>
      </c>
      <c r="E28" s="200">
        <f>Performance!K154</f>
        <v>385.05147732584942</v>
      </c>
      <c r="N28" s="347">
        <f t="shared" si="0"/>
        <v>0.10049109958393029</v>
      </c>
    </row>
    <row r="29" spans="2:14">
      <c r="B29" s="197">
        <f t="shared" si="1"/>
        <v>6</v>
      </c>
      <c r="C29" s="198">
        <f>Performance!L196</f>
        <v>0.43481499743339447</v>
      </c>
      <c r="D29" s="199">
        <f>Performance!J196</f>
        <v>1848.2422733135593</v>
      </c>
      <c r="E29" s="200">
        <f>Performance!K196</f>
        <v>415.50341111316021</v>
      </c>
      <c r="N29" s="347">
        <f t="shared" si="0"/>
        <v>9.5227879429627904E-2</v>
      </c>
    </row>
    <row r="30" spans="2:14">
      <c r="B30" s="197">
        <f t="shared" si="1"/>
        <v>7</v>
      </c>
      <c r="C30" s="198">
        <f>Performance!L238</f>
        <v>0.52855732155512936</v>
      </c>
      <c r="D30" s="199">
        <f>Performance!J238</f>
        <v>1883.941320269309</v>
      </c>
      <c r="E30" s="200">
        <f>Performance!K238</f>
        <v>423.52891512731196</v>
      </c>
      <c r="N30" s="347">
        <f t="shared" si="0"/>
        <v>9.3742324121734888E-2</v>
      </c>
    </row>
    <row r="31" spans="2:14">
      <c r="B31" s="197">
        <f t="shared" si="1"/>
        <v>8</v>
      </c>
      <c r="C31" s="198">
        <f>Performance!L280</f>
        <v>0.62251683145304293</v>
      </c>
      <c r="D31" s="199">
        <f>Performance!J280</f>
        <v>1912.9352272988185</v>
      </c>
      <c r="E31" s="200">
        <f>Performance!K280</f>
        <v>430.04703639647914</v>
      </c>
      <c r="N31" s="347">
        <f t="shared" si="0"/>
        <v>9.3959509897913573E-2</v>
      </c>
    </row>
    <row r="32" spans="2:14">
      <c r="B32" s="197">
        <f t="shared" si="1"/>
        <v>9</v>
      </c>
      <c r="C32" s="198">
        <f>Performance!L322</f>
        <v>0.71664958190908157</v>
      </c>
      <c r="D32" s="199">
        <f>Performance!J322</f>
        <v>1935.7953388399419</v>
      </c>
      <c r="E32" s="200">
        <f>Performance!K322</f>
        <v>435.18621888402993</v>
      </c>
      <c r="N32" s="347">
        <f t="shared" si="0"/>
        <v>9.4132750456038639E-2</v>
      </c>
    </row>
    <row r="33" spans="2:14">
      <c r="B33" s="197">
        <f t="shared" si="1"/>
        <v>10</v>
      </c>
      <c r="C33" s="198">
        <f>Performance!L364</f>
        <v>0.81091359761792048</v>
      </c>
      <c r="D33" s="199">
        <f>Performance!J364</f>
        <v>1952.5592144299292</v>
      </c>
      <c r="E33" s="200">
        <f>Performance!K364</f>
        <v>438.95490635086759</v>
      </c>
      <c r="N33" s="347">
        <f t="shared" si="0"/>
        <v>9.4264015708838911E-2</v>
      </c>
    </row>
    <row r="34" spans="2:14">
      <c r="B34" s="197">
        <f t="shared" si="1"/>
        <v>11</v>
      </c>
      <c r="C34" s="198">
        <f>Performance!L406</f>
        <v>0.90526810859689011</v>
      </c>
      <c r="D34" s="199">
        <f>Performance!J406</f>
        <v>1963.2542293497061</v>
      </c>
      <c r="E34" s="200">
        <f>Performance!K406</f>
        <v>441.35925303486943</v>
      </c>
      <c r="N34" s="347">
        <f t="shared" si="0"/>
        <v>9.435451097896963E-2</v>
      </c>
    </row>
    <row r="35" spans="2:14">
      <c r="B35" s="197">
        <f t="shared" si="1"/>
        <v>12</v>
      </c>
      <c r="C35" s="198">
        <f>Performance!L448</f>
        <v>0.99967316091972669</v>
      </c>
      <c r="D35" s="199">
        <f>Performance!J448</f>
        <v>1967.8980631518859</v>
      </c>
      <c r="E35" s="200">
        <f>Performance!K448</f>
        <v>442.40323347688638</v>
      </c>
      <c r="N35" s="347">
        <f t="shared" si="0"/>
        <v>9.440505232283658E-2</v>
      </c>
    </row>
    <row r="36" spans="2:14">
      <c r="B36" s="197">
        <f t="shared" si="1"/>
        <v>13</v>
      </c>
      <c r="C36" s="198">
        <f>Performance!L490</f>
        <v>1.094089253734817</v>
      </c>
      <c r="D36" s="199">
        <f>Performance!J490</f>
        <v>1966.4990070862718</v>
      </c>
      <c r="E36" s="200">
        <f>Performance!K490</f>
        <v>442.08871163308123</v>
      </c>
      <c r="N36" s="347">
        <f t="shared" si="0"/>
        <v>9.4416092815090336E-2</v>
      </c>
    </row>
    <row r="37" spans="2:14">
      <c r="B37" s="197">
        <f t="shared" si="1"/>
        <v>14</v>
      </c>
      <c r="C37" s="198">
        <f>Performance!L532</f>
        <v>1.188476990615537</v>
      </c>
      <c r="D37" s="199">
        <f>Performance!J532</f>
        <v>1959.0561099983727</v>
      </c>
      <c r="E37" s="200">
        <f>Performance!K532</f>
        <v>440.41547367437903</v>
      </c>
      <c r="N37" s="347">
        <f t="shared" si="0"/>
        <v>9.4387736880719997E-2</v>
      </c>
    </row>
    <row r="38" spans="2:14">
      <c r="B38" s="197">
        <f t="shared" si="1"/>
        <v>15</v>
      </c>
      <c r="C38" s="198">
        <f>Performance!L574</f>
        <v>1.282796734278</v>
      </c>
      <c r="D38" s="199">
        <f>Performance!J574</f>
        <v>1945.5591699625174</v>
      </c>
      <c r="E38" s="200">
        <f>Performance!K574</f>
        <v>437.38122610550727</v>
      </c>
      <c r="N38" s="347">
        <f t="shared" si="0"/>
        <v>9.4319743662462985E-2</v>
      </c>
    </row>
    <row r="39" spans="2:14">
      <c r="B39" s="197">
        <f t="shared" si="1"/>
        <v>16</v>
      </c>
      <c r="C39" s="198">
        <f>Performance!L616</f>
        <v>1.3770082539341457</v>
      </c>
      <c r="D39" s="199">
        <f>Performance!J616</f>
        <v>1925.9885713941908</v>
      </c>
      <c r="E39" s="200">
        <f>Performance!K616</f>
        <v>432.98155914621441</v>
      </c>
      <c r="N39" s="347">
        <f t="shared" si="0"/>
        <v>9.4211519656145715E-2</v>
      </c>
    </row>
    <row r="40" spans="2:14">
      <c r="B40" s="197">
        <f t="shared" si="1"/>
        <v>17</v>
      </c>
      <c r="C40" s="198">
        <f>Performance!L658</f>
        <v>1.4710703540564696</v>
      </c>
      <c r="D40" s="199">
        <f>Performance!J658</f>
        <v>1900.314959852913</v>
      </c>
      <c r="E40" s="200">
        <f>Performance!K658</f>
        <v>427.2098736236934</v>
      </c>
      <c r="N40" s="347">
        <f t="shared" si="0"/>
        <v>9.4062100122323855E-2</v>
      </c>
    </row>
    <row r="41" spans="2:14">
      <c r="B41" s="197">
        <f t="shared" si="1"/>
        <v>18</v>
      </c>
      <c r="C41" s="198">
        <f>Performance!L700</f>
        <v>1.5649404720570101</v>
      </c>
      <c r="D41" s="199">
        <f>Performance!J700</f>
        <v>1868.4987384862745</v>
      </c>
      <c r="E41" s="200">
        <f>Performance!K700</f>
        <v>420.05726776814771</v>
      </c>
      <c r="N41" s="347">
        <f t="shared" si="0"/>
        <v>9.387011800054057E-2</v>
      </c>
    </row>
    <row r="42" spans="2:14">
      <c r="B42" s="197">
        <f t="shared" si="1"/>
        <v>19</v>
      </c>
      <c r="C42" s="198">
        <f>Performance!L742</f>
        <v>1.6585742301728803</v>
      </c>
      <c r="D42" s="199">
        <f>Performance!J742</f>
        <v>1830.4893602502193</v>
      </c>
      <c r="E42" s="200">
        <f>Performance!K742</f>
        <v>411.51237809680754</v>
      </c>
      <c r="N42" s="347">
        <f t="shared" si="0"/>
        <v>9.3633758115870158E-2</v>
      </c>
    </row>
    <row r="43" spans="2:14">
      <c r="B43" s="197">
        <f t="shared" si="1"/>
        <v>20</v>
      </c>
      <c r="C43" s="198">
        <f>Performance!L784</f>
        <v>1.752940050985208</v>
      </c>
      <c r="D43" s="199">
        <f>Performance!J784</f>
        <v>1743.1172201236407</v>
      </c>
      <c r="E43" s="200">
        <f>Performance!K784</f>
        <v>391.87024417149422</v>
      </c>
      <c r="N43" s="347">
        <f t="shared" si="0"/>
        <v>9.4365820812327694E-2</v>
      </c>
    </row>
    <row r="44" spans="2:14">
      <c r="B44" s="197">
        <f t="shared" si="1"/>
        <v>21</v>
      </c>
      <c r="C44" s="198">
        <f>Performance!L826</f>
        <v>1.8521554051685063</v>
      </c>
      <c r="D44" s="199">
        <f>Performance!J826</f>
        <v>1590.6022415159896</v>
      </c>
      <c r="E44" s="200">
        <f>Performance!K826</f>
        <v>357.58334641337837</v>
      </c>
      <c r="N44" s="347">
        <f t="shared" si="0"/>
        <v>9.9215354183298299E-2</v>
      </c>
    </row>
    <row r="45" spans="2:14">
      <c r="B45" s="197">
        <f t="shared" si="1"/>
        <v>22</v>
      </c>
      <c r="C45" s="198">
        <f>Performance!L868</f>
        <v>1.9528233782199038</v>
      </c>
      <c r="D45" s="199">
        <f>Performance!J868</f>
        <v>924.77255473673176</v>
      </c>
      <c r="E45" s="200">
        <f>Performance!K868</f>
        <v>207.8981508782725</v>
      </c>
      <c r="N45" s="347">
        <f t="shared" si="0"/>
        <v>0.10066797305139752</v>
      </c>
    </row>
    <row r="46" spans="2:14">
      <c r="B46" s="197">
        <v>23</v>
      </c>
      <c r="C46" s="198">
        <f>Performance!L910</f>
        <v>2.0270179273011379</v>
      </c>
      <c r="D46" s="199">
        <f>Performance!J910</f>
        <v>0</v>
      </c>
      <c r="E46" s="200">
        <f>Performance!K910</f>
        <v>0</v>
      </c>
      <c r="N46" s="347">
        <f t="shared" si="0"/>
        <v>7.4194549081234129E-2</v>
      </c>
    </row>
    <row r="47" spans="2:14">
      <c r="N47" s="348">
        <f>AVERAGE(N27:N45)</f>
        <v>9.56854419608444E-2</v>
      </c>
    </row>
    <row r="48" spans="2:14">
      <c r="B48" s="109" t="s">
        <v>351</v>
      </c>
      <c r="N48" s="60"/>
    </row>
    <row r="49" spans="2:9">
      <c r="B49" s="109" t="s">
        <v>352</v>
      </c>
    </row>
    <row r="53" spans="2:9">
      <c r="I53" s="2"/>
    </row>
  </sheetData>
  <sheetProtection password="C7BC" sheet="1"/>
  <customSheetViews>
    <customSheetView guid="{136183A0-5E83-4B15-A2A6-F3C23DCC406A}" scale="110" showGridLines="0" printArea="1" topLeftCell="A49">
      <selection activeCell="I48" sqref="I48"/>
      <pageMargins left="0.75" right="0.75" top="1" bottom="1" header="0.5" footer="0.5"/>
      <pageSetup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B19:E19"/>
  </mergeCells>
  <phoneticPr fontId="0" type="noConversion"/>
  <pageMargins left="0.75" right="0.75" top="1" bottom="1" header="0.5" footer="0.5"/>
  <pageSetup orientation="portrait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5ECA-10C7-45DA-B30B-55FD55AF1328}">
  <sheetPr codeName="Sheet2">
    <tabColor rgb="FFFFC000"/>
  </sheetPr>
  <dimension ref="B3:L26"/>
  <sheetViews>
    <sheetView showGridLines="0" zoomScaleNormal="100" workbookViewId="0"/>
  </sheetViews>
  <sheetFormatPr defaultRowHeight="13.2"/>
  <cols>
    <col min="1" max="1" width="4.77734375" customWidth="1"/>
    <col min="2" max="2" width="26.77734375" customWidth="1"/>
    <col min="3" max="3" width="6.77734375" customWidth="1"/>
    <col min="4" max="4" width="8.21875" customWidth="1"/>
    <col min="5" max="5" width="5.44140625" customWidth="1"/>
    <col min="6" max="6" width="13.21875" customWidth="1"/>
    <col min="7" max="7" width="12.44140625" customWidth="1"/>
    <col min="8" max="9" width="11.77734375" customWidth="1"/>
    <col min="10" max="10" width="11" customWidth="1"/>
    <col min="11" max="11" width="10.6640625" customWidth="1"/>
    <col min="13" max="13" width="13.21875" customWidth="1"/>
  </cols>
  <sheetData>
    <row r="3" spans="2:12">
      <c r="B3" s="82" t="s">
        <v>199</v>
      </c>
      <c r="D3" s="39"/>
      <c r="E3" s="39"/>
    </row>
    <row r="6" spans="2:12">
      <c r="B6" s="433" t="s">
        <v>135</v>
      </c>
      <c r="C6" s="434"/>
      <c r="D6" s="434"/>
      <c r="E6" s="434"/>
      <c r="F6" s="434"/>
      <c r="G6" s="434"/>
      <c r="H6" s="434"/>
      <c r="I6" s="434"/>
      <c r="J6" s="434"/>
      <c r="K6" s="434"/>
      <c r="L6" s="435"/>
    </row>
    <row r="7" spans="2:12">
      <c r="B7" s="301" t="s">
        <v>111</v>
      </c>
      <c r="C7" s="398"/>
      <c r="D7" s="46"/>
      <c r="E7" s="46"/>
      <c r="F7" s="14"/>
      <c r="G7" s="14"/>
      <c r="H7" s="14"/>
      <c r="I7" s="398"/>
      <c r="J7" s="399"/>
      <c r="K7" s="399"/>
      <c r="L7" s="399"/>
    </row>
    <row r="8" spans="2:12" ht="13.8" thickBot="1">
      <c r="B8" s="302"/>
      <c r="C8" s="49" t="s">
        <v>136</v>
      </c>
      <c r="D8" s="49" t="s">
        <v>137</v>
      </c>
      <c r="E8" s="49" t="s">
        <v>138</v>
      </c>
      <c r="F8" s="227" t="s">
        <v>366</v>
      </c>
      <c r="G8" s="227" t="s">
        <v>365</v>
      </c>
      <c r="H8" s="227" t="s">
        <v>367</v>
      </c>
      <c r="I8" s="296" t="s">
        <v>472</v>
      </c>
      <c r="J8" s="303" t="s">
        <v>473</v>
      </c>
      <c r="K8" s="303" t="s">
        <v>536</v>
      </c>
      <c r="L8" s="303" t="s">
        <v>520</v>
      </c>
    </row>
    <row r="9" spans="2:12" ht="15.6">
      <c r="B9" s="304" t="s">
        <v>317</v>
      </c>
      <c r="C9" s="48" t="s">
        <v>29</v>
      </c>
      <c r="D9" s="12" t="s">
        <v>27</v>
      </c>
      <c r="E9" s="51" t="s">
        <v>142</v>
      </c>
      <c r="F9" s="12">
        <v>1.879</v>
      </c>
      <c r="G9" s="64">
        <v>1.841</v>
      </c>
      <c r="H9" s="250">
        <v>1.889</v>
      </c>
      <c r="I9" s="310">
        <v>1.82</v>
      </c>
      <c r="J9" s="305">
        <v>1.8540000000000001</v>
      </c>
      <c r="K9" s="305">
        <v>1.9419999999999999</v>
      </c>
      <c r="L9" s="305">
        <v>1.923</v>
      </c>
    </row>
    <row r="10" spans="2:12">
      <c r="B10" s="306" t="s">
        <v>314</v>
      </c>
      <c r="C10" s="13" t="s">
        <v>110</v>
      </c>
      <c r="D10" s="47" t="s">
        <v>64</v>
      </c>
      <c r="E10" s="50" t="s">
        <v>139</v>
      </c>
      <c r="F10" s="313">
        <v>1.1308</v>
      </c>
      <c r="G10" s="312">
        <v>1.137</v>
      </c>
      <c r="H10" s="65">
        <v>1.133</v>
      </c>
      <c r="I10" s="312">
        <v>1.1399999999999999</v>
      </c>
      <c r="J10" s="311">
        <v>1.1363000000000001</v>
      </c>
      <c r="K10" s="311">
        <f>ks_dx</f>
        <v>1.1308</v>
      </c>
      <c r="L10" s="311">
        <v>1.163</v>
      </c>
    </row>
    <row r="11" spans="2:12">
      <c r="B11" s="306" t="s">
        <v>121</v>
      </c>
      <c r="C11" s="13" t="s">
        <v>74</v>
      </c>
      <c r="D11" s="13" t="s">
        <v>115</v>
      </c>
      <c r="E11" s="50" t="s">
        <v>140</v>
      </c>
      <c r="F11" s="13">
        <v>42.42</v>
      </c>
      <c r="G11" s="297">
        <v>39.9</v>
      </c>
      <c r="H11" s="65">
        <v>42.02</v>
      </c>
      <c r="I11" s="65">
        <v>38.58</v>
      </c>
      <c r="J11" s="314">
        <v>39.826000000000001</v>
      </c>
      <c r="K11" s="314">
        <f>m_dx</f>
        <v>42.42</v>
      </c>
      <c r="L11" s="314">
        <v>36.39</v>
      </c>
    </row>
    <row r="12" spans="2:12" ht="13.8" thickBot="1">
      <c r="B12" s="307" t="s">
        <v>120</v>
      </c>
      <c r="C12" s="16" t="s">
        <v>117</v>
      </c>
      <c r="D12" s="16" t="s">
        <v>73</v>
      </c>
      <c r="E12" s="49" t="s">
        <v>141</v>
      </c>
      <c r="F12" s="16">
        <v>1710</v>
      </c>
      <c r="G12" s="308">
        <v>1600</v>
      </c>
      <c r="H12" s="308">
        <v>1720</v>
      </c>
      <c r="I12" s="308">
        <v>1608</v>
      </c>
      <c r="J12" s="309">
        <v>1616</v>
      </c>
      <c r="K12" s="309">
        <f>to_dx</f>
        <v>1710</v>
      </c>
      <c r="L12" s="309">
        <v>1858</v>
      </c>
    </row>
    <row r="13" spans="2:12">
      <c r="J13" s="2"/>
      <c r="K13" s="2"/>
      <c r="L13" s="43"/>
    </row>
    <row r="14" spans="2:12">
      <c r="B14" s="109"/>
      <c r="C14" s="138" t="s">
        <v>315</v>
      </c>
      <c r="D14" s="139" t="s">
        <v>142</v>
      </c>
      <c r="E14" s="139" t="s">
        <v>526</v>
      </c>
      <c r="F14" s="109"/>
      <c r="G14" s="109"/>
      <c r="J14" s="2"/>
      <c r="K14" s="2"/>
      <c r="L14" s="43"/>
    </row>
    <row r="15" spans="2:12">
      <c r="B15" s="109"/>
      <c r="C15" s="138"/>
      <c r="D15" s="139" t="s">
        <v>139</v>
      </c>
      <c r="E15" s="139" t="s">
        <v>527</v>
      </c>
      <c r="F15" s="109"/>
      <c r="G15" s="109"/>
      <c r="J15" s="2"/>
      <c r="K15" s="2"/>
    </row>
    <row r="16" spans="2:12">
      <c r="B16" s="109"/>
      <c r="C16" s="109"/>
      <c r="D16" s="140" t="s">
        <v>140</v>
      </c>
      <c r="E16" s="139" t="s">
        <v>319</v>
      </c>
      <c r="F16" s="109"/>
      <c r="G16" s="109"/>
      <c r="J16" s="2"/>
      <c r="K16" s="2"/>
    </row>
    <row r="17" spans="2:11">
      <c r="B17" s="109"/>
      <c r="C17" s="109"/>
      <c r="D17" s="140" t="s">
        <v>141</v>
      </c>
      <c r="E17" s="139" t="s">
        <v>318</v>
      </c>
      <c r="F17" s="109"/>
      <c r="G17" s="109"/>
      <c r="J17" s="2"/>
      <c r="K17" s="2"/>
    </row>
    <row r="18" spans="2:11">
      <c r="B18" s="109"/>
      <c r="C18" s="109"/>
      <c r="D18" s="140"/>
      <c r="E18" s="141"/>
      <c r="F18" s="109"/>
      <c r="G18" s="109"/>
      <c r="J18" s="2"/>
      <c r="K18" s="2"/>
    </row>
    <row r="19" spans="2:11">
      <c r="B19" s="109"/>
      <c r="C19" s="109"/>
      <c r="D19" s="139"/>
      <c r="E19" s="141"/>
      <c r="F19" s="109"/>
      <c r="G19" s="109"/>
      <c r="J19" s="2"/>
      <c r="K19" s="2"/>
    </row>
    <row r="20" spans="2:11">
      <c r="B20" s="109"/>
      <c r="C20" s="141" t="s">
        <v>316</v>
      </c>
      <c r="D20" s="139" t="s">
        <v>399</v>
      </c>
      <c r="E20" s="141"/>
      <c r="F20" s="109"/>
      <c r="G20" s="109"/>
      <c r="J20" s="2"/>
      <c r="K20" s="2"/>
    </row>
    <row r="21" spans="2:11">
      <c r="B21" s="109"/>
      <c r="C21" s="138"/>
      <c r="D21" s="139" t="s">
        <v>400</v>
      </c>
      <c r="E21" s="141"/>
      <c r="F21" s="109"/>
      <c r="G21" s="109"/>
      <c r="J21" s="2"/>
      <c r="K21" s="2"/>
    </row>
    <row r="22" spans="2:11">
      <c r="B22" s="109"/>
      <c r="C22" s="109"/>
      <c r="D22" s="139" t="s">
        <v>401</v>
      </c>
      <c r="E22" s="109"/>
      <c r="F22" s="109"/>
      <c r="G22" s="109"/>
      <c r="J22" s="2"/>
      <c r="K22" s="2"/>
    </row>
    <row r="23" spans="2:11">
      <c r="D23" s="139" t="s">
        <v>475</v>
      </c>
    </row>
    <row r="24" spans="2:11">
      <c r="D24" s="139" t="s">
        <v>474</v>
      </c>
    </row>
    <row r="25" spans="2:11">
      <c r="D25" s="139" t="s">
        <v>537</v>
      </c>
    </row>
    <row r="26" spans="2:11">
      <c r="D26" s="139" t="s">
        <v>521</v>
      </c>
    </row>
  </sheetData>
  <sheetProtection password="C7BC" sheet="1"/>
  <customSheetViews>
    <customSheetView guid="{136183A0-5E83-4B15-A2A6-F3C23DCC406A}" showGridLines="0">
      <selection activeCell="G53" sqref="G53"/>
      <pageMargins left="0.75" right="0.75" top="1" bottom="1" header="0.5" footer="0.5"/>
      <pageSetup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B6:L6"/>
  </mergeCells>
  <phoneticPr fontId="0" type="noConversion"/>
  <pageMargins left="0.75" right="0.75" top="1" bottom="1" header="0.5" footer="0.5"/>
  <pageSetup orientation="portrait" r:id="rId2"/>
  <headerFooter alignWithMargins="0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C145-C2D4-43FD-BB61-31B1C13888AE}">
  <sheetPr codeName="Sheet3">
    <tabColor rgb="FFFFC000"/>
  </sheetPr>
  <dimension ref="A2:AJ107"/>
  <sheetViews>
    <sheetView showGridLines="0" topLeftCell="A24" zoomScaleNormal="100" workbookViewId="0">
      <selection activeCell="B60" sqref="B60:K60"/>
    </sheetView>
  </sheetViews>
  <sheetFormatPr defaultRowHeight="13.2"/>
  <cols>
    <col min="1" max="1" width="9" customWidth="1"/>
    <col min="2" max="2" width="7.21875" customWidth="1"/>
    <col min="3" max="3" width="4.21875" customWidth="1"/>
    <col min="4" max="4" width="7.5546875" customWidth="1"/>
    <col min="6" max="6" width="10.77734375" customWidth="1"/>
    <col min="7" max="7" width="7.77734375" customWidth="1"/>
    <col min="8" max="8" width="4.21875" customWidth="1"/>
    <col min="9" max="9" width="7.44140625" customWidth="1"/>
    <col min="12" max="12" width="22.21875" customWidth="1"/>
  </cols>
  <sheetData>
    <row r="2" spans="2:36">
      <c r="B2" s="82" t="s">
        <v>200</v>
      </c>
    </row>
    <row r="4" spans="2:36">
      <c r="L4" s="8"/>
    </row>
    <row r="5" spans="2:36">
      <c r="B5" s="444" t="s">
        <v>366</v>
      </c>
      <c r="C5" s="445"/>
      <c r="D5" s="445"/>
      <c r="E5" s="445"/>
      <c r="F5" s="445"/>
      <c r="G5" s="445"/>
      <c r="H5" s="445"/>
      <c r="I5" s="445"/>
      <c r="J5" s="445"/>
      <c r="K5" s="446"/>
      <c r="L5" s="8"/>
      <c r="M5" s="98">
        <v>0.25</v>
      </c>
      <c r="N5" s="98">
        <f>M69</f>
        <v>0</v>
      </c>
      <c r="O5" s="98"/>
      <c r="P5" s="98"/>
      <c r="Q5" s="98"/>
      <c r="R5" s="60">
        <v>0.25</v>
      </c>
      <c r="S5" s="60">
        <f>R69</f>
        <v>8.9440000000000026</v>
      </c>
      <c r="T5" s="60"/>
      <c r="U5" s="60"/>
    </row>
    <row r="6" spans="2:36">
      <c r="B6" s="439"/>
      <c r="C6" s="439"/>
      <c r="D6" s="439"/>
      <c r="E6" s="25" t="s">
        <v>80</v>
      </c>
      <c r="F6" s="25" t="s">
        <v>81</v>
      </c>
      <c r="G6" s="439"/>
      <c r="H6" s="439"/>
      <c r="I6" s="439"/>
      <c r="J6" s="25" t="s">
        <v>80</v>
      </c>
      <c r="K6" s="25" t="s">
        <v>81</v>
      </c>
      <c r="M6" s="98"/>
      <c r="N6" s="98"/>
      <c r="O6" s="98"/>
      <c r="P6" s="98"/>
      <c r="Q6" s="98"/>
      <c r="R6" s="60"/>
      <c r="S6" s="60"/>
      <c r="T6" s="60"/>
      <c r="U6" s="60"/>
    </row>
    <row r="7" spans="2:36" ht="13.8" thickBot="1">
      <c r="B7" s="440" t="s">
        <v>82</v>
      </c>
      <c r="C7" s="440"/>
      <c r="D7" s="440"/>
      <c r="E7" s="440" t="s">
        <v>83</v>
      </c>
      <c r="F7" s="440"/>
      <c r="G7" s="440" t="s">
        <v>84</v>
      </c>
      <c r="H7" s="440"/>
      <c r="I7" s="440"/>
      <c r="J7" s="440" t="s">
        <v>85</v>
      </c>
      <c r="K7" s="440"/>
      <c r="M7" s="98"/>
      <c r="N7" s="98"/>
      <c r="O7" s="98"/>
      <c r="P7" s="98"/>
      <c r="Q7" s="98"/>
      <c r="R7" s="60"/>
      <c r="S7" s="60"/>
      <c r="T7" s="60" t="s">
        <v>402</v>
      </c>
      <c r="U7" s="60"/>
      <c r="V7" s="60"/>
      <c r="W7" s="60" t="s">
        <v>403</v>
      </c>
      <c r="X7" s="60"/>
      <c r="Y7" s="60"/>
      <c r="Z7" s="60" t="s">
        <v>367</v>
      </c>
      <c r="AA7" s="60"/>
      <c r="AB7" s="60"/>
      <c r="AC7" s="60" t="s">
        <v>472</v>
      </c>
      <c r="AD7" s="60"/>
      <c r="AE7" s="60"/>
      <c r="AF7" s="60" t="s">
        <v>520</v>
      </c>
      <c r="AG7" s="60"/>
      <c r="AH7" s="60"/>
      <c r="AI7" s="60" t="s">
        <v>536</v>
      </c>
      <c r="AJ7" s="60"/>
    </row>
    <row r="8" spans="2:36" ht="13.8" thickTop="1">
      <c r="B8" s="26">
        <v>14.7</v>
      </c>
      <c r="C8" s="27" t="s">
        <v>86</v>
      </c>
      <c r="D8" s="28">
        <v>113</v>
      </c>
      <c r="E8" s="334">
        <v>1.6023622047244095E-2</v>
      </c>
      <c r="F8" s="29">
        <v>0.61929999999999996</v>
      </c>
      <c r="G8" s="30">
        <v>0.1</v>
      </c>
      <c r="H8" s="27" t="s">
        <v>86</v>
      </c>
      <c r="I8" s="31">
        <v>0.77913500000000002</v>
      </c>
      <c r="J8" s="29">
        <v>8.8754449677853557</v>
      </c>
      <c r="K8" s="29">
        <v>0.61929999999999996</v>
      </c>
      <c r="M8" s="241" t="s">
        <v>87</v>
      </c>
      <c r="N8" s="241" t="s">
        <v>80</v>
      </c>
      <c r="O8" s="241" t="s">
        <v>81</v>
      </c>
      <c r="P8" s="241" t="s">
        <v>88</v>
      </c>
      <c r="Q8" s="98"/>
      <c r="R8" s="95" t="s">
        <v>87</v>
      </c>
      <c r="S8" s="95" t="s">
        <v>80</v>
      </c>
      <c r="T8" s="95" t="s">
        <v>81</v>
      </c>
      <c r="U8" s="95" t="s">
        <v>88</v>
      </c>
      <c r="V8" s="95" t="s">
        <v>80</v>
      </c>
      <c r="W8" s="95" t="s">
        <v>81</v>
      </c>
      <c r="X8" s="95" t="s">
        <v>88</v>
      </c>
      <c r="Y8" s="95" t="s">
        <v>80</v>
      </c>
      <c r="Z8" s="95" t="s">
        <v>81</v>
      </c>
      <c r="AA8" s="95" t="s">
        <v>88</v>
      </c>
      <c r="AB8" s="95" t="s">
        <v>80</v>
      </c>
      <c r="AC8" s="95" t="s">
        <v>81</v>
      </c>
      <c r="AD8" s="95" t="s">
        <v>88</v>
      </c>
      <c r="AE8" s="95" t="s">
        <v>80</v>
      </c>
      <c r="AF8" s="95" t="s">
        <v>81</v>
      </c>
      <c r="AG8" s="95" t="s">
        <v>88</v>
      </c>
      <c r="AH8" s="95" t="s">
        <v>80</v>
      </c>
      <c r="AI8" s="95" t="s">
        <v>81</v>
      </c>
      <c r="AJ8" s="95" t="s">
        <v>88</v>
      </c>
    </row>
    <row r="9" spans="2:36">
      <c r="B9" s="32">
        <v>113</v>
      </c>
      <c r="C9" s="33" t="s">
        <v>86</v>
      </c>
      <c r="D9" s="34">
        <v>373</v>
      </c>
      <c r="E9" s="335">
        <v>0.31051181102362202</v>
      </c>
      <c r="F9" s="35">
        <v>-8.6999999999999994E-3</v>
      </c>
      <c r="G9" s="36">
        <v>0.77913500000000002</v>
      </c>
      <c r="H9" s="33" t="s">
        <v>86</v>
      </c>
      <c r="I9" s="37">
        <v>2.5718350000000001</v>
      </c>
      <c r="J9" s="35">
        <v>7.5527844238794399</v>
      </c>
      <c r="K9" s="35">
        <v>-8.6999999999999994E-3</v>
      </c>
      <c r="M9" s="98">
        <v>0.1</v>
      </c>
      <c r="N9" s="98">
        <f>VLOOKUP($M9,kndxbn_,4,TRUE)</f>
        <v>8.8754449677853557</v>
      </c>
      <c r="O9" s="98">
        <f>VLOOKUP($M9,kndxbn_,5,TRUE)</f>
        <v>0.61929999999999996</v>
      </c>
      <c r="P9" s="98">
        <f>N9*M9^O9</f>
        <v>2.1325053799737348</v>
      </c>
      <c r="Q9" s="98"/>
      <c r="R9" s="60">
        <v>0.10349999999999999</v>
      </c>
      <c r="S9" s="60">
        <f>VLOOKUP($R9,knsobn_,4,TRUE)</f>
        <v>10.707683798033065</v>
      </c>
      <c r="T9" s="60">
        <f>VLOOKUP($R9,knsobn_,5,TRUE)</f>
        <v>0.62470000000000003</v>
      </c>
      <c r="U9" s="60">
        <f>S9*R9^T9</f>
        <v>2.5961439795794132</v>
      </c>
      <c r="V9" s="96">
        <f>$J$28</f>
        <v>5.13</v>
      </c>
      <c r="W9" s="96">
        <f>$K$28</f>
        <v>0.22</v>
      </c>
      <c r="X9" s="60">
        <f>V9*R9^W9</f>
        <v>3.1146140765372103</v>
      </c>
      <c r="Y9" s="96">
        <f>$J$33</f>
        <v>8.26</v>
      </c>
      <c r="Z9" s="96">
        <f>$K$33</f>
        <v>0.31900000000000001</v>
      </c>
      <c r="AA9" s="60">
        <f>Y9*R9^Z9</f>
        <v>4.0063235406169513</v>
      </c>
      <c r="AB9" s="96">
        <f t="shared" ref="AB9:AB40" si="0">am_1</f>
        <v>2.9</v>
      </c>
      <c r="AC9" s="96">
        <f t="shared" ref="AC9:AC40" si="1">nm_1</f>
        <v>0.4</v>
      </c>
      <c r="AD9" s="60">
        <f>AB9*R9^AC9</f>
        <v>1.1705073303177296</v>
      </c>
      <c r="AE9" s="96">
        <f>$J$58</f>
        <v>6.5</v>
      </c>
      <c r="AF9" s="96">
        <f>$K$58</f>
        <v>0.628</v>
      </c>
      <c r="AG9" s="60">
        <f>AE9*R9^AF9</f>
        <v>1.5642130193513473</v>
      </c>
      <c r="AH9" s="96">
        <f>am_4</f>
        <v>7.4</v>
      </c>
      <c r="AI9" s="96">
        <f>nm_4</f>
        <v>0.25</v>
      </c>
      <c r="AJ9" s="60">
        <f>AH9*R9^AI9</f>
        <v>4.1972690333403282</v>
      </c>
    </row>
    <row r="10" spans="2:36">
      <c r="B10" s="32">
        <v>373</v>
      </c>
      <c r="C10" s="33" t="s">
        <v>86</v>
      </c>
      <c r="D10" s="34">
        <v>860</v>
      </c>
      <c r="E10" s="335">
        <v>4.921259842519685E-3</v>
      </c>
      <c r="F10" s="35">
        <v>0.68820000000000003</v>
      </c>
      <c r="G10" s="36">
        <v>2.5718350000000001</v>
      </c>
      <c r="H10" s="33" t="s">
        <v>86</v>
      </c>
      <c r="I10" s="37">
        <v>5.9297000000000004</v>
      </c>
      <c r="J10" s="35">
        <v>3.8408799049960156</v>
      </c>
      <c r="K10" s="35">
        <v>0.68820000000000003</v>
      </c>
      <c r="M10" s="98">
        <f>M9+($M$5-0.1)</f>
        <v>0.25</v>
      </c>
      <c r="N10" s="98">
        <f t="shared" ref="N10:N54" si="2">VLOOKUP($M10,kndxbn_,4,TRUE)</f>
        <v>8.8754449677853557</v>
      </c>
      <c r="O10" s="98">
        <f t="shared" ref="O10:O54" si="3">VLOOKUP($M10,kndxbn_,5,TRUE)</f>
        <v>0.61929999999999996</v>
      </c>
      <c r="P10" s="98">
        <f t="shared" ref="P10:P54" si="4">N10*M10^O10</f>
        <v>3.7612688985091727</v>
      </c>
      <c r="Q10" s="98"/>
      <c r="R10" s="60">
        <f>R9+($M$5-0.103)</f>
        <v>0.2505</v>
      </c>
      <c r="S10" s="60">
        <f t="shared" ref="S10:S73" si="5">VLOOKUP($R10,knsobn_,4,TRUE)</f>
        <v>10.707683798033065</v>
      </c>
      <c r="T10" s="60">
        <f t="shared" ref="T10:T73" si="6">VLOOKUP($R10,knsobn_,5,TRUE)</f>
        <v>0.62470000000000003</v>
      </c>
      <c r="U10" s="60">
        <f>S10*R10^T10</f>
        <v>4.5095242519879797</v>
      </c>
      <c r="V10" s="96">
        <f t="shared" ref="V10:V73" si="7">$J$28</f>
        <v>5.13</v>
      </c>
      <c r="W10" s="96">
        <f t="shared" ref="W10:W73" si="8">$K$28</f>
        <v>0.22</v>
      </c>
      <c r="X10" s="60">
        <f t="shared" ref="X10:X73" si="9">V10*R10^W10</f>
        <v>3.7831631063172546</v>
      </c>
      <c r="Y10" s="96">
        <f t="shared" ref="Y10:Y73" si="10">$J$33</f>
        <v>8.26</v>
      </c>
      <c r="Z10" s="96">
        <f t="shared" ref="Z10:Z73" si="11">$K$33</f>
        <v>0.31900000000000001</v>
      </c>
      <c r="AA10" s="60">
        <f t="shared" ref="AA10:AA73" si="12">Y10*R10^Z10</f>
        <v>5.3112863117496252</v>
      </c>
      <c r="AB10" s="96">
        <f t="shared" si="0"/>
        <v>2.9</v>
      </c>
      <c r="AC10" s="96">
        <f t="shared" si="1"/>
        <v>0.4</v>
      </c>
      <c r="AD10" s="60">
        <f t="shared" ref="AD10:AD73" si="13">AB10*R10^AC10</f>
        <v>1.6669443061951288</v>
      </c>
      <c r="AE10" s="96">
        <f t="shared" ref="AE10:AE73" si="14">$J$58</f>
        <v>6.5</v>
      </c>
      <c r="AF10" s="96">
        <f t="shared" ref="AF10:AF73" si="15">$K$58</f>
        <v>0.628</v>
      </c>
      <c r="AG10" s="60">
        <f t="shared" ref="AG10:AG73" si="16">AE10*R10^AF10</f>
        <v>2.7249881072410118</v>
      </c>
      <c r="AH10" s="96">
        <f>$J$58</f>
        <v>6.5</v>
      </c>
      <c r="AI10" s="96">
        <f>$K$58</f>
        <v>0.628</v>
      </c>
      <c r="AJ10" s="60">
        <f t="shared" ref="AJ10:AJ73" si="17">AH10*R10^AI10</f>
        <v>2.7249881072410118</v>
      </c>
    </row>
    <row r="11" spans="2:36">
      <c r="B11" s="32">
        <v>860</v>
      </c>
      <c r="C11" s="33" t="s">
        <v>86</v>
      </c>
      <c r="D11" s="34">
        <v>1233</v>
      </c>
      <c r="E11" s="335">
        <v>1.415511811023622</v>
      </c>
      <c r="F11" s="35">
        <v>-0.14810000000000001</v>
      </c>
      <c r="G11" s="36">
        <v>5.9297000000000004</v>
      </c>
      <c r="H11" s="33" t="s">
        <v>86</v>
      </c>
      <c r="I11" s="37">
        <v>8.5015350000000005</v>
      </c>
      <c r="J11" s="19">
        <v>17.20418640980624</v>
      </c>
      <c r="K11" s="35">
        <v>-0.14810000000000001</v>
      </c>
      <c r="M11" s="98">
        <f t="shared" ref="M11:M25" si="18">M10+$M$5</f>
        <v>0.5</v>
      </c>
      <c r="N11" s="98">
        <f t="shared" si="2"/>
        <v>8.8754449677853557</v>
      </c>
      <c r="O11" s="98">
        <f t="shared" si="3"/>
        <v>0.61929999999999996</v>
      </c>
      <c r="P11" s="98">
        <f t="shared" si="4"/>
        <v>5.7777967355870876</v>
      </c>
      <c r="Q11" s="98"/>
      <c r="R11" s="60">
        <f t="shared" ref="R11:R54" si="19">R10+($M$5-0.103)</f>
        <v>0.39750000000000002</v>
      </c>
      <c r="S11" s="60">
        <f t="shared" si="5"/>
        <v>10.707683798033065</v>
      </c>
      <c r="T11" s="60">
        <f t="shared" si="6"/>
        <v>0.62470000000000003</v>
      </c>
      <c r="U11" s="60">
        <f t="shared" ref="U11:U54" si="20">S11*R11^T11</f>
        <v>6.0172969584618192</v>
      </c>
      <c r="V11" s="96">
        <f t="shared" si="7"/>
        <v>5.13</v>
      </c>
      <c r="W11" s="96">
        <f t="shared" si="8"/>
        <v>0.22</v>
      </c>
      <c r="X11" s="60">
        <f t="shared" si="9"/>
        <v>4.1876611638803078</v>
      </c>
      <c r="Y11" s="96">
        <f t="shared" si="10"/>
        <v>8.26</v>
      </c>
      <c r="Z11" s="96">
        <f t="shared" si="11"/>
        <v>0.31900000000000001</v>
      </c>
      <c r="AA11" s="60">
        <f t="shared" si="12"/>
        <v>6.154157302027957</v>
      </c>
      <c r="AB11" s="96">
        <f t="shared" si="0"/>
        <v>2.9</v>
      </c>
      <c r="AC11" s="96">
        <f t="shared" si="1"/>
        <v>0.4</v>
      </c>
      <c r="AD11" s="60">
        <f t="shared" si="13"/>
        <v>2.0050852910630397</v>
      </c>
      <c r="AE11" s="96">
        <f t="shared" si="14"/>
        <v>6.5</v>
      </c>
      <c r="AF11" s="96">
        <f t="shared" si="15"/>
        <v>0.628</v>
      </c>
      <c r="AG11" s="60">
        <f t="shared" si="16"/>
        <v>3.6416405487216759</v>
      </c>
      <c r="AH11" s="96">
        <f t="shared" ref="AH11:AH42" si="21">am_4</f>
        <v>7.4</v>
      </c>
      <c r="AI11" s="96">
        <f t="shared" ref="AI11:AI42" si="22">nm_4</f>
        <v>0.25</v>
      </c>
      <c r="AJ11" s="60">
        <f t="shared" si="17"/>
        <v>5.8757864446362271</v>
      </c>
    </row>
    <row r="12" spans="2:36">
      <c r="B12" s="26">
        <v>1233</v>
      </c>
      <c r="C12" s="27" t="s">
        <v>86</v>
      </c>
      <c r="D12" s="28">
        <v>1625</v>
      </c>
      <c r="E12" s="335">
        <v>2.0866141732283464E-2</v>
      </c>
      <c r="F12" s="35">
        <v>0.44169999999999998</v>
      </c>
      <c r="G12" s="30">
        <v>8.5015350000000005</v>
      </c>
      <c r="H12" s="27" t="s">
        <v>86</v>
      </c>
      <c r="I12" s="38">
        <v>11.204375000000001</v>
      </c>
      <c r="J12" s="35">
        <v>4.7752408634765926</v>
      </c>
      <c r="K12" s="35">
        <v>0.44169999999999998</v>
      </c>
      <c r="M12" s="98">
        <v>0.77900000000000003</v>
      </c>
      <c r="N12" s="98">
        <f t="shared" si="2"/>
        <v>8.8754449677853557</v>
      </c>
      <c r="O12" s="98">
        <f t="shared" si="3"/>
        <v>0.61929999999999996</v>
      </c>
      <c r="P12" s="98">
        <f t="shared" si="4"/>
        <v>7.6036003680458659</v>
      </c>
      <c r="Q12" s="98"/>
      <c r="R12" s="60">
        <f t="shared" si="19"/>
        <v>0.54449999999999998</v>
      </c>
      <c r="S12" s="60">
        <f t="shared" si="5"/>
        <v>10.707683798033065</v>
      </c>
      <c r="T12" s="60">
        <f t="shared" si="6"/>
        <v>0.62470000000000003</v>
      </c>
      <c r="U12" s="60">
        <f t="shared" si="20"/>
        <v>7.3244229711811482</v>
      </c>
      <c r="V12" s="96">
        <f t="shared" si="7"/>
        <v>5.13</v>
      </c>
      <c r="W12" s="96">
        <f t="shared" si="8"/>
        <v>0.22</v>
      </c>
      <c r="X12" s="60">
        <f t="shared" si="9"/>
        <v>4.4878351897905322</v>
      </c>
      <c r="Y12" s="96">
        <f t="shared" si="10"/>
        <v>8.26</v>
      </c>
      <c r="Z12" s="96">
        <f t="shared" si="11"/>
        <v>0.31900000000000001</v>
      </c>
      <c r="AA12" s="60">
        <f t="shared" si="12"/>
        <v>6.8039853892487088</v>
      </c>
      <c r="AB12" s="96">
        <f t="shared" si="0"/>
        <v>2.9</v>
      </c>
      <c r="AC12" s="96">
        <f t="shared" si="1"/>
        <v>0.4</v>
      </c>
      <c r="AD12" s="60">
        <f t="shared" si="13"/>
        <v>2.2740350358343679</v>
      </c>
      <c r="AE12" s="96">
        <f t="shared" si="14"/>
        <v>6.5</v>
      </c>
      <c r="AF12" s="96">
        <f t="shared" si="15"/>
        <v>0.628</v>
      </c>
      <c r="AG12" s="60">
        <f t="shared" si="16"/>
        <v>4.4373126292294538</v>
      </c>
      <c r="AH12" s="96">
        <f t="shared" si="21"/>
        <v>7.4</v>
      </c>
      <c r="AI12" s="96">
        <f t="shared" si="22"/>
        <v>0.25</v>
      </c>
      <c r="AJ12" s="60">
        <f t="shared" si="17"/>
        <v>6.3566923165906974</v>
      </c>
    </row>
    <row r="13" spans="2:36">
      <c r="M13" s="98">
        <f t="shared" si="18"/>
        <v>1.0289999999999999</v>
      </c>
      <c r="N13" s="98">
        <f t="shared" si="2"/>
        <v>7.5527844238794399</v>
      </c>
      <c r="O13" s="98">
        <f t="shared" si="3"/>
        <v>-8.6999999999999994E-3</v>
      </c>
      <c r="P13" s="98">
        <f t="shared" si="4"/>
        <v>7.5509061978369258</v>
      </c>
      <c r="Q13" s="98"/>
      <c r="R13" s="60">
        <f t="shared" si="19"/>
        <v>0.6915</v>
      </c>
      <c r="S13" s="60">
        <f t="shared" si="5"/>
        <v>10.707683798033065</v>
      </c>
      <c r="T13" s="60">
        <f t="shared" si="6"/>
        <v>0.62470000000000003</v>
      </c>
      <c r="U13" s="60">
        <f t="shared" si="20"/>
        <v>8.5038132745340107</v>
      </c>
      <c r="V13" s="96">
        <f t="shared" si="7"/>
        <v>5.13</v>
      </c>
      <c r="W13" s="96">
        <f t="shared" si="8"/>
        <v>0.22</v>
      </c>
      <c r="X13" s="60">
        <f t="shared" si="9"/>
        <v>4.7301144132054924</v>
      </c>
      <c r="Y13" s="96">
        <f t="shared" si="10"/>
        <v>8.26</v>
      </c>
      <c r="Z13" s="96">
        <f t="shared" si="11"/>
        <v>0.31900000000000001</v>
      </c>
      <c r="AA13" s="60">
        <f t="shared" si="12"/>
        <v>7.3430038203476196</v>
      </c>
      <c r="AB13" s="96">
        <f t="shared" si="0"/>
        <v>2.9</v>
      </c>
      <c r="AC13" s="96">
        <f t="shared" si="1"/>
        <v>0.4</v>
      </c>
      <c r="AD13" s="60">
        <f t="shared" si="13"/>
        <v>2.502158816479831</v>
      </c>
      <c r="AE13" s="96">
        <f t="shared" si="14"/>
        <v>6.5</v>
      </c>
      <c r="AF13" s="96">
        <f t="shared" si="15"/>
        <v>0.628</v>
      </c>
      <c r="AG13" s="60">
        <f t="shared" si="16"/>
        <v>5.1558805653125406</v>
      </c>
      <c r="AH13" s="96">
        <f t="shared" si="21"/>
        <v>7.4</v>
      </c>
      <c r="AI13" s="96">
        <f t="shared" si="22"/>
        <v>0.25</v>
      </c>
      <c r="AJ13" s="60">
        <f t="shared" si="17"/>
        <v>6.7480729027969204</v>
      </c>
    </row>
    <row r="14" spans="2:36">
      <c r="M14" s="98">
        <f t="shared" si="18"/>
        <v>1.2789999999999999</v>
      </c>
      <c r="N14" s="98">
        <f t="shared" si="2"/>
        <v>7.5527844238794399</v>
      </c>
      <c r="O14" s="98">
        <f t="shared" si="3"/>
        <v>-8.6999999999999994E-3</v>
      </c>
      <c r="P14" s="98">
        <f t="shared" si="4"/>
        <v>7.5366320912941802</v>
      </c>
      <c r="Q14" s="98"/>
      <c r="R14" s="60">
        <v>0.80700000000000005</v>
      </c>
      <c r="S14" s="60">
        <f t="shared" si="5"/>
        <v>8.7632800710177339</v>
      </c>
      <c r="T14" s="60">
        <f t="shared" si="6"/>
        <v>-0.31419999999999998</v>
      </c>
      <c r="U14" s="60">
        <f t="shared" si="20"/>
        <v>9.3740448526367466</v>
      </c>
      <c r="V14" s="96">
        <f t="shared" si="7"/>
        <v>5.13</v>
      </c>
      <c r="W14" s="96">
        <f t="shared" si="8"/>
        <v>0.22</v>
      </c>
      <c r="X14" s="60">
        <f t="shared" si="9"/>
        <v>4.8936121159802841</v>
      </c>
      <c r="Y14" s="96">
        <f t="shared" si="10"/>
        <v>8.26</v>
      </c>
      <c r="Z14" s="96">
        <f t="shared" si="11"/>
        <v>0.31900000000000001</v>
      </c>
      <c r="AA14" s="60">
        <f t="shared" si="12"/>
        <v>7.7138769158553897</v>
      </c>
      <c r="AB14" s="96">
        <f t="shared" si="0"/>
        <v>2.9</v>
      </c>
      <c r="AC14" s="96">
        <f t="shared" si="1"/>
        <v>0.4</v>
      </c>
      <c r="AD14" s="60">
        <f t="shared" si="13"/>
        <v>2.6616283381672599</v>
      </c>
      <c r="AE14" s="96">
        <f t="shared" si="14"/>
        <v>6.5</v>
      </c>
      <c r="AF14" s="96">
        <f t="shared" si="15"/>
        <v>0.628</v>
      </c>
      <c r="AG14" s="60">
        <f t="shared" si="16"/>
        <v>5.6810673304710848</v>
      </c>
      <c r="AH14" s="96">
        <f t="shared" si="21"/>
        <v>7.4</v>
      </c>
      <c r="AI14" s="96">
        <f t="shared" si="22"/>
        <v>0.25</v>
      </c>
      <c r="AJ14" s="60">
        <f t="shared" si="17"/>
        <v>7.013747120498742</v>
      </c>
    </row>
    <row r="15" spans="2:36">
      <c r="M15" s="98">
        <f t="shared" si="18"/>
        <v>1.5289999999999999</v>
      </c>
      <c r="N15" s="98">
        <f t="shared" si="2"/>
        <v>7.5527844238794399</v>
      </c>
      <c r="O15" s="98">
        <f t="shared" si="3"/>
        <v>-8.6999999999999994E-3</v>
      </c>
      <c r="P15" s="98">
        <f t="shared" si="4"/>
        <v>7.5249348438442505</v>
      </c>
      <c r="Q15" s="98"/>
      <c r="R15" s="60">
        <f t="shared" si="19"/>
        <v>0.95400000000000007</v>
      </c>
      <c r="S15" s="60">
        <f t="shared" si="5"/>
        <v>8.7632800710177339</v>
      </c>
      <c r="T15" s="60">
        <f t="shared" si="6"/>
        <v>-0.31419999999999998</v>
      </c>
      <c r="U15" s="60">
        <f t="shared" si="20"/>
        <v>8.8939071755279144</v>
      </c>
      <c r="V15" s="96">
        <f t="shared" si="7"/>
        <v>5.13</v>
      </c>
      <c r="W15" s="96">
        <f t="shared" si="8"/>
        <v>0.22</v>
      </c>
      <c r="X15" s="60">
        <f t="shared" si="9"/>
        <v>5.0771267720387012</v>
      </c>
      <c r="Y15" s="96">
        <f t="shared" si="10"/>
        <v>8.26</v>
      </c>
      <c r="Z15" s="96">
        <f t="shared" si="11"/>
        <v>0.31900000000000001</v>
      </c>
      <c r="AA15" s="60">
        <f t="shared" si="12"/>
        <v>8.1368437956329398</v>
      </c>
      <c r="AB15" s="96">
        <f t="shared" si="0"/>
        <v>2.9</v>
      </c>
      <c r="AC15" s="96">
        <f t="shared" si="1"/>
        <v>0.4</v>
      </c>
      <c r="AD15" s="60">
        <f t="shared" si="13"/>
        <v>2.8458850077329401</v>
      </c>
      <c r="AE15" s="96">
        <f t="shared" si="14"/>
        <v>6.5</v>
      </c>
      <c r="AF15" s="96">
        <f t="shared" si="15"/>
        <v>0.628</v>
      </c>
      <c r="AG15" s="60">
        <f t="shared" si="16"/>
        <v>6.3105866731279221</v>
      </c>
      <c r="AH15" s="96">
        <f t="shared" si="21"/>
        <v>7.4</v>
      </c>
      <c r="AI15" s="96">
        <f t="shared" si="22"/>
        <v>0.25</v>
      </c>
      <c r="AJ15" s="60">
        <f t="shared" si="17"/>
        <v>7.3133913440034917</v>
      </c>
    </row>
    <row r="16" spans="2:36">
      <c r="B16" s="436" t="s">
        <v>402</v>
      </c>
      <c r="C16" s="437"/>
      <c r="D16" s="437"/>
      <c r="E16" s="437"/>
      <c r="F16" s="437"/>
      <c r="G16" s="437"/>
      <c r="H16" s="437"/>
      <c r="I16" s="437"/>
      <c r="J16" s="437"/>
      <c r="K16" s="438"/>
      <c r="M16" s="98">
        <f t="shared" si="18"/>
        <v>1.7789999999999999</v>
      </c>
      <c r="N16" s="98">
        <f t="shared" si="2"/>
        <v>7.5527844238794399</v>
      </c>
      <c r="O16" s="98">
        <f t="shared" si="3"/>
        <v>-8.6999999999999994E-3</v>
      </c>
      <c r="P16" s="98">
        <f t="shared" si="4"/>
        <v>7.5150272244598799</v>
      </c>
      <c r="Q16" s="98"/>
      <c r="R16" s="60">
        <f t="shared" si="19"/>
        <v>1.101</v>
      </c>
      <c r="S16" s="60">
        <f t="shared" si="5"/>
        <v>8.7632800710177339</v>
      </c>
      <c r="T16" s="60">
        <f t="shared" si="6"/>
        <v>-0.31419999999999998</v>
      </c>
      <c r="U16" s="60">
        <f t="shared" si="20"/>
        <v>8.5023135353635624</v>
      </c>
      <c r="V16" s="96">
        <f t="shared" si="7"/>
        <v>5.13</v>
      </c>
      <c r="W16" s="96">
        <f t="shared" si="8"/>
        <v>0.22</v>
      </c>
      <c r="X16" s="60">
        <f t="shared" si="9"/>
        <v>5.2397501080146469</v>
      </c>
      <c r="Y16" s="96">
        <f t="shared" si="10"/>
        <v>8.26</v>
      </c>
      <c r="Z16" s="96">
        <f t="shared" si="11"/>
        <v>0.31900000000000001</v>
      </c>
      <c r="AA16" s="60">
        <f t="shared" si="12"/>
        <v>8.5174619489981307</v>
      </c>
      <c r="AB16" s="96">
        <f t="shared" si="0"/>
        <v>2.9</v>
      </c>
      <c r="AC16" s="96">
        <f t="shared" si="1"/>
        <v>0.4</v>
      </c>
      <c r="AD16" s="60">
        <f t="shared" si="13"/>
        <v>3.0137895695176322</v>
      </c>
      <c r="AE16" s="96">
        <f t="shared" si="14"/>
        <v>6.5</v>
      </c>
      <c r="AF16" s="96">
        <f t="shared" si="15"/>
        <v>0.628</v>
      </c>
      <c r="AG16" s="60">
        <f t="shared" si="16"/>
        <v>6.904874555942639</v>
      </c>
      <c r="AH16" s="96">
        <f t="shared" si="21"/>
        <v>7.4</v>
      </c>
      <c r="AI16" s="96">
        <f t="shared" si="22"/>
        <v>0.25</v>
      </c>
      <c r="AJ16" s="60">
        <f t="shared" si="17"/>
        <v>7.5801630853860091</v>
      </c>
    </row>
    <row r="17" spans="2:36">
      <c r="B17" s="439"/>
      <c r="C17" s="439"/>
      <c r="D17" s="439"/>
      <c r="E17" s="25" t="s">
        <v>80</v>
      </c>
      <c r="F17" s="25" t="s">
        <v>81</v>
      </c>
      <c r="G17" s="439"/>
      <c r="H17" s="439"/>
      <c r="I17" s="439"/>
      <c r="J17" s="25" t="s">
        <v>80</v>
      </c>
      <c r="K17" s="25" t="s">
        <v>81</v>
      </c>
      <c r="M17" s="98">
        <f t="shared" si="18"/>
        <v>2.0289999999999999</v>
      </c>
      <c r="N17" s="98">
        <f t="shared" si="2"/>
        <v>7.5527844238794399</v>
      </c>
      <c r="O17" s="98">
        <f t="shared" si="3"/>
        <v>-8.6999999999999994E-3</v>
      </c>
      <c r="P17" s="98">
        <f t="shared" si="4"/>
        <v>7.5064351188758884</v>
      </c>
      <c r="Q17" s="98"/>
      <c r="R17" s="60">
        <f t="shared" si="19"/>
        <v>1.248</v>
      </c>
      <c r="S17" s="60">
        <f t="shared" si="5"/>
        <v>8.7632800710177339</v>
      </c>
      <c r="T17" s="60">
        <f t="shared" si="6"/>
        <v>-0.31419999999999998</v>
      </c>
      <c r="U17" s="60">
        <f t="shared" si="20"/>
        <v>8.1740270219434006</v>
      </c>
      <c r="V17" s="96">
        <f t="shared" si="7"/>
        <v>5.13</v>
      </c>
      <c r="W17" s="96">
        <f t="shared" si="8"/>
        <v>0.22</v>
      </c>
      <c r="X17" s="60">
        <f t="shared" si="9"/>
        <v>5.3862260238248547</v>
      </c>
      <c r="Y17" s="96">
        <f t="shared" si="10"/>
        <v>8.26</v>
      </c>
      <c r="Z17" s="96">
        <f t="shared" si="11"/>
        <v>0.31900000000000001</v>
      </c>
      <c r="AA17" s="60">
        <f t="shared" si="12"/>
        <v>8.8648726296577909</v>
      </c>
      <c r="AB17" s="96">
        <f t="shared" si="0"/>
        <v>2.9</v>
      </c>
      <c r="AC17" s="96">
        <f t="shared" si="1"/>
        <v>0.4</v>
      </c>
      <c r="AD17" s="60">
        <f t="shared" si="13"/>
        <v>3.1687197595398047</v>
      </c>
      <c r="AE17" s="96">
        <f t="shared" si="14"/>
        <v>6.5</v>
      </c>
      <c r="AF17" s="96">
        <f t="shared" si="15"/>
        <v>0.628</v>
      </c>
      <c r="AG17" s="60">
        <f t="shared" si="16"/>
        <v>7.4702668576959486</v>
      </c>
      <c r="AH17" s="96">
        <f t="shared" si="21"/>
        <v>7.4</v>
      </c>
      <c r="AI17" s="96">
        <f t="shared" si="22"/>
        <v>0.25</v>
      </c>
      <c r="AJ17" s="60">
        <f t="shared" si="17"/>
        <v>7.8214156508743988</v>
      </c>
    </row>
    <row r="18" spans="2:36" ht="13.8" thickBot="1">
      <c r="B18" s="440" t="s">
        <v>82</v>
      </c>
      <c r="C18" s="440"/>
      <c r="D18" s="440"/>
      <c r="E18" s="440" t="s">
        <v>83</v>
      </c>
      <c r="F18" s="440"/>
      <c r="G18" s="441" t="s">
        <v>84</v>
      </c>
      <c r="H18" s="442"/>
      <c r="I18" s="443"/>
      <c r="J18" s="441" t="s">
        <v>85</v>
      </c>
      <c r="K18" s="443"/>
      <c r="M18" s="98">
        <f t="shared" si="18"/>
        <v>2.2789999999999999</v>
      </c>
      <c r="N18" s="98">
        <f t="shared" si="2"/>
        <v>7.5527844238794399</v>
      </c>
      <c r="O18" s="98">
        <f t="shared" si="3"/>
        <v>-8.6999999999999994E-3</v>
      </c>
      <c r="P18" s="98">
        <f t="shared" si="4"/>
        <v>7.4988508095539634</v>
      </c>
      <c r="Q18" s="98"/>
      <c r="R18" s="60">
        <f t="shared" si="19"/>
        <v>1.395</v>
      </c>
      <c r="S18" s="60">
        <f t="shared" si="5"/>
        <v>8.7632800710177339</v>
      </c>
      <c r="T18" s="60">
        <f t="shared" si="6"/>
        <v>-0.31419999999999998</v>
      </c>
      <c r="U18" s="60">
        <f t="shared" si="20"/>
        <v>7.8929886040141852</v>
      </c>
      <c r="V18" s="96">
        <f t="shared" si="7"/>
        <v>5.13</v>
      </c>
      <c r="W18" s="96">
        <f t="shared" si="8"/>
        <v>0.22</v>
      </c>
      <c r="X18" s="60">
        <f t="shared" si="9"/>
        <v>5.5198044312655083</v>
      </c>
      <c r="Y18" s="96">
        <f t="shared" si="10"/>
        <v>8.26</v>
      </c>
      <c r="Z18" s="96">
        <f t="shared" si="11"/>
        <v>0.31900000000000001</v>
      </c>
      <c r="AA18" s="60">
        <f t="shared" si="12"/>
        <v>9.1854242404966282</v>
      </c>
      <c r="AB18" s="96">
        <f t="shared" si="0"/>
        <v>2.9</v>
      </c>
      <c r="AC18" s="96">
        <f t="shared" si="1"/>
        <v>0.4</v>
      </c>
      <c r="AD18" s="60">
        <f t="shared" si="13"/>
        <v>3.3130476405669254</v>
      </c>
      <c r="AE18" s="96">
        <f t="shared" si="14"/>
        <v>6.5</v>
      </c>
      <c r="AF18" s="96">
        <f t="shared" si="15"/>
        <v>0.628</v>
      </c>
      <c r="AG18" s="60">
        <f t="shared" si="16"/>
        <v>8.01135467453026</v>
      </c>
      <c r="AH18" s="96">
        <f t="shared" si="21"/>
        <v>7.4</v>
      </c>
      <c r="AI18" s="96">
        <f t="shared" si="22"/>
        <v>0.25</v>
      </c>
      <c r="AJ18" s="60">
        <f t="shared" si="17"/>
        <v>8.0422074505158729</v>
      </c>
    </row>
    <row r="19" spans="2:36" ht="13.8" thickTop="1">
      <c r="B19" s="26">
        <v>14</v>
      </c>
      <c r="C19" s="27" t="s">
        <v>86</v>
      </c>
      <c r="D19" s="28">
        <v>117</v>
      </c>
      <c r="E19" s="334">
        <v>1.8818897637795276E-2</v>
      </c>
      <c r="F19" s="29">
        <v>0.62470000000000003</v>
      </c>
      <c r="G19" s="30">
        <v>0.10100000000000001</v>
      </c>
      <c r="H19" s="27" t="s">
        <v>86</v>
      </c>
      <c r="I19" s="31">
        <v>0.80671499999999996</v>
      </c>
      <c r="J19" s="29">
        <v>10.707683798033065</v>
      </c>
      <c r="K19" s="29">
        <v>0.62470000000000003</v>
      </c>
      <c r="M19" s="98">
        <v>2.5720000000000001</v>
      </c>
      <c r="N19" s="98">
        <f t="shared" si="2"/>
        <v>3.8408799049960156</v>
      </c>
      <c r="O19" s="98">
        <f t="shared" si="3"/>
        <v>0.68820000000000003</v>
      </c>
      <c r="P19" s="98">
        <f t="shared" si="4"/>
        <v>7.3583290655181441</v>
      </c>
      <c r="Q19" s="98"/>
      <c r="R19" s="60">
        <v>1.5029999999999999</v>
      </c>
      <c r="S19" s="60">
        <f t="shared" si="5"/>
        <v>8.7632800710177339</v>
      </c>
      <c r="T19" s="60">
        <f t="shared" si="6"/>
        <v>-0.31419999999999998</v>
      </c>
      <c r="U19" s="60">
        <f t="shared" si="20"/>
        <v>7.7102095237583672</v>
      </c>
      <c r="V19" s="96">
        <f t="shared" si="7"/>
        <v>5.13</v>
      </c>
      <c r="W19" s="96">
        <f t="shared" si="8"/>
        <v>0.22</v>
      </c>
      <c r="X19" s="60">
        <f t="shared" si="9"/>
        <v>5.6111042914110296</v>
      </c>
      <c r="Y19" s="96">
        <f t="shared" si="10"/>
        <v>8.26</v>
      </c>
      <c r="Z19" s="96">
        <f t="shared" si="11"/>
        <v>0.31900000000000001</v>
      </c>
      <c r="AA19" s="60">
        <f t="shared" si="12"/>
        <v>9.4065412024390511</v>
      </c>
      <c r="AB19" s="96">
        <f t="shared" si="0"/>
        <v>2.9</v>
      </c>
      <c r="AC19" s="96">
        <f t="shared" si="1"/>
        <v>0.4</v>
      </c>
      <c r="AD19" s="60">
        <f t="shared" si="13"/>
        <v>3.4133560332957864</v>
      </c>
      <c r="AE19" s="96">
        <f t="shared" si="14"/>
        <v>6.5</v>
      </c>
      <c r="AF19" s="96">
        <f t="shared" si="15"/>
        <v>0.628</v>
      </c>
      <c r="AG19" s="60">
        <f t="shared" si="16"/>
        <v>8.3954425955308736</v>
      </c>
      <c r="AH19" s="96">
        <f t="shared" si="21"/>
        <v>7.4</v>
      </c>
      <c r="AI19" s="96">
        <f t="shared" si="22"/>
        <v>0.25</v>
      </c>
      <c r="AJ19" s="60">
        <f t="shared" si="17"/>
        <v>8.1935378614209071</v>
      </c>
    </row>
    <row r="20" spans="2:36">
      <c r="B20" s="32">
        <v>117</v>
      </c>
      <c r="C20" s="33" t="s">
        <v>86</v>
      </c>
      <c r="D20" s="34">
        <v>218</v>
      </c>
      <c r="E20" s="335">
        <v>1.648031496062992</v>
      </c>
      <c r="F20" s="35">
        <v>-0.31419999999999998</v>
      </c>
      <c r="G20" s="36">
        <v>0.80671499999999996</v>
      </c>
      <c r="H20" s="33" t="s">
        <v>86</v>
      </c>
      <c r="I20" s="37">
        <v>1.5031099999999999</v>
      </c>
      <c r="J20" s="35">
        <v>8.7632800710177339</v>
      </c>
      <c r="K20" s="35">
        <v>-0.31419999999999998</v>
      </c>
      <c r="M20" s="98">
        <f t="shared" si="18"/>
        <v>2.8220000000000001</v>
      </c>
      <c r="N20" s="98">
        <f t="shared" si="2"/>
        <v>3.8408799049960156</v>
      </c>
      <c r="O20" s="98">
        <f t="shared" si="3"/>
        <v>0.68820000000000003</v>
      </c>
      <c r="P20" s="98">
        <f t="shared" si="4"/>
        <v>7.8433945471532729</v>
      </c>
      <c r="Q20" s="98"/>
      <c r="R20" s="60">
        <f t="shared" si="19"/>
        <v>1.65</v>
      </c>
      <c r="S20" s="60">
        <f t="shared" si="5"/>
        <v>7.8521657949784069</v>
      </c>
      <c r="T20" s="60">
        <f t="shared" si="6"/>
        <v>-1.2999999999999999E-2</v>
      </c>
      <c r="U20" s="60">
        <f t="shared" si="20"/>
        <v>7.801213608674356</v>
      </c>
      <c r="V20" s="96">
        <f t="shared" si="7"/>
        <v>5.13</v>
      </c>
      <c r="W20" s="96">
        <f t="shared" si="8"/>
        <v>0.22</v>
      </c>
      <c r="X20" s="60">
        <f t="shared" si="9"/>
        <v>5.7274833168357899</v>
      </c>
      <c r="Y20" s="96">
        <f t="shared" si="10"/>
        <v>8.26</v>
      </c>
      <c r="Z20" s="96">
        <f t="shared" si="11"/>
        <v>0.31900000000000001</v>
      </c>
      <c r="AA20" s="60">
        <f t="shared" si="12"/>
        <v>9.6907507955007954</v>
      </c>
      <c r="AB20" s="96">
        <f t="shared" si="0"/>
        <v>2.9</v>
      </c>
      <c r="AC20" s="96">
        <f t="shared" si="1"/>
        <v>0.4</v>
      </c>
      <c r="AD20" s="60">
        <f t="shared" si="13"/>
        <v>3.5431666180067785</v>
      </c>
      <c r="AE20" s="96">
        <f t="shared" si="14"/>
        <v>6.5</v>
      </c>
      <c r="AF20" s="96">
        <f t="shared" si="15"/>
        <v>0.628</v>
      </c>
      <c r="AG20" s="60">
        <f t="shared" si="16"/>
        <v>8.9021165022776234</v>
      </c>
      <c r="AH20" s="96">
        <f t="shared" si="21"/>
        <v>7.4</v>
      </c>
      <c r="AI20" s="96">
        <f t="shared" si="22"/>
        <v>0.25</v>
      </c>
      <c r="AJ20" s="60">
        <f t="shared" si="17"/>
        <v>8.3869239653624046</v>
      </c>
    </row>
    <row r="21" spans="2:36">
      <c r="B21" s="32">
        <v>218</v>
      </c>
      <c r="C21" s="33" t="s">
        <v>86</v>
      </c>
      <c r="D21" s="34">
        <v>550</v>
      </c>
      <c r="E21" s="335">
        <v>0.3298031496062992</v>
      </c>
      <c r="F21" s="35">
        <v>-1.2999999999999999E-2</v>
      </c>
      <c r="G21" s="36">
        <v>1.5031099999999999</v>
      </c>
      <c r="H21" s="33" t="s">
        <v>86</v>
      </c>
      <c r="I21" s="37">
        <v>3.7922500000000001</v>
      </c>
      <c r="J21" s="35">
        <v>7.8521657949784069</v>
      </c>
      <c r="K21" s="35">
        <v>-1.2999999999999999E-2</v>
      </c>
      <c r="M21" s="98">
        <f t="shared" si="18"/>
        <v>3.0720000000000001</v>
      </c>
      <c r="N21" s="98">
        <f t="shared" si="2"/>
        <v>3.8408799049960156</v>
      </c>
      <c r="O21" s="98">
        <f t="shared" si="3"/>
        <v>0.68820000000000003</v>
      </c>
      <c r="P21" s="98">
        <f t="shared" si="4"/>
        <v>8.3152250095321865</v>
      </c>
      <c r="Q21" s="98"/>
      <c r="R21" s="60">
        <f t="shared" si="19"/>
        <v>1.7969999999999999</v>
      </c>
      <c r="S21" s="60">
        <f t="shared" si="5"/>
        <v>7.8521657949784069</v>
      </c>
      <c r="T21" s="60">
        <f t="shared" si="6"/>
        <v>-1.2999999999999999E-2</v>
      </c>
      <c r="U21" s="60">
        <f t="shared" si="20"/>
        <v>7.7925632490984515</v>
      </c>
      <c r="V21" s="96">
        <f t="shared" si="7"/>
        <v>5.13</v>
      </c>
      <c r="W21" s="96">
        <f t="shared" si="8"/>
        <v>0.22</v>
      </c>
      <c r="X21" s="60">
        <f t="shared" si="9"/>
        <v>5.8360357294929761</v>
      </c>
      <c r="Y21" s="96">
        <f t="shared" si="10"/>
        <v>8.26</v>
      </c>
      <c r="Z21" s="96">
        <f t="shared" si="11"/>
        <v>0.31900000000000001</v>
      </c>
      <c r="AA21" s="60">
        <f t="shared" si="12"/>
        <v>9.9582009066836878</v>
      </c>
      <c r="AB21" s="96">
        <f t="shared" si="0"/>
        <v>2.9</v>
      </c>
      <c r="AC21" s="96">
        <f t="shared" si="1"/>
        <v>0.4</v>
      </c>
      <c r="AD21" s="60">
        <f t="shared" si="13"/>
        <v>3.6662090804915897</v>
      </c>
      <c r="AE21" s="96">
        <f t="shared" si="14"/>
        <v>6.5</v>
      </c>
      <c r="AF21" s="96">
        <f t="shared" si="15"/>
        <v>0.628</v>
      </c>
      <c r="AG21" s="60">
        <f t="shared" si="16"/>
        <v>9.3922479475190634</v>
      </c>
      <c r="AH21" s="96">
        <f t="shared" si="21"/>
        <v>7.4</v>
      </c>
      <c r="AI21" s="96">
        <f t="shared" si="22"/>
        <v>0.25</v>
      </c>
      <c r="AJ21" s="60">
        <f t="shared" si="17"/>
        <v>8.5677885359303758</v>
      </c>
    </row>
    <row r="22" spans="2:36">
      <c r="B22" s="32">
        <v>550</v>
      </c>
      <c r="C22" s="33" t="s">
        <v>86</v>
      </c>
      <c r="D22" s="34">
        <v>1020</v>
      </c>
      <c r="E22" s="335">
        <v>1.0708661417322834E-2</v>
      </c>
      <c r="F22" s="35">
        <v>0.53539999999999999</v>
      </c>
      <c r="G22" s="36">
        <v>3.7922500000000001</v>
      </c>
      <c r="H22" s="33" t="s">
        <v>86</v>
      </c>
      <c r="I22" s="37">
        <v>7.0328999999999997</v>
      </c>
      <c r="J22" s="35">
        <v>3.9067683041390504</v>
      </c>
      <c r="K22" s="35">
        <v>0.53539999999999999</v>
      </c>
      <c r="M22" s="98">
        <f t="shared" si="18"/>
        <v>3.3220000000000001</v>
      </c>
      <c r="N22" s="98">
        <f t="shared" si="2"/>
        <v>3.8408799049960156</v>
      </c>
      <c r="O22" s="98">
        <f t="shared" si="3"/>
        <v>0.68820000000000003</v>
      </c>
      <c r="P22" s="98">
        <f t="shared" si="4"/>
        <v>8.7752187637091339</v>
      </c>
      <c r="Q22" s="98"/>
      <c r="R22" s="60">
        <f t="shared" si="19"/>
        <v>1.944</v>
      </c>
      <c r="S22" s="60">
        <f t="shared" si="5"/>
        <v>7.8521657949784069</v>
      </c>
      <c r="T22" s="60">
        <f t="shared" si="6"/>
        <v>-1.2999999999999999E-2</v>
      </c>
      <c r="U22" s="60">
        <f t="shared" si="20"/>
        <v>7.7846019298594484</v>
      </c>
      <c r="V22" s="96">
        <f t="shared" si="7"/>
        <v>5.13</v>
      </c>
      <c r="W22" s="96">
        <f t="shared" si="8"/>
        <v>0.22</v>
      </c>
      <c r="X22" s="60">
        <f t="shared" si="9"/>
        <v>5.937868048236747</v>
      </c>
      <c r="Y22" s="96">
        <f t="shared" si="10"/>
        <v>8.26</v>
      </c>
      <c r="Z22" s="96">
        <f t="shared" si="11"/>
        <v>0.31900000000000001</v>
      </c>
      <c r="AA22" s="60">
        <f t="shared" si="12"/>
        <v>10.211138208716385</v>
      </c>
      <c r="AB22" s="96">
        <f t="shared" si="0"/>
        <v>2.9</v>
      </c>
      <c r="AC22" s="96">
        <f t="shared" si="1"/>
        <v>0.4</v>
      </c>
      <c r="AD22" s="60">
        <f t="shared" si="13"/>
        <v>3.7833498443975704</v>
      </c>
      <c r="AE22" s="96">
        <f t="shared" si="14"/>
        <v>6.5</v>
      </c>
      <c r="AF22" s="96">
        <f t="shared" si="15"/>
        <v>0.628</v>
      </c>
      <c r="AG22" s="60">
        <f t="shared" si="16"/>
        <v>9.8676697988229947</v>
      </c>
      <c r="AH22" s="96">
        <f t="shared" si="21"/>
        <v>7.4</v>
      </c>
      <c r="AI22" s="96">
        <f t="shared" si="22"/>
        <v>0.25</v>
      </c>
      <c r="AJ22" s="60">
        <f t="shared" si="17"/>
        <v>8.7378741404185103</v>
      </c>
    </row>
    <row r="23" spans="2:36">
      <c r="B23" s="26">
        <v>1020</v>
      </c>
      <c r="C23" s="27" t="s">
        <v>86</v>
      </c>
      <c r="D23" s="28">
        <v>1548</v>
      </c>
      <c r="E23" s="335">
        <v>0.27665354330708658</v>
      </c>
      <c r="F23" s="35">
        <v>6.3799999999999996E-2</v>
      </c>
      <c r="G23" s="30">
        <v>7.0328999999999997</v>
      </c>
      <c r="H23" s="27" t="s">
        <v>86</v>
      </c>
      <c r="I23" s="38">
        <v>10.67346</v>
      </c>
      <c r="J23" s="35">
        <v>9.6532036198768516</v>
      </c>
      <c r="K23" s="35">
        <v>6.3799999999999996E-2</v>
      </c>
      <c r="M23" s="98">
        <f t="shared" si="18"/>
        <v>3.5720000000000001</v>
      </c>
      <c r="N23" s="98">
        <f t="shared" si="2"/>
        <v>3.8408799049960156</v>
      </c>
      <c r="O23" s="98">
        <f t="shared" si="3"/>
        <v>0.68820000000000003</v>
      </c>
      <c r="P23" s="98">
        <f t="shared" si="4"/>
        <v>9.2245329836184613</v>
      </c>
      <c r="Q23" s="98"/>
      <c r="R23" s="60">
        <f t="shared" si="19"/>
        <v>2.0910000000000002</v>
      </c>
      <c r="S23" s="60">
        <f t="shared" si="5"/>
        <v>7.8521657949784069</v>
      </c>
      <c r="T23" s="60">
        <f t="shared" si="6"/>
        <v>-1.2999999999999999E-2</v>
      </c>
      <c r="U23" s="60">
        <f t="shared" si="20"/>
        <v>7.7772284917136059</v>
      </c>
      <c r="V23" s="96">
        <f t="shared" si="7"/>
        <v>5.13</v>
      </c>
      <c r="W23" s="96">
        <f t="shared" si="8"/>
        <v>0.22</v>
      </c>
      <c r="X23" s="60">
        <f t="shared" si="9"/>
        <v>6.0338603202130594</v>
      </c>
      <c r="Y23" s="96">
        <f t="shared" si="10"/>
        <v>8.26</v>
      </c>
      <c r="Z23" s="96">
        <f t="shared" si="11"/>
        <v>0.31900000000000001</v>
      </c>
      <c r="AA23" s="60">
        <f t="shared" si="12"/>
        <v>10.451364245048202</v>
      </c>
      <c r="AB23" s="96">
        <f t="shared" si="0"/>
        <v>2.9</v>
      </c>
      <c r="AC23" s="96">
        <f t="shared" si="1"/>
        <v>0.4</v>
      </c>
      <c r="AD23" s="60">
        <f t="shared" si="13"/>
        <v>3.8952883413514137</v>
      </c>
      <c r="AE23" s="96">
        <f t="shared" si="14"/>
        <v>6.5</v>
      </c>
      <c r="AF23" s="96">
        <f t="shared" si="15"/>
        <v>0.628</v>
      </c>
      <c r="AG23" s="60">
        <f t="shared" si="16"/>
        <v>10.329889818849496</v>
      </c>
      <c r="AH23" s="96">
        <f t="shared" si="21"/>
        <v>7.4</v>
      </c>
      <c r="AI23" s="96">
        <f t="shared" si="22"/>
        <v>0.25</v>
      </c>
      <c r="AJ23" s="60">
        <f t="shared" si="17"/>
        <v>8.8985701392664716</v>
      </c>
    </row>
    <row r="24" spans="2:36">
      <c r="M24" s="98">
        <f t="shared" si="18"/>
        <v>3.8220000000000001</v>
      </c>
      <c r="N24" s="98">
        <f t="shared" si="2"/>
        <v>3.8408799049960156</v>
      </c>
      <c r="O24" s="98">
        <f t="shared" si="3"/>
        <v>0.68820000000000003</v>
      </c>
      <c r="P24" s="98">
        <f t="shared" si="4"/>
        <v>9.6641391797676466</v>
      </c>
      <c r="Q24" s="98"/>
      <c r="R24" s="60">
        <f t="shared" si="19"/>
        <v>2.2380000000000004</v>
      </c>
      <c r="S24" s="60">
        <f t="shared" si="5"/>
        <v>7.8521657949784069</v>
      </c>
      <c r="T24" s="60">
        <f t="shared" si="6"/>
        <v>-1.2999999999999999E-2</v>
      </c>
      <c r="U24" s="60">
        <f t="shared" si="20"/>
        <v>7.7703625013564839</v>
      </c>
      <c r="V24" s="96">
        <f t="shared" si="7"/>
        <v>5.13</v>
      </c>
      <c r="W24" s="96">
        <f t="shared" si="8"/>
        <v>0.22</v>
      </c>
      <c r="X24" s="60">
        <f t="shared" si="9"/>
        <v>6.1247248523620117</v>
      </c>
      <c r="Y24" s="96">
        <f t="shared" si="10"/>
        <v>8.26</v>
      </c>
      <c r="Z24" s="96">
        <f t="shared" si="11"/>
        <v>0.31900000000000001</v>
      </c>
      <c r="AA24" s="60">
        <f t="shared" si="12"/>
        <v>10.680348243691963</v>
      </c>
      <c r="AB24" s="96">
        <f t="shared" si="0"/>
        <v>2.9</v>
      </c>
      <c r="AC24" s="96">
        <f t="shared" si="1"/>
        <v>0.4</v>
      </c>
      <c r="AD24" s="60">
        <f t="shared" si="13"/>
        <v>4.002598522988575</v>
      </c>
      <c r="AE24" s="96">
        <f t="shared" si="14"/>
        <v>6.5</v>
      </c>
      <c r="AF24" s="96">
        <f t="shared" si="15"/>
        <v>0.628</v>
      </c>
      <c r="AG24" s="60">
        <f t="shared" si="16"/>
        <v>10.780166988144853</v>
      </c>
      <c r="AH24" s="96">
        <f t="shared" si="21"/>
        <v>7.4</v>
      </c>
      <c r="AI24" s="96">
        <f t="shared" si="22"/>
        <v>0.25</v>
      </c>
      <c r="AJ24" s="60">
        <f t="shared" si="17"/>
        <v>9.051003655134167</v>
      </c>
    </row>
    <row r="25" spans="2:36">
      <c r="B25" s="436" t="s">
        <v>476</v>
      </c>
      <c r="C25" s="437"/>
      <c r="D25" s="437"/>
      <c r="E25" s="437"/>
      <c r="F25" s="437"/>
      <c r="G25" s="437"/>
      <c r="H25" s="437"/>
      <c r="I25" s="437"/>
      <c r="J25" s="437"/>
      <c r="K25" s="438"/>
      <c r="M25" s="98">
        <f t="shared" si="18"/>
        <v>4.0720000000000001</v>
      </c>
      <c r="N25" s="98">
        <f t="shared" si="2"/>
        <v>3.8408799049960156</v>
      </c>
      <c r="O25" s="98">
        <f t="shared" si="3"/>
        <v>0.68820000000000003</v>
      </c>
      <c r="P25" s="98">
        <f t="shared" si="4"/>
        <v>10.094863127774543</v>
      </c>
      <c r="Q25" s="98"/>
      <c r="R25" s="60">
        <f t="shared" si="19"/>
        <v>2.3850000000000007</v>
      </c>
      <c r="S25" s="60">
        <f t="shared" si="5"/>
        <v>7.8521657949784069</v>
      </c>
      <c r="T25" s="60">
        <f t="shared" si="6"/>
        <v>-1.2999999999999999E-2</v>
      </c>
      <c r="U25" s="60">
        <f t="shared" si="20"/>
        <v>7.7639389539880135</v>
      </c>
      <c r="V25" s="96">
        <f t="shared" si="7"/>
        <v>5.13</v>
      </c>
      <c r="W25" s="96">
        <f t="shared" si="8"/>
        <v>0.22</v>
      </c>
      <c r="X25" s="60">
        <f t="shared" si="9"/>
        <v>6.2110469116140763</v>
      </c>
      <c r="Y25" s="96">
        <f t="shared" si="10"/>
        <v>8.26</v>
      </c>
      <c r="Z25" s="96">
        <f t="shared" si="11"/>
        <v>0.31900000000000001</v>
      </c>
      <c r="AA25" s="60">
        <f t="shared" si="12"/>
        <v>10.899305898790347</v>
      </c>
      <c r="AB25" s="96">
        <f t="shared" si="0"/>
        <v>2.9</v>
      </c>
      <c r="AC25" s="96">
        <f t="shared" si="1"/>
        <v>0.4</v>
      </c>
      <c r="AD25" s="60">
        <f t="shared" si="13"/>
        <v>4.1057580328790628</v>
      </c>
      <c r="AE25" s="96">
        <f t="shared" si="14"/>
        <v>6.5</v>
      </c>
      <c r="AF25" s="96">
        <f t="shared" si="15"/>
        <v>0.628</v>
      </c>
      <c r="AG25" s="60">
        <f t="shared" si="16"/>
        <v>11.219566096126943</v>
      </c>
      <c r="AH25" s="96">
        <f t="shared" si="21"/>
        <v>7.4</v>
      </c>
      <c r="AI25" s="96">
        <f t="shared" si="22"/>
        <v>0.25</v>
      </c>
      <c r="AJ25" s="60">
        <f t="shared" si="17"/>
        <v>9.1961027603038037</v>
      </c>
    </row>
    <row r="26" spans="2:36">
      <c r="B26" s="439"/>
      <c r="C26" s="439"/>
      <c r="D26" s="439"/>
      <c r="E26" s="25" t="s">
        <v>80</v>
      </c>
      <c r="F26" s="25" t="s">
        <v>81</v>
      </c>
      <c r="G26" s="439"/>
      <c r="H26" s="439"/>
      <c r="I26" s="439"/>
      <c r="J26" s="25" t="s">
        <v>80</v>
      </c>
      <c r="K26" s="25" t="s">
        <v>81</v>
      </c>
      <c r="M26" s="98">
        <f t="shared" ref="M26:M54" si="23">M25+$M$5</f>
        <v>4.3220000000000001</v>
      </c>
      <c r="N26" s="98">
        <f t="shared" si="2"/>
        <v>3.8408799049960156</v>
      </c>
      <c r="O26" s="98">
        <f t="shared" si="3"/>
        <v>0.68820000000000003</v>
      </c>
      <c r="P26" s="98">
        <f t="shared" si="4"/>
        <v>10.517414293326143</v>
      </c>
      <c r="Q26" s="98"/>
      <c r="R26" s="60">
        <f t="shared" si="19"/>
        <v>2.5320000000000009</v>
      </c>
      <c r="S26" s="60">
        <f t="shared" si="5"/>
        <v>7.8521657949784069</v>
      </c>
      <c r="T26" s="60">
        <f t="shared" si="6"/>
        <v>-1.2999999999999999E-2</v>
      </c>
      <c r="U26" s="60">
        <f t="shared" si="20"/>
        <v>7.7579045664627335</v>
      </c>
      <c r="V26" s="96">
        <f t="shared" si="7"/>
        <v>5.13</v>
      </c>
      <c r="W26" s="96">
        <f t="shared" si="8"/>
        <v>0.22</v>
      </c>
      <c r="X26" s="60">
        <f t="shared" si="9"/>
        <v>6.2933136860522163</v>
      </c>
      <c r="Y26" s="96">
        <f t="shared" si="10"/>
        <v>8.26</v>
      </c>
      <c r="Z26" s="96">
        <f t="shared" si="11"/>
        <v>0.31900000000000001</v>
      </c>
      <c r="AA26" s="60">
        <f t="shared" si="12"/>
        <v>11.109255829876441</v>
      </c>
      <c r="AB26" s="96">
        <f t="shared" si="0"/>
        <v>2.9</v>
      </c>
      <c r="AC26" s="96">
        <f t="shared" si="1"/>
        <v>0.4</v>
      </c>
      <c r="AD26" s="60">
        <f t="shared" si="13"/>
        <v>4.2051692348090439</v>
      </c>
      <c r="AE26" s="96">
        <f t="shared" si="14"/>
        <v>6.5</v>
      </c>
      <c r="AF26" s="96">
        <f t="shared" si="15"/>
        <v>0.628</v>
      </c>
      <c r="AG26" s="60">
        <f t="shared" si="16"/>
        <v>11.648997742109536</v>
      </c>
      <c r="AH26" s="96">
        <f t="shared" si="21"/>
        <v>7.4</v>
      </c>
      <c r="AI26" s="96">
        <f t="shared" si="22"/>
        <v>0.25</v>
      </c>
      <c r="AJ26" s="60">
        <f t="shared" si="17"/>
        <v>9.3346415362260817</v>
      </c>
    </row>
    <row r="27" spans="2:36" ht="13.8" thickBot="1">
      <c r="B27" s="440" t="s">
        <v>82</v>
      </c>
      <c r="C27" s="440"/>
      <c r="D27" s="440"/>
      <c r="E27" s="440" t="s">
        <v>83</v>
      </c>
      <c r="F27" s="440"/>
      <c r="G27" s="441" t="s">
        <v>84</v>
      </c>
      <c r="H27" s="442"/>
      <c r="I27" s="443"/>
      <c r="J27" s="441" t="s">
        <v>85</v>
      </c>
      <c r="K27" s="443"/>
      <c r="M27" s="98">
        <f t="shared" si="23"/>
        <v>4.5720000000000001</v>
      </c>
      <c r="N27" s="98">
        <f t="shared" si="2"/>
        <v>3.8408799049960156</v>
      </c>
      <c r="O27" s="98">
        <f t="shared" si="3"/>
        <v>0.68820000000000003</v>
      </c>
      <c r="P27" s="98">
        <f t="shared" si="4"/>
        <v>10.932407963195997</v>
      </c>
      <c r="Q27" s="98"/>
      <c r="R27" s="60">
        <f t="shared" si="19"/>
        <v>2.6790000000000012</v>
      </c>
      <c r="S27" s="60">
        <f t="shared" si="5"/>
        <v>7.8521657949784069</v>
      </c>
      <c r="T27" s="60">
        <f t="shared" si="6"/>
        <v>-1.2999999999999999E-2</v>
      </c>
      <c r="U27" s="60">
        <f t="shared" si="20"/>
        <v>7.7522151204058236</v>
      </c>
      <c r="V27" s="96">
        <f t="shared" si="7"/>
        <v>5.13</v>
      </c>
      <c r="W27" s="96">
        <f t="shared" si="8"/>
        <v>0.22</v>
      </c>
      <c r="X27" s="60">
        <f t="shared" si="9"/>
        <v>6.371935369505298</v>
      </c>
      <c r="Y27" s="96">
        <f t="shared" si="10"/>
        <v>8.26</v>
      </c>
      <c r="Z27" s="96">
        <f t="shared" si="11"/>
        <v>0.31900000000000001</v>
      </c>
      <c r="AA27" s="60">
        <f t="shared" si="12"/>
        <v>11.311060959363074</v>
      </c>
      <c r="AB27" s="96">
        <f t="shared" si="0"/>
        <v>2.9</v>
      </c>
      <c r="AC27" s="96">
        <f t="shared" si="1"/>
        <v>0.4</v>
      </c>
      <c r="AD27" s="60">
        <f t="shared" si="13"/>
        <v>4.3011747076556706</v>
      </c>
      <c r="AE27" s="96">
        <f t="shared" si="14"/>
        <v>6.5</v>
      </c>
      <c r="AF27" s="96">
        <f t="shared" si="15"/>
        <v>0.628</v>
      </c>
      <c r="AG27" s="60">
        <f t="shared" si="16"/>
        <v>12.069248263561752</v>
      </c>
      <c r="AH27" s="96">
        <f t="shared" si="21"/>
        <v>7.4</v>
      </c>
      <c r="AI27" s="96">
        <f t="shared" si="22"/>
        <v>0.25</v>
      </c>
      <c r="AJ27" s="60">
        <f t="shared" si="17"/>
        <v>9.4672729442092223</v>
      </c>
    </row>
    <row r="28" spans="2:36" ht="13.8" thickTop="1">
      <c r="B28" s="26">
        <v>14</v>
      </c>
      <c r="C28" s="27" t="s">
        <v>86</v>
      </c>
      <c r="D28" s="28">
        <v>1500</v>
      </c>
      <c r="E28" s="334">
        <v>6.7599999999999993E-2</v>
      </c>
      <c r="F28" s="29">
        <v>0.22</v>
      </c>
      <c r="G28" s="30">
        <v>0.10100000000000001</v>
      </c>
      <c r="H28" s="27" t="s">
        <v>86</v>
      </c>
      <c r="I28" s="31">
        <v>10.3</v>
      </c>
      <c r="J28" s="29">
        <v>5.13</v>
      </c>
      <c r="K28" s="29">
        <v>0.22</v>
      </c>
      <c r="M28" s="98">
        <f t="shared" si="23"/>
        <v>4.8220000000000001</v>
      </c>
      <c r="N28" s="98">
        <f t="shared" si="2"/>
        <v>3.8408799049960156</v>
      </c>
      <c r="O28" s="98">
        <f t="shared" si="3"/>
        <v>0.68820000000000003</v>
      </c>
      <c r="P28" s="98">
        <f t="shared" si="4"/>
        <v>11.340382189469967</v>
      </c>
      <c r="Q28" s="98"/>
      <c r="R28" s="60">
        <f t="shared" si="19"/>
        <v>2.8260000000000014</v>
      </c>
      <c r="S28" s="60">
        <f t="shared" si="5"/>
        <v>7.8521657949784069</v>
      </c>
      <c r="T28" s="60">
        <f t="shared" si="6"/>
        <v>-1.2999999999999999E-2</v>
      </c>
      <c r="U28" s="60">
        <f t="shared" si="20"/>
        <v>7.7468335175651957</v>
      </c>
      <c r="V28" s="96">
        <f t="shared" si="7"/>
        <v>5.13</v>
      </c>
      <c r="W28" s="96">
        <f t="shared" si="8"/>
        <v>0.22</v>
      </c>
      <c r="X28" s="60">
        <f t="shared" si="9"/>
        <v>6.4472608211874141</v>
      </c>
      <c r="Y28" s="96">
        <f t="shared" si="10"/>
        <v>8.26</v>
      </c>
      <c r="Z28" s="96">
        <f t="shared" si="11"/>
        <v>0.31900000000000001</v>
      </c>
      <c r="AA28" s="60">
        <f t="shared" si="12"/>
        <v>11.505459435177105</v>
      </c>
      <c r="AB28" s="96">
        <f t="shared" si="0"/>
        <v>2.9</v>
      </c>
      <c r="AC28" s="96">
        <f t="shared" si="1"/>
        <v>0.4</v>
      </c>
      <c r="AD28" s="60">
        <f t="shared" si="13"/>
        <v>4.3940688841132829</v>
      </c>
      <c r="AE28" s="96">
        <f t="shared" si="14"/>
        <v>6.5</v>
      </c>
      <c r="AF28" s="96">
        <f t="shared" si="15"/>
        <v>0.628</v>
      </c>
      <c r="AG28" s="60">
        <f t="shared" si="16"/>
        <v>12.481002539659375</v>
      </c>
      <c r="AH28" s="96">
        <f t="shared" si="21"/>
        <v>7.4</v>
      </c>
      <c r="AI28" s="96">
        <f t="shared" si="22"/>
        <v>0.25</v>
      </c>
      <c r="AJ28" s="60">
        <f t="shared" si="17"/>
        <v>9.5945532846241601</v>
      </c>
    </row>
    <row r="29" spans="2:36">
      <c r="M29" s="98">
        <f t="shared" si="23"/>
        <v>5.0720000000000001</v>
      </c>
      <c r="N29" s="98">
        <f t="shared" si="2"/>
        <v>3.8408799049960156</v>
      </c>
      <c r="O29" s="98">
        <f t="shared" si="3"/>
        <v>0.68820000000000003</v>
      </c>
      <c r="P29" s="98">
        <f t="shared" si="4"/>
        <v>11.741810967849634</v>
      </c>
      <c r="Q29" s="98"/>
      <c r="R29" s="60">
        <f t="shared" si="19"/>
        <v>2.9730000000000016</v>
      </c>
      <c r="S29" s="60">
        <f t="shared" si="5"/>
        <v>7.8521657949784069</v>
      </c>
      <c r="T29" s="60">
        <f t="shared" si="6"/>
        <v>-1.2999999999999999E-2</v>
      </c>
      <c r="U29" s="60">
        <f t="shared" si="20"/>
        <v>7.7417283299614903</v>
      </c>
      <c r="V29" s="96">
        <f t="shared" si="7"/>
        <v>5.13</v>
      </c>
      <c r="W29" s="96">
        <f t="shared" si="8"/>
        <v>0.22</v>
      </c>
      <c r="X29" s="60">
        <f t="shared" si="9"/>
        <v>6.5195894024173873</v>
      </c>
      <c r="Y29" s="96">
        <f t="shared" si="10"/>
        <v>8.26</v>
      </c>
      <c r="Z29" s="96">
        <f t="shared" si="11"/>
        <v>0.31900000000000001</v>
      </c>
      <c r="AA29" s="60">
        <f t="shared" si="12"/>
        <v>11.693088141181613</v>
      </c>
      <c r="AB29" s="96">
        <f t="shared" si="0"/>
        <v>2.9</v>
      </c>
      <c r="AC29" s="96">
        <f t="shared" si="1"/>
        <v>0.4</v>
      </c>
      <c r="AD29" s="60">
        <f t="shared" si="13"/>
        <v>4.4841069419350692</v>
      </c>
      <c r="AE29" s="96">
        <f t="shared" si="14"/>
        <v>6.5</v>
      </c>
      <c r="AF29" s="96">
        <f t="shared" si="15"/>
        <v>0.628</v>
      </c>
      <c r="AG29" s="60">
        <f t="shared" si="16"/>
        <v>12.884861647272995</v>
      </c>
      <c r="AH29" s="96">
        <f t="shared" si="21"/>
        <v>7.4</v>
      </c>
      <c r="AI29" s="96">
        <f t="shared" si="22"/>
        <v>0.25</v>
      </c>
      <c r="AJ29" s="60">
        <f t="shared" si="17"/>
        <v>9.7169607177155495</v>
      </c>
    </row>
    <row r="30" spans="2:36">
      <c r="B30" s="436" t="s">
        <v>367</v>
      </c>
      <c r="C30" s="437"/>
      <c r="D30" s="437"/>
      <c r="E30" s="437"/>
      <c r="F30" s="437"/>
      <c r="G30" s="437"/>
      <c r="H30" s="437"/>
      <c r="I30" s="437"/>
      <c r="J30" s="437"/>
      <c r="K30" s="438"/>
      <c r="M30" s="98">
        <f t="shared" si="23"/>
        <v>5.3220000000000001</v>
      </c>
      <c r="N30" s="98">
        <f t="shared" si="2"/>
        <v>3.8408799049960156</v>
      </c>
      <c r="O30" s="98">
        <f t="shared" si="3"/>
        <v>0.68820000000000003</v>
      </c>
      <c r="P30" s="98">
        <f t="shared" si="4"/>
        <v>12.137114630927718</v>
      </c>
      <c r="Q30" s="98"/>
      <c r="R30" s="60">
        <f t="shared" si="19"/>
        <v>3.1200000000000019</v>
      </c>
      <c r="S30" s="60">
        <f t="shared" si="5"/>
        <v>7.8521657949784069</v>
      </c>
      <c r="T30" s="60">
        <f t="shared" si="6"/>
        <v>-1.2999999999999999E-2</v>
      </c>
      <c r="U30" s="60">
        <f t="shared" si="20"/>
        <v>7.7368727010922083</v>
      </c>
      <c r="V30" s="96">
        <f t="shared" si="7"/>
        <v>5.13</v>
      </c>
      <c r="W30" s="96">
        <f t="shared" si="8"/>
        <v>0.22</v>
      </c>
      <c r="X30" s="60">
        <f t="shared" si="9"/>
        <v>6.589180064357417</v>
      </c>
      <c r="Y30" s="96">
        <f t="shared" si="10"/>
        <v>8.26</v>
      </c>
      <c r="Z30" s="96">
        <f t="shared" si="11"/>
        <v>0.31900000000000001</v>
      </c>
      <c r="AA30" s="60">
        <f t="shared" si="12"/>
        <v>11.874500847160288</v>
      </c>
      <c r="AB30" s="96">
        <f t="shared" si="0"/>
        <v>2.9</v>
      </c>
      <c r="AC30" s="96">
        <f t="shared" si="1"/>
        <v>0.4</v>
      </c>
      <c r="AD30" s="60">
        <f t="shared" si="13"/>
        <v>4.5715116989344065</v>
      </c>
      <c r="AE30" s="96">
        <f t="shared" si="14"/>
        <v>6.5</v>
      </c>
      <c r="AF30" s="96">
        <f t="shared" si="15"/>
        <v>0.628</v>
      </c>
      <c r="AG30" s="60">
        <f t="shared" si="16"/>
        <v>13.281356727501089</v>
      </c>
      <c r="AH30" s="96">
        <f t="shared" si="21"/>
        <v>7.4</v>
      </c>
      <c r="AI30" s="96">
        <f t="shared" si="22"/>
        <v>0.25</v>
      </c>
      <c r="AJ30" s="60">
        <f t="shared" si="17"/>
        <v>9.8349095068547836</v>
      </c>
    </row>
    <row r="31" spans="2:36">
      <c r="B31" s="439"/>
      <c r="C31" s="439"/>
      <c r="D31" s="439"/>
      <c r="E31" s="25" t="s">
        <v>80</v>
      </c>
      <c r="F31" s="25" t="s">
        <v>81</v>
      </c>
      <c r="G31" s="439"/>
      <c r="H31" s="439"/>
      <c r="I31" s="439"/>
      <c r="J31" s="25" t="s">
        <v>80</v>
      </c>
      <c r="K31" s="25" t="s">
        <v>81</v>
      </c>
      <c r="M31" s="98">
        <f t="shared" si="23"/>
        <v>5.5720000000000001</v>
      </c>
      <c r="N31" s="98">
        <f t="shared" si="2"/>
        <v>3.8408799049960156</v>
      </c>
      <c r="O31" s="98">
        <f t="shared" si="3"/>
        <v>0.68820000000000003</v>
      </c>
      <c r="P31" s="98">
        <f t="shared" si="4"/>
        <v>12.526668147844054</v>
      </c>
      <c r="Q31" s="98"/>
      <c r="R31" s="60">
        <f t="shared" si="19"/>
        <v>3.2670000000000021</v>
      </c>
      <c r="S31" s="60">
        <f t="shared" si="5"/>
        <v>7.8521657949784069</v>
      </c>
      <c r="T31" s="60">
        <f t="shared" si="6"/>
        <v>-1.2999999999999999E-2</v>
      </c>
      <c r="U31" s="60">
        <f t="shared" si="20"/>
        <v>7.7322435009134436</v>
      </c>
      <c r="V31" s="96">
        <f t="shared" si="7"/>
        <v>5.13</v>
      </c>
      <c r="W31" s="96">
        <f t="shared" si="8"/>
        <v>0.22</v>
      </c>
      <c r="X31" s="60">
        <f t="shared" si="9"/>
        <v>6.6562584231512005</v>
      </c>
      <c r="Y31" s="96">
        <f t="shared" si="10"/>
        <v>8.26</v>
      </c>
      <c r="Z31" s="96">
        <f t="shared" si="11"/>
        <v>0.31900000000000001</v>
      </c>
      <c r="AA31" s="60">
        <f t="shared" si="12"/>
        <v>12.050182413095706</v>
      </c>
      <c r="AB31" s="96">
        <f t="shared" si="0"/>
        <v>2.9</v>
      </c>
      <c r="AC31" s="96">
        <f t="shared" si="1"/>
        <v>0.4</v>
      </c>
      <c r="AD31" s="60">
        <f t="shared" si="13"/>
        <v>4.6564790321090843</v>
      </c>
      <c r="AE31" s="96">
        <f t="shared" si="14"/>
        <v>6.5</v>
      </c>
      <c r="AF31" s="96">
        <f t="shared" si="15"/>
        <v>0.628</v>
      </c>
      <c r="AG31" s="60">
        <f t="shared" si="16"/>
        <v>13.670960015615663</v>
      </c>
      <c r="AH31" s="96">
        <f t="shared" si="21"/>
        <v>7.4</v>
      </c>
      <c r="AI31" s="96">
        <f t="shared" si="22"/>
        <v>0.25</v>
      </c>
      <c r="AJ31" s="60">
        <f t="shared" si="17"/>
        <v>9.9487611249664454</v>
      </c>
    </row>
    <row r="32" spans="2:36" ht="13.8" thickBot="1">
      <c r="B32" s="440" t="s">
        <v>82</v>
      </c>
      <c r="C32" s="440"/>
      <c r="D32" s="440"/>
      <c r="E32" s="440" t="s">
        <v>83</v>
      </c>
      <c r="F32" s="440"/>
      <c r="G32" s="441" t="s">
        <v>84</v>
      </c>
      <c r="H32" s="442"/>
      <c r="I32" s="443"/>
      <c r="J32" s="441" t="s">
        <v>85</v>
      </c>
      <c r="K32" s="443"/>
      <c r="M32" s="98">
        <v>5.93</v>
      </c>
      <c r="N32" s="98">
        <f t="shared" si="2"/>
        <v>17.20418640980624</v>
      </c>
      <c r="O32" s="98">
        <f t="shared" si="3"/>
        <v>-0.14810000000000001</v>
      </c>
      <c r="P32" s="98">
        <f t="shared" si="4"/>
        <v>13.217360622834429</v>
      </c>
      <c r="Q32" s="98"/>
      <c r="R32" s="60">
        <f t="shared" si="19"/>
        <v>3.4140000000000024</v>
      </c>
      <c r="S32" s="60">
        <f t="shared" si="5"/>
        <v>7.8521657949784069</v>
      </c>
      <c r="T32" s="60">
        <f t="shared" si="6"/>
        <v>-1.2999999999999999E-2</v>
      </c>
      <c r="U32" s="60">
        <f t="shared" si="20"/>
        <v>7.7278206673804695</v>
      </c>
      <c r="V32" s="96">
        <f t="shared" si="7"/>
        <v>5.13</v>
      </c>
      <c r="W32" s="96">
        <f t="shared" si="8"/>
        <v>0.22</v>
      </c>
      <c r="X32" s="60">
        <f t="shared" si="9"/>
        <v>6.7210223376619975</v>
      </c>
      <c r="Y32" s="96">
        <f t="shared" si="10"/>
        <v>8.26</v>
      </c>
      <c r="Z32" s="96">
        <f t="shared" si="11"/>
        <v>0.31900000000000001</v>
      </c>
      <c r="AA32" s="60">
        <f t="shared" si="12"/>
        <v>12.220560042775332</v>
      </c>
      <c r="AB32" s="96">
        <f t="shared" si="0"/>
        <v>2.9</v>
      </c>
      <c r="AC32" s="96">
        <f t="shared" si="1"/>
        <v>0.4</v>
      </c>
      <c r="AD32" s="60">
        <f t="shared" si="13"/>
        <v>4.7391821884610827</v>
      </c>
      <c r="AE32" s="96">
        <f t="shared" si="14"/>
        <v>6.5</v>
      </c>
      <c r="AF32" s="96">
        <f t="shared" si="15"/>
        <v>0.628</v>
      </c>
      <c r="AG32" s="60">
        <f t="shared" si="16"/>
        <v>14.05409371572029</v>
      </c>
      <c r="AH32" s="96">
        <f t="shared" si="21"/>
        <v>7.4</v>
      </c>
      <c r="AI32" s="96">
        <f t="shared" si="22"/>
        <v>0.25</v>
      </c>
      <c r="AJ32" s="60">
        <f t="shared" si="17"/>
        <v>10.058833023504658</v>
      </c>
    </row>
    <row r="33" spans="2:36" ht="13.8" thickTop="1">
      <c r="B33" s="26">
        <v>14</v>
      </c>
      <c r="C33" s="27" t="s">
        <v>86</v>
      </c>
      <c r="D33" s="28">
        <v>1500</v>
      </c>
      <c r="E33" s="334">
        <v>6.6500000000000004E-2</v>
      </c>
      <c r="F33" s="29">
        <v>0.31900000000000001</v>
      </c>
      <c r="G33" s="30">
        <v>0.10100000000000001</v>
      </c>
      <c r="H33" s="27" t="s">
        <v>86</v>
      </c>
      <c r="I33" s="31">
        <v>10.3</v>
      </c>
      <c r="J33" s="29">
        <v>8.26</v>
      </c>
      <c r="K33" s="29">
        <v>0.31900000000000001</v>
      </c>
      <c r="M33" s="98">
        <f t="shared" si="23"/>
        <v>6.18</v>
      </c>
      <c r="N33" s="98">
        <f t="shared" si="2"/>
        <v>17.20418640980624</v>
      </c>
      <c r="O33" s="98">
        <f t="shared" si="3"/>
        <v>-0.14810000000000001</v>
      </c>
      <c r="P33" s="98">
        <f t="shared" si="4"/>
        <v>13.136774539884957</v>
      </c>
      <c r="Q33" s="98"/>
      <c r="R33" s="60">
        <f t="shared" si="19"/>
        <v>3.5610000000000026</v>
      </c>
      <c r="S33" s="60">
        <f t="shared" si="5"/>
        <v>7.8521657949784069</v>
      </c>
      <c r="T33" s="60">
        <f t="shared" si="6"/>
        <v>-1.2999999999999999E-2</v>
      </c>
      <c r="U33" s="60">
        <f t="shared" si="20"/>
        <v>7.723586687220636</v>
      </c>
      <c r="V33" s="96">
        <f t="shared" si="7"/>
        <v>5.13</v>
      </c>
      <c r="W33" s="96">
        <f t="shared" si="8"/>
        <v>0.22</v>
      </c>
      <c r="X33" s="60">
        <f t="shared" si="9"/>
        <v>6.7836463568428407</v>
      </c>
      <c r="Y33" s="96">
        <f t="shared" si="10"/>
        <v>8.26</v>
      </c>
      <c r="Z33" s="96">
        <f t="shared" si="11"/>
        <v>0.31900000000000001</v>
      </c>
      <c r="AA33" s="60">
        <f t="shared" si="12"/>
        <v>12.38601229914714</v>
      </c>
      <c r="AB33" s="96">
        <f t="shared" si="0"/>
        <v>2.9</v>
      </c>
      <c r="AC33" s="96">
        <f t="shared" si="1"/>
        <v>0.4</v>
      </c>
      <c r="AD33" s="60">
        <f t="shared" si="13"/>
        <v>4.819775251764181</v>
      </c>
      <c r="AE33" s="96">
        <f t="shared" si="14"/>
        <v>6.5</v>
      </c>
      <c r="AF33" s="96">
        <f t="shared" si="15"/>
        <v>0.628</v>
      </c>
      <c r="AG33" s="60">
        <f t="shared" si="16"/>
        <v>14.431137215583565</v>
      </c>
      <c r="AH33" s="96">
        <f t="shared" si="21"/>
        <v>7.4</v>
      </c>
      <c r="AI33" s="96">
        <f t="shared" si="22"/>
        <v>0.25</v>
      </c>
      <c r="AJ33" s="60">
        <f t="shared" si="17"/>
        <v>10.165405634324063</v>
      </c>
    </row>
    <row r="34" spans="2:36" ht="13.8" thickBot="1">
      <c r="M34" s="98">
        <f t="shared" si="23"/>
        <v>6.43</v>
      </c>
      <c r="N34" s="98">
        <f t="shared" si="2"/>
        <v>17.20418640980624</v>
      </c>
      <c r="O34" s="98">
        <f t="shared" si="3"/>
        <v>-0.14810000000000001</v>
      </c>
      <c r="P34" s="98">
        <f t="shared" si="4"/>
        <v>13.059847161795481</v>
      </c>
      <c r="Q34" s="98"/>
      <c r="R34" s="60">
        <v>3.7919999999999998</v>
      </c>
      <c r="S34" s="60">
        <f t="shared" si="5"/>
        <v>7.8521657949784069</v>
      </c>
      <c r="T34" s="60">
        <f t="shared" si="6"/>
        <v>-1.2999999999999999E-2</v>
      </c>
      <c r="U34" s="60">
        <f t="shared" si="20"/>
        <v>7.7172784893185353</v>
      </c>
      <c r="V34" s="96">
        <f t="shared" si="7"/>
        <v>5.13</v>
      </c>
      <c r="W34" s="96">
        <f t="shared" si="8"/>
        <v>0.22</v>
      </c>
      <c r="X34" s="60">
        <f t="shared" si="9"/>
        <v>6.8780986019197048</v>
      </c>
      <c r="Y34" s="96">
        <f t="shared" si="10"/>
        <v>8.26</v>
      </c>
      <c r="Z34" s="96">
        <f t="shared" si="11"/>
        <v>0.31900000000000001</v>
      </c>
      <c r="AA34" s="60">
        <f t="shared" si="12"/>
        <v>12.636856219276774</v>
      </c>
      <c r="AB34" s="96">
        <f t="shared" si="0"/>
        <v>2.9</v>
      </c>
      <c r="AC34" s="96">
        <f t="shared" si="1"/>
        <v>0.4</v>
      </c>
      <c r="AD34" s="60">
        <f t="shared" si="13"/>
        <v>4.9424846520138512</v>
      </c>
      <c r="AE34" s="96">
        <f t="shared" si="14"/>
        <v>6.5</v>
      </c>
      <c r="AF34" s="96">
        <f t="shared" si="15"/>
        <v>0.628</v>
      </c>
      <c r="AG34" s="60">
        <f t="shared" si="16"/>
        <v>15.012142113684396</v>
      </c>
      <c r="AH34" s="96">
        <f t="shared" si="21"/>
        <v>7.4</v>
      </c>
      <c r="AI34" s="96">
        <f t="shared" si="22"/>
        <v>0.25</v>
      </c>
      <c r="AJ34" s="60">
        <f t="shared" si="17"/>
        <v>10.326396627737143</v>
      </c>
    </row>
    <row r="35" spans="2:36" ht="13.8" thickBot="1">
      <c r="B35" s="238" t="s">
        <v>407</v>
      </c>
      <c r="C35" s="239"/>
      <c r="D35" s="239"/>
      <c r="E35" s="239"/>
      <c r="F35" s="239"/>
      <c r="G35" s="240"/>
      <c r="M35" s="98">
        <f t="shared" si="23"/>
        <v>6.68</v>
      </c>
      <c r="N35" s="98">
        <f t="shared" si="2"/>
        <v>17.20418640980624</v>
      </c>
      <c r="O35" s="98">
        <f t="shared" si="3"/>
        <v>-0.14810000000000001</v>
      </c>
      <c r="P35" s="98">
        <f t="shared" si="4"/>
        <v>12.986279488740509</v>
      </c>
      <c r="Q35" s="98"/>
      <c r="R35" s="60">
        <f t="shared" si="19"/>
        <v>3.9390000000000001</v>
      </c>
      <c r="S35" s="60">
        <f t="shared" si="5"/>
        <v>3.9067683041390504</v>
      </c>
      <c r="T35" s="60">
        <f t="shared" si="6"/>
        <v>0.53539999999999999</v>
      </c>
      <c r="U35" s="60">
        <f t="shared" si="20"/>
        <v>8.1393047534918015</v>
      </c>
      <c r="V35" s="96">
        <f t="shared" si="7"/>
        <v>5.13</v>
      </c>
      <c r="W35" s="96">
        <f t="shared" si="8"/>
        <v>0.22</v>
      </c>
      <c r="X35" s="60">
        <f t="shared" si="9"/>
        <v>6.9358913427372242</v>
      </c>
      <c r="Y35" s="96">
        <f t="shared" si="10"/>
        <v>8.26</v>
      </c>
      <c r="Z35" s="96">
        <f t="shared" si="11"/>
        <v>0.31900000000000001</v>
      </c>
      <c r="AA35" s="60">
        <f t="shared" si="12"/>
        <v>12.791108275097109</v>
      </c>
      <c r="AB35" s="96">
        <f t="shared" si="0"/>
        <v>2.9</v>
      </c>
      <c r="AC35" s="96">
        <f t="shared" si="1"/>
        <v>0.4</v>
      </c>
      <c r="AD35" s="60">
        <f t="shared" si="13"/>
        <v>5.0182511202694222</v>
      </c>
      <c r="AE35" s="96">
        <f t="shared" si="14"/>
        <v>6.5</v>
      </c>
      <c r="AF35" s="96">
        <f t="shared" si="15"/>
        <v>0.628</v>
      </c>
      <c r="AG35" s="60">
        <f t="shared" si="16"/>
        <v>15.375022237708167</v>
      </c>
      <c r="AH35" s="96">
        <f t="shared" si="21"/>
        <v>7.4</v>
      </c>
      <c r="AI35" s="96">
        <f t="shared" si="22"/>
        <v>0.25</v>
      </c>
      <c r="AJ35" s="60">
        <f t="shared" si="17"/>
        <v>10.425051640599454</v>
      </c>
    </row>
    <row r="36" spans="2:36">
      <c r="B36" s="230" t="s">
        <v>549</v>
      </c>
      <c r="C36" s="43"/>
      <c r="D36" s="43"/>
      <c r="E36" s="43"/>
      <c r="F36" s="43"/>
      <c r="G36" s="231"/>
      <c r="M36" s="98">
        <f t="shared" si="23"/>
        <v>6.93</v>
      </c>
      <c r="N36" s="98">
        <f t="shared" si="2"/>
        <v>17.20418640980624</v>
      </c>
      <c r="O36" s="98">
        <f t="shared" si="3"/>
        <v>-0.14810000000000001</v>
      </c>
      <c r="P36" s="98">
        <f t="shared" si="4"/>
        <v>12.915807022080093</v>
      </c>
      <c r="Q36" s="98"/>
      <c r="R36" s="60">
        <f t="shared" si="19"/>
        <v>4.0860000000000003</v>
      </c>
      <c r="S36" s="60">
        <f t="shared" si="5"/>
        <v>3.9067683041390504</v>
      </c>
      <c r="T36" s="60">
        <f t="shared" si="6"/>
        <v>0.53539999999999999</v>
      </c>
      <c r="U36" s="60">
        <f t="shared" si="20"/>
        <v>8.3005486392322965</v>
      </c>
      <c r="V36" s="96">
        <f t="shared" si="7"/>
        <v>5.13</v>
      </c>
      <c r="W36" s="96">
        <f t="shared" si="8"/>
        <v>0.22</v>
      </c>
      <c r="X36" s="60">
        <f t="shared" si="9"/>
        <v>6.9920255211013549</v>
      </c>
      <c r="Y36" s="96">
        <f t="shared" si="10"/>
        <v>8.26</v>
      </c>
      <c r="Z36" s="96">
        <f t="shared" si="11"/>
        <v>0.31900000000000001</v>
      </c>
      <c r="AA36" s="60">
        <f t="shared" si="12"/>
        <v>12.94148832547007</v>
      </c>
      <c r="AB36" s="96">
        <f t="shared" si="0"/>
        <v>2.9</v>
      </c>
      <c r="AC36" s="96">
        <f t="shared" si="1"/>
        <v>0.4</v>
      </c>
      <c r="AD36" s="60">
        <f t="shared" si="13"/>
        <v>5.0923394178357002</v>
      </c>
      <c r="AE36" s="96">
        <f t="shared" si="14"/>
        <v>6.5</v>
      </c>
      <c r="AF36" s="96">
        <f t="shared" si="15"/>
        <v>0.628</v>
      </c>
      <c r="AG36" s="60">
        <f t="shared" si="16"/>
        <v>15.732898040730188</v>
      </c>
      <c r="AH36" s="96">
        <f t="shared" si="21"/>
        <v>7.4</v>
      </c>
      <c r="AI36" s="96">
        <f t="shared" si="22"/>
        <v>0.25</v>
      </c>
      <c r="AJ36" s="60">
        <f t="shared" si="17"/>
        <v>10.520982792737936</v>
      </c>
    </row>
    <row r="37" spans="2:36">
      <c r="B37" s="232" t="s">
        <v>439</v>
      </c>
      <c r="C37" s="43"/>
      <c r="D37" s="43"/>
      <c r="E37" s="43"/>
      <c r="F37" s="43"/>
      <c r="G37" s="231"/>
      <c r="M37" s="98">
        <f t="shared" si="23"/>
        <v>7.18</v>
      </c>
      <c r="N37" s="98">
        <f t="shared" si="2"/>
        <v>17.20418640980624</v>
      </c>
      <c r="O37" s="98">
        <f t="shared" si="3"/>
        <v>-0.14810000000000001</v>
      </c>
      <c r="P37" s="98">
        <f t="shared" si="4"/>
        <v>12.848194703751872</v>
      </c>
      <c r="Q37" s="98"/>
      <c r="R37" s="60">
        <f t="shared" si="19"/>
        <v>4.2330000000000005</v>
      </c>
      <c r="S37" s="60">
        <f t="shared" si="5"/>
        <v>3.9067683041390504</v>
      </c>
      <c r="T37" s="60">
        <f t="shared" si="6"/>
        <v>0.53539999999999999</v>
      </c>
      <c r="U37" s="60">
        <f t="shared" si="20"/>
        <v>8.4591190785716908</v>
      </c>
      <c r="V37" s="96">
        <f t="shared" si="7"/>
        <v>5.13</v>
      </c>
      <c r="W37" s="96">
        <f t="shared" si="8"/>
        <v>0.22</v>
      </c>
      <c r="X37" s="60">
        <f t="shared" si="9"/>
        <v>7.0466059172433386</v>
      </c>
      <c r="Y37" s="96">
        <f t="shared" si="10"/>
        <v>8.26</v>
      </c>
      <c r="Z37" s="96">
        <f t="shared" si="11"/>
        <v>0.31900000000000001</v>
      </c>
      <c r="AA37" s="60">
        <f t="shared" si="12"/>
        <v>13.088227790813562</v>
      </c>
      <c r="AB37" s="96">
        <f t="shared" si="0"/>
        <v>2.9</v>
      </c>
      <c r="AC37" s="96">
        <f t="shared" si="1"/>
        <v>0.4</v>
      </c>
      <c r="AD37" s="60">
        <f t="shared" si="13"/>
        <v>5.1648451506439796</v>
      </c>
      <c r="AE37" s="96">
        <f t="shared" si="14"/>
        <v>6.5</v>
      </c>
      <c r="AF37" s="96">
        <f t="shared" si="15"/>
        <v>0.628</v>
      </c>
      <c r="AG37" s="60">
        <f t="shared" si="16"/>
        <v>16.08601499643903</v>
      </c>
      <c r="AH37" s="96">
        <f t="shared" si="21"/>
        <v>7.4</v>
      </c>
      <c r="AI37" s="96">
        <f t="shared" si="22"/>
        <v>0.25</v>
      </c>
      <c r="AJ37" s="60">
        <f t="shared" si="17"/>
        <v>10.614359355674466</v>
      </c>
    </row>
    <row r="38" spans="2:36">
      <c r="B38" s="233" t="s">
        <v>274</v>
      </c>
      <c r="C38" s="43"/>
      <c r="D38" s="43"/>
      <c r="E38" s="43"/>
      <c r="F38" s="43"/>
      <c r="G38" s="231"/>
      <c r="M38" s="98">
        <f t="shared" si="23"/>
        <v>7.43</v>
      </c>
      <c r="N38" s="98">
        <f t="shared" si="2"/>
        <v>17.20418640980624</v>
      </c>
      <c r="O38" s="98">
        <f t="shared" si="3"/>
        <v>-0.14810000000000001</v>
      </c>
      <c r="P38" s="98">
        <f t="shared" si="4"/>
        <v>12.783232745506083</v>
      </c>
      <c r="Q38" s="98"/>
      <c r="R38" s="60">
        <f t="shared" si="19"/>
        <v>4.3800000000000008</v>
      </c>
      <c r="S38" s="60">
        <f t="shared" si="5"/>
        <v>3.9067683041390504</v>
      </c>
      <c r="T38" s="60">
        <f t="shared" si="6"/>
        <v>0.53539999999999999</v>
      </c>
      <c r="U38" s="60">
        <f t="shared" si="20"/>
        <v>8.6151510103659632</v>
      </c>
      <c r="V38" s="96">
        <f t="shared" si="7"/>
        <v>5.13</v>
      </c>
      <c r="W38" s="96">
        <f t="shared" si="8"/>
        <v>0.22</v>
      </c>
      <c r="X38" s="60">
        <f t="shared" si="9"/>
        <v>7.0997273261921308</v>
      </c>
      <c r="Y38" s="96">
        <f t="shared" si="10"/>
        <v>8.26</v>
      </c>
      <c r="Z38" s="96">
        <f t="shared" si="11"/>
        <v>0.31900000000000001</v>
      </c>
      <c r="AA38" s="60">
        <f t="shared" si="12"/>
        <v>13.231536786637625</v>
      </c>
      <c r="AB38" s="96">
        <f t="shared" si="0"/>
        <v>2.9</v>
      </c>
      <c r="AC38" s="96">
        <f t="shared" si="1"/>
        <v>0.4</v>
      </c>
      <c r="AD38" s="60">
        <f t="shared" si="13"/>
        <v>5.2358553768711609</v>
      </c>
      <c r="AE38" s="96">
        <f t="shared" si="14"/>
        <v>6.5</v>
      </c>
      <c r="AF38" s="96">
        <f t="shared" si="15"/>
        <v>0.628</v>
      </c>
      <c r="AG38" s="60">
        <f t="shared" si="16"/>
        <v>16.434598476510683</v>
      </c>
      <c r="AH38" s="96">
        <f t="shared" si="21"/>
        <v>7.4</v>
      </c>
      <c r="AI38" s="96">
        <f t="shared" si="22"/>
        <v>0.25</v>
      </c>
      <c r="AJ38" s="60">
        <f t="shared" si="17"/>
        <v>10.705334635668097</v>
      </c>
    </row>
    <row r="39" spans="2:36">
      <c r="B39" s="232" t="s">
        <v>404</v>
      </c>
      <c r="C39" s="43"/>
      <c r="D39" s="43"/>
      <c r="E39" s="43"/>
      <c r="F39" s="43"/>
      <c r="G39" s="231"/>
      <c r="M39" s="98">
        <f t="shared" si="23"/>
        <v>7.68</v>
      </c>
      <c r="N39" s="98">
        <f t="shared" si="2"/>
        <v>17.20418640980624</v>
      </c>
      <c r="O39" s="98">
        <f t="shared" si="3"/>
        <v>-0.14810000000000001</v>
      </c>
      <c r="P39" s="98">
        <f t="shared" si="4"/>
        <v>12.720733167280462</v>
      </c>
      <c r="Q39" s="98"/>
      <c r="R39" s="60">
        <f t="shared" si="19"/>
        <v>4.527000000000001</v>
      </c>
      <c r="S39" s="60">
        <f t="shared" si="5"/>
        <v>3.9067683041390504</v>
      </c>
      <c r="T39" s="60">
        <f t="shared" si="6"/>
        <v>0.53539999999999999</v>
      </c>
      <c r="U39" s="60">
        <f t="shared" si="20"/>
        <v>8.7687682925235677</v>
      </c>
      <c r="V39" s="96">
        <f t="shared" si="7"/>
        <v>5.13</v>
      </c>
      <c r="W39" s="96">
        <f t="shared" si="8"/>
        <v>0.22</v>
      </c>
      <c r="X39" s="60">
        <f t="shared" si="9"/>
        <v>7.1514758088742738</v>
      </c>
      <c r="Y39" s="96">
        <f t="shared" si="10"/>
        <v>8.26</v>
      </c>
      <c r="Z39" s="96">
        <f t="shared" si="11"/>
        <v>0.31900000000000001</v>
      </c>
      <c r="AA39" s="60">
        <f t="shared" si="12"/>
        <v>13.371606727397856</v>
      </c>
      <c r="AB39" s="96">
        <f t="shared" si="0"/>
        <v>2.9</v>
      </c>
      <c r="AC39" s="96">
        <f t="shared" si="1"/>
        <v>0.4</v>
      </c>
      <c r="AD39" s="60">
        <f t="shared" si="13"/>
        <v>5.3054496300473195</v>
      </c>
      <c r="AE39" s="96">
        <f t="shared" si="14"/>
        <v>6.5</v>
      </c>
      <c r="AF39" s="96">
        <f t="shared" si="15"/>
        <v>0.628</v>
      </c>
      <c r="AG39" s="60">
        <f t="shared" si="16"/>
        <v>16.778856013022484</v>
      </c>
      <c r="AH39" s="96">
        <f t="shared" si="21"/>
        <v>7.4</v>
      </c>
      <c r="AI39" s="96">
        <f t="shared" si="22"/>
        <v>0.25</v>
      </c>
      <c r="AJ39" s="60">
        <f t="shared" si="17"/>
        <v>10.794047959220769</v>
      </c>
    </row>
    <row r="40" spans="2:36">
      <c r="B40" s="230" t="s">
        <v>550</v>
      </c>
      <c r="C40" s="43"/>
      <c r="D40" s="43"/>
      <c r="E40" s="43"/>
      <c r="F40" s="43"/>
      <c r="G40" s="231"/>
      <c r="M40" s="98">
        <f t="shared" si="23"/>
        <v>7.93</v>
      </c>
      <c r="N40" s="98">
        <f t="shared" si="2"/>
        <v>17.20418640980624</v>
      </c>
      <c r="O40" s="98">
        <f t="shared" si="3"/>
        <v>-0.14810000000000001</v>
      </c>
      <c r="P40" s="98">
        <f t="shared" si="4"/>
        <v>12.660526905315331</v>
      </c>
      <c r="Q40" s="98"/>
      <c r="R40" s="60">
        <f t="shared" si="19"/>
        <v>4.6740000000000013</v>
      </c>
      <c r="S40" s="60">
        <f t="shared" si="5"/>
        <v>3.9067683041390504</v>
      </c>
      <c r="T40" s="60">
        <f t="shared" si="6"/>
        <v>0.53539999999999999</v>
      </c>
      <c r="U40" s="60">
        <f t="shared" si="20"/>
        <v>8.9200849400797466</v>
      </c>
      <c r="V40" s="96">
        <f t="shared" si="7"/>
        <v>5.13</v>
      </c>
      <c r="W40" s="96">
        <f t="shared" si="8"/>
        <v>0.22</v>
      </c>
      <c r="X40" s="60">
        <f t="shared" si="9"/>
        <v>7.2019297513263716</v>
      </c>
      <c r="Y40" s="96">
        <f t="shared" si="10"/>
        <v>8.26</v>
      </c>
      <c r="Z40" s="96">
        <f t="shared" si="11"/>
        <v>0.31900000000000001</v>
      </c>
      <c r="AA40" s="60">
        <f t="shared" si="12"/>
        <v>13.508612538615981</v>
      </c>
      <c r="AB40" s="96">
        <f t="shared" si="0"/>
        <v>2.9</v>
      </c>
      <c r="AC40" s="96">
        <f t="shared" si="1"/>
        <v>0.4</v>
      </c>
      <c r="AD40" s="60">
        <f t="shared" si="13"/>
        <v>5.3737007907047829</v>
      </c>
      <c r="AE40" s="96">
        <f t="shared" si="14"/>
        <v>6.5</v>
      </c>
      <c r="AF40" s="96">
        <f t="shared" si="15"/>
        <v>0.628</v>
      </c>
      <c r="AG40" s="60">
        <f t="shared" si="16"/>
        <v>17.118979241345706</v>
      </c>
      <c r="AH40" s="96">
        <f t="shared" si="21"/>
        <v>7.4</v>
      </c>
      <c r="AI40" s="96">
        <f t="shared" si="22"/>
        <v>0.25</v>
      </c>
      <c r="AJ40" s="60">
        <f t="shared" si="17"/>
        <v>10.880626355817851</v>
      </c>
    </row>
    <row r="41" spans="2:36">
      <c r="B41" s="232" t="s">
        <v>440</v>
      </c>
      <c r="C41" s="43"/>
      <c r="D41" s="43"/>
      <c r="E41" s="43"/>
      <c r="F41" s="43"/>
      <c r="G41" s="231"/>
      <c r="M41" s="98">
        <f t="shared" si="23"/>
        <v>8.18</v>
      </c>
      <c r="N41" s="98">
        <f t="shared" si="2"/>
        <v>17.20418640980624</v>
      </c>
      <c r="O41" s="98">
        <f t="shared" si="3"/>
        <v>-0.14810000000000001</v>
      </c>
      <c r="P41" s="98">
        <f t="shared" si="4"/>
        <v>12.602461381483874</v>
      </c>
      <c r="Q41" s="98"/>
      <c r="R41" s="60">
        <f t="shared" si="19"/>
        <v>4.8210000000000015</v>
      </c>
      <c r="S41" s="60">
        <f t="shared" si="5"/>
        <v>3.9067683041390504</v>
      </c>
      <c r="T41" s="60">
        <f t="shared" si="6"/>
        <v>0.53539999999999999</v>
      </c>
      <c r="U41" s="60">
        <f t="shared" si="20"/>
        <v>9.069206190561534</v>
      </c>
      <c r="V41" s="96">
        <f t="shared" si="7"/>
        <v>5.13</v>
      </c>
      <c r="W41" s="96">
        <f t="shared" si="8"/>
        <v>0.22</v>
      </c>
      <c r="X41" s="60">
        <f t="shared" si="9"/>
        <v>7.2511607665049107</v>
      </c>
      <c r="Y41" s="96">
        <f t="shared" si="10"/>
        <v>8.26</v>
      </c>
      <c r="Z41" s="96">
        <f t="shared" si="11"/>
        <v>0.31900000000000001</v>
      </c>
      <c r="AA41" s="60">
        <f t="shared" si="12"/>
        <v>13.642714546571433</v>
      </c>
      <c r="AB41" s="96">
        <f t="shared" ref="AB41:AB72" si="24">am_1</f>
        <v>2.9</v>
      </c>
      <c r="AC41" s="96">
        <f t="shared" ref="AC41:AC72" si="25">nm_1</f>
        <v>0.4</v>
      </c>
      <c r="AD41" s="60">
        <f t="shared" si="13"/>
        <v>5.4406758330164502</v>
      </c>
      <c r="AE41" s="96">
        <f t="shared" si="14"/>
        <v>6.5</v>
      </c>
      <c r="AF41" s="96">
        <f t="shared" si="15"/>
        <v>0.628</v>
      </c>
      <c r="AG41" s="60">
        <f t="shared" si="16"/>
        <v>17.455145577236557</v>
      </c>
      <c r="AH41" s="96">
        <f t="shared" si="21"/>
        <v>7.4</v>
      </c>
      <c r="AI41" s="96">
        <f t="shared" si="22"/>
        <v>0.25</v>
      </c>
      <c r="AJ41" s="60">
        <f t="shared" si="17"/>
        <v>10.965185992058132</v>
      </c>
    </row>
    <row r="42" spans="2:36">
      <c r="B42" s="234" t="s">
        <v>404</v>
      </c>
      <c r="C42" s="229"/>
      <c r="D42" s="229"/>
      <c r="E42" s="229"/>
      <c r="F42" s="229"/>
      <c r="G42" s="235"/>
      <c r="M42" s="98">
        <v>8.5</v>
      </c>
      <c r="N42" s="98">
        <f t="shared" si="2"/>
        <v>17.20418640980624</v>
      </c>
      <c r="O42" s="98">
        <f t="shared" si="3"/>
        <v>-0.14810000000000001</v>
      </c>
      <c r="P42" s="98">
        <f t="shared" si="4"/>
        <v>12.531042318830446</v>
      </c>
      <c r="Q42" s="98"/>
      <c r="R42" s="60">
        <f t="shared" si="19"/>
        <v>4.9680000000000017</v>
      </c>
      <c r="S42" s="60">
        <f t="shared" si="5"/>
        <v>3.9067683041390504</v>
      </c>
      <c r="T42" s="60">
        <f t="shared" si="6"/>
        <v>0.53539999999999999</v>
      </c>
      <c r="U42" s="60">
        <f t="shared" si="20"/>
        <v>9.2162294252424335</v>
      </c>
      <c r="V42" s="96">
        <f t="shared" si="7"/>
        <v>5.13</v>
      </c>
      <c r="W42" s="96">
        <f t="shared" si="8"/>
        <v>0.22</v>
      </c>
      <c r="X42" s="60">
        <f t="shared" si="9"/>
        <v>7.2992344661271771</v>
      </c>
      <c r="Y42" s="96">
        <f t="shared" si="10"/>
        <v>8.26</v>
      </c>
      <c r="Z42" s="96">
        <f t="shared" si="11"/>
        <v>0.31900000000000001</v>
      </c>
      <c r="AA42" s="60">
        <f t="shared" si="12"/>
        <v>13.774060100882698</v>
      </c>
      <c r="AB42" s="96">
        <f t="shared" si="24"/>
        <v>2.9</v>
      </c>
      <c r="AC42" s="96">
        <f t="shared" si="25"/>
        <v>0.4</v>
      </c>
      <c r="AD42" s="60">
        <f t="shared" si="13"/>
        <v>5.5064364675921631</v>
      </c>
      <c r="AE42" s="96">
        <f t="shared" si="14"/>
        <v>6.5</v>
      </c>
      <c r="AF42" s="96">
        <f t="shared" si="15"/>
        <v>0.628</v>
      </c>
      <c r="AG42" s="60">
        <f t="shared" si="16"/>
        <v>17.787519671456163</v>
      </c>
      <c r="AH42" s="96">
        <f t="shared" si="21"/>
        <v>7.4</v>
      </c>
      <c r="AI42" s="96">
        <f t="shared" si="22"/>
        <v>0.25</v>
      </c>
      <c r="AJ42" s="60">
        <f t="shared" si="17"/>
        <v>11.047833400298872</v>
      </c>
    </row>
    <row r="43" spans="2:36">
      <c r="B43" s="248" t="s">
        <v>405</v>
      </c>
      <c r="C43" s="43"/>
      <c r="D43" s="43"/>
      <c r="E43" s="43"/>
      <c r="F43" s="43"/>
      <c r="G43" s="231"/>
      <c r="M43" s="98">
        <f t="shared" si="23"/>
        <v>8.75</v>
      </c>
      <c r="N43" s="98">
        <f t="shared" si="2"/>
        <v>4.7752408634765926</v>
      </c>
      <c r="O43" s="98">
        <f t="shared" si="3"/>
        <v>0.44169999999999998</v>
      </c>
      <c r="P43" s="98">
        <f t="shared" si="4"/>
        <v>12.447445669176275</v>
      </c>
      <c r="Q43" s="98"/>
      <c r="R43" s="60">
        <f t="shared" si="19"/>
        <v>5.115000000000002</v>
      </c>
      <c r="S43" s="60">
        <f t="shared" si="5"/>
        <v>3.9067683041390504</v>
      </c>
      <c r="T43" s="60">
        <f t="shared" si="6"/>
        <v>0.53539999999999999</v>
      </c>
      <c r="U43" s="60">
        <f t="shared" si="20"/>
        <v>9.3612449694474318</v>
      </c>
      <c r="V43" s="96">
        <f t="shared" si="7"/>
        <v>5.13</v>
      </c>
      <c r="W43" s="96">
        <f t="shared" si="8"/>
        <v>0.22</v>
      </c>
      <c r="X43" s="60">
        <f t="shared" si="9"/>
        <v>7.3462111245320374</v>
      </c>
      <c r="Y43" s="96">
        <f t="shared" si="10"/>
        <v>8.26</v>
      </c>
      <c r="Z43" s="96">
        <f t="shared" si="11"/>
        <v>0.31900000000000001</v>
      </c>
      <c r="AA43" s="60">
        <f t="shared" si="12"/>
        <v>13.902784974461726</v>
      </c>
      <c r="AB43" s="96">
        <f t="shared" si="24"/>
        <v>2.9</v>
      </c>
      <c r="AC43" s="96">
        <f t="shared" si="25"/>
        <v>0.4</v>
      </c>
      <c r="AD43" s="60">
        <f t="shared" si="13"/>
        <v>5.5710396975007379</v>
      </c>
      <c r="AE43" s="96">
        <f t="shared" si="14"/>
        <v>6.5</v>
      </c>
      <c r="AF43" s="96">
        <f t="shared" si="15"/>
        <v>0.628</v>
      </c>
      <c r="AG43" s="60">
        <f t="shared" si="16"/>
        <v>18.116254677117375</v>
      </c>
      <c r="AH43" s="96">
        <f t="shared" ref="AH43:AH74" si="26">am_4</f>
        <v>7.4</v>
      </c>
      <c r="AI43" s="96">
        <f t="shared" ref="AI43:AI74" si="27">nm_4</f>
        <v>0.25</v>
      </c>
      <c r="AJ43" s="60">
        <f t="shared" si="17"/>
        <v>11.128666536416029</v>
      </c>
    </row>
    <row r="44" spans="2:36">
      <c r="B44" s="248" t="s">
        <v>406</v>
      </c>
      <c r="C44" s="43"/>
      <c r="D44" s="43"/>
      <c r="E44" s="43"/>
      <c r="F44" s="43"/>
      <c r="G44" s="231"/>
      <c r="M44" s="98">
        <f t="shared" si="23"/>
        <v>9</v>
      </c>
      <c r="N44" s="98">
        <f t="shared" si="2"/>
        <v>4.7752408634765926</v>
      </c>
      <c r="O44" s="98">
        <f t="shared" si="3"/>
        <v>0.44169999999999998</v>
      </c>
      <c r="P44" s="98">
        <f t="shared" si="4"/>
        <v>12.603297815275388</v>
      </c>
      <c r="Q44" s="98"/>
      <c r="R44" s="60">
        <f t="shared" si="19"/>
        <v>5.2620000000000022</v>
      </c>
      <c r="S44" s="60">
        <f t="shared" si="5"/>
        <v>3.9067683041390504</v>
      </c>
      <c r="T44" s="60">
        <f t="shared" si="6"/>
        <v>0.53539999999999999</v>
      </c>
      <c r="U44" s="60">
        <f t="shared" si="20"/>
        <v>9.5043367907911236</v>
      </c>
      <c r="V44" s="96">
        <f t="shared" si="7"/>
        <v>5.13</v>
      </c>
      <c r="W44" s="96">
        <f t="shared" si="8"/>
        <v>0.22</v>
      </c>
      <c r="X44" s="60">
        <f t="shared" si="9"/>
        <v>7.3921462523092965</v>
      </c>
      <c r="Y44" s="96">
        <f t="shared" si="10"/>
        <v>8.26</v>
      </c>
      <c r="Z44" s="96">
        <f t="shared" si="11"/>
        <v>0.31900000000000001</v>
      </c>
      <c r="AA44" s="60">
        <f t="shared" si="12"/>
        <v>14.029014576860025</v>
      </c>
      <c r="AB44" s="96">
        <f t="shared" si="24"/>
        <v>2.9</v>
      </c>
      <c r="AC44" s="96">
        <f t="shared" si="25"/>
        <v>0.4</v>
      </c>
      <c r="AD44" s="60">
        <f t="shared" si="13"/>
        <v>5.6345383013730448</v>
      </c>
      <c r="AE44" s="96">
        <f t="shared" si="14"/>
        <v>6.5</v>
      </c>
      <c r="AF44" s="96">
        <f t="shared" si="15"/>
        <v>0.628</v>
      </c>
      <c r="AG44" s="60">
        <f t="shared" si="16"/>
        <v>18.441493358539184</v>
      </c>
      <c r="AH44" s="96">
        <f t="shared" si="26"/>
        <v>7.4</v>
      </c>
      <c r="AI44" s="96">
        <f t="shared" si="27"/>
        <v>0.25</v>
      </c>
      <c r="AJ44" s="60">
        <f t="shared" si="17"/>
        <v>11.207775694634545</v>
      </c>
    </row>
    <row r="45" spans="2:36">
      <c r="B45" s="248" t="s">
        <v>465</v>
      </c>
      <c r="C45" s="43"/>
      <c r="D45" s="43"/>
      <c r="E45" s="43"/>
      <c r="F45" s="43"/>
      <c r="G45" s="231"/>
      <c r="M45" s="98">
        <f t="shared" si="23"/>
        <v>9.25</v>
      </c>
      <c r="N45" s="98">
        <f t="shared" si="2"/>
        <v>4.7752408634765926</v>
      </c>
      <c r="O45" s="98">
        <f t="shared" si="3"/>
        <v>0.44169999999999998</v>
      </c>
      <c r="P45" s="98">
        <f t="shared" si="4"/>
        <v>12.756751208083816</v>
      </c>
      <c r="Q45" s="98"/>
      <c r="R45" s="60">
        <f t="shared" si="19"/>
        <v>5.4090000000000025</v>
      </c>
      <c r="S45" s="60">
        <f t="shared" si="5"/>
        <v>3.9067683041390504</v>
      </c>
      <c r="T45" s="60">
        <f t="shared" si="6"/>
        <v>0.53539999999999999</v>
      </c>
      <c r="U45" s="60">
        <f t="shared" si="20"/>
        <v>9.6455831108406453</v>
      </c>
      <c r="V45" s="96">
        <f t="shared" si="7"/>
        <v>5.13</v>
      </c>
      <c r="W45" s="96">
        <f t="shared" si="8"/>
        <v>0.22</v>
      </c>
      <c r="X45" s="60">
        <f t="shared" si="9"/>
        <v>7.4370910941186619</v>
      </c>
      <c r="Y45" s="96">
        <f t="shared" si="10"/>
        <v>8.26</v>
      </c>
      <c r="Z45" s="96">
        <f t="shared" si="11"/>
        <v>0.31900000000000001</v>
      </c>
      <c r="AA45" s="60">
        <f t="shared" si="12"/>
        <v>14.15286501036107</v>
      </c>
      <c r="AB45" s="96">
        <f t="shared" si="24"/>
        <v>2.9</v>
      </c>
      <c r="AC45" s="96">
        <f t="shared" si="25"/>
        <v>0.4</v>
      </c>
      <c r="AD45" s="60">
        <f t="shared" si="13"/>
        <v>5.6969812549062393</v>
      </c>
      <c r="AE45" s="96">
        <f t="shared" si="14"/>
        <v>6.5</v>
      </c>
      <c r="AF45" s="96">
        <f t="shared" si="15"/>
        <v>0.628</v>
      </c>
      <c r="AG45" s="60">
        <f t="shared" si="16"/>
        <v>18.76336906528817</v>
      </c>
      <c r="AH45" s="96">
        <f t="shared" si="26"/>
        <v>7.4</v>
      </c>
      <c r="AI45" s="96">
        <f t="shared" si="27"/>
        <v>0.25</v>
      </c>
      <c r="AJ45" s="60">
        <f t="shared" si="17"/>
        <v>11.285244302163202</v>
      </c>
    </row>
    <row r="46" spans="2:36" ht="13.8" thickBot="1">
      <c r="B46" s="249" t="s">
        <v>551</v>
      </c>
      <c r="C46" s="236"/>
      <c r="D46" s="236"/>
      <c r="E46" s="236"/>
      <c r="F46" s="236"/>
      <c r="G46" s="237"/>
      <c r="M46" s="98">
        <f t="shared" si="23"/>
        <v>9.5</v>
      </c>
      <c r="N46" s="98">
        <f t="shared" si="2"/>
        <v>4.7752408634765926</v>
      </c>
      <c r="O46" s="98">
        <f t="shared" si="3"/>
        <v>0.44169999999999998</v>
      </c>
      <c r="P46" s="98">
        <f t="shared" si="4"/>
        <v>12.907906140183</v>
      </c>
      <c r="Q46" s="98"/>
      <c r="R46" s="60">
        <f t="shared" si="19"/>
        <v>5.5560000000000027</v>
      </c>
      <c r="S46" s="60">
        <f t="shared" si="5"/>
        <v>3.9067683041390504</v>
      </c>
      <c r="T46" s="60">
        <f t="shared" si="6"/>
        <v>0.53539999999999999</v>
      </c>
      <c r="U46" s="60">
        <f t="shared" si="20"/>
        <v>9.7850569429885326</v>
      </c>
      <c r="V46" s="96">
        <f t="shared" si="7"/>
        <v>5.13</v>
      </c>
      <c r="W46" s="96">
        <f t="shared" si="8"/>
        <v>0.22</v>
      </c>
      <c r="X46" s="60">
        <f t="shared" si="9"/>
        <v>7.4810930624882701</v>
      </c>
      <c r="Y46" s="96">
        <f t="shared" si="10"/>
        <v>8.26</v>
      </c>
      <c r="Z46" s="96">
        <f t="shared" si="11"/>
        <v>0.31900000000000001</v>
      </c>
      <c r="AA46" s="60">
        <f t="shared" si="12"/>
        <v>14.274443992889061</v>
      </c>
      <c r="AB46" s="96">
        <f t="shared" si="24"/>
        <v>2.9</v>
      </c>
      <c r="AC46" s="96">
        <f t="shared" si="25"/>
        <v>0.4</v>
      </c>
      <c r="AD46" s="60">
        <f t="shared" si="13"/>
        <v>5.7584141000737281</v>
      </c>
      <c r="AE46" s="96">
        <f t="shared" si="14"/>
        <v>6.5</v>
      </c>
      <c r="AF46" s="96">
        <f t="shared" si="15"/>
        <v>0.628</v>
      </c>
      <c r="AG46" s="60">
        <f t="shared" si="16"/>
        <v>19.082006591003598</v>
      </c>
      <c r="AH46" s="96">
        <f t="shared" si="26"/>
        <v>7.4</v>
      </c>
      <c r="AI46" s="96">
        <f t="shared" si="27"/>
        <v>0.25</v>
      </c>
      <c r="AJ46" s="60">
        <f t="shared" si="17"/>
        <v>11.361149612237483</v>
      </c>
    </row>
    <row r="47" spans="2:36">
      <c r="M47" s="98">
        <f t="shared" si="23"/>
        <v>9.75</v>
      </c>
      <c r="N47" s="98">
        <f t="shared" si="2"/>
        <v>4.7752408634765926</v>
      </c>
      <c r="O47" s="98">
        <f t="shared" si="3"/>
        <v>0.44169999999999998</v>
      </c>
      <c r="P47" s="98">
        <f t="shared" si="4"/>
        <v>13.056856199302223</v>
      </c>
      <c r="Q47" s="98"/>
      <c r="R47" s="60">
        <f t="shared" si="19"/>
        <v>5.703000000000003</v>
      </c>
      <c r="S47" s="60">
        <f t="shared" si="5"/>
        <v>3.9067683041390504</v>
      </c>
      <c r="T47" s="60">
        <f t="shared" si="6"/>
        <v>0.53539999999999999</v>
      </c>
      <c r="U47" s="60">
        <f t="shared" si="20"/>
        <v>9.9228265671455205</v>
      </c>
      <c r="V47" s="96">
        <f t="shared" si="7"/>
        <v>5.13</v>
      </c>
      <c r="W47" s="96">
        <f t="shared" si="8"/>
        <v>0.22</v>
      </c>
      <c r="X47" s="60">
        <f t="shared" si="9"/>
        <v>7.5241961172882137</v>
      </c>
      <c r="Y47" s="96">
        <f t="shared" si="10"/>
        <v>8.26</v>
      </c>
      <c r="Z47" s="96">
        <f t="shared" si="11"/>
        <v>0.31900000000000001</v>
      </c>
      <c r="AA47" s="60">
        <f t="shared" si="12"/>
        <v>14.393851667584638</v>
      </c>
      <c r="AB47" s="96">
        <f t="shared" si="24"/>
        <v>2.9</v>
      </c>
      <c r="AC47" s="96">
        <f t="shared" si="25"/>
        <v>0.4</v>
      </c>
      <c r="AD47" s="60">
        <f t="shared" si="13"/>
        <v>5.8188792697324221</v>
      </c>
      <c r="AE47" s="96">
        <f t="shared" si="14"/>
        <v>6.5</v>
      </c>
      <c r="AF47" s="96">
        <f t="shared" si="15"/>
        <v>0.628</v>
      </c>
      <c r="AG47" s="60">
        <f t="shared" si="16"/>
        <v>19.397522933312143</v>
      </c>
      <c r="AH47" s="96">
        <f t="shared" si="26"/>
        <v>7.4</v>
      </c>
      <c r="AI47" s="96">
        <f t="shared" si="27"/>
        <v>0.25</v>
      </c>
      <c r="AJ47" s="60">
        <f t="shared" si="17"/>
        <v>11.435563310882092</v>
      </c>
    </row>
    <row r="48" spans="2:36">
      <c r="B48" s="436" t="s">
        <v>477</v>
      </c>
      <c r="C48" s="437"/>
      <c r="D48" s="437"/>
      <c r="E48" s="437"/>
      <c r="F48" s="437"/>
      <c r="G48" s="437"/>
      <c r="H48" s="437"/>
      <c r="I48" s="437"/>
      <c r="J48" s="437"/>
      <c r="K48" s="438"/>
      <c r="M48" s="98">
        <f t="shared" si="23"/>
        <v>10</v>
      </c>
      <c r="N48" s="98">
        <f t="shared" si="2"/>
        <v>4.7752408634765926</v>
      </c>
      <c r="O48" s="98">
        <f t="shared" si="3"/>
        <v>0.44169999999999998</v>
      </c>
      <c r="P48" s="98">
        <f t="shared" si="4"/>
        <v>13.203688875937655</v>
      </c>
      <c r="Q48" s="98"/>
      <c r="R48" s="60">
        <f t="shared" si="19"/>
        <v>5.8500000000000032</v>
      </c>
      <c r="S48" s="60">
        <f t="shared" si="5"/>
        <v>3.9067683041390504</v>
      </c>
      <c r="T48" s="60">
        <f t="shared" si="6"/>
        <v>0.53539999999999999</v>
      </c>
      <c r="U48" s="60">
        <f t="shared" si="20"/>
        <v>10.05895595010481</v>
      </c>
      <c r="V48" s="96">
        <f t="shared" si="7"/>
        <v>5.13</v>
      </c>
      <c r="W48" s="96">
        <f t="shared" si="8"/>
        <v>0.22</v>
      </c>
      <c r="X48" s="60">
        <f t="shared" si="9"/>
        <v>7.566441098895984</v>
      </c>
      <c r="Y48" s="96">
        <f t="shared" si="10"/>
        <v>8.26</v>
      </c>
      <c r="Z48" s="96">
        <f t="shared" si="11"/>
        <v>0.31900000000000001</v>
      </c>
      <c r="AA48" s="60">
        <f t="shared" si="12"/>
        <v>14.511181315507365</v>
      </c>
      <c r="AB48" s="96">
        <f t="shared" si="24"/>
        <v>2.9</v>
      </c>
      <c r="AC48" s="96">
        <f t="shared" si="25"/>
        <v>0.4</v>
      </c>
      <c r="AD48" s="60">
        <f t="shared" si="13"/>
        <v>5.8784163740195217</v>
      </c>
      <c r="AE48" s="96">
        <f t="shared" si="14"/>
        <v>6.5</v>
      </c>
      <c r="AF48" s="96">
        <f t="shared" si="15"/>
        <v>0.628</v>
      </c>
      <c r="AG48" s="60">
        <f t="shared" si="16"/>
        <v>19.710027968471358</v>
      </c>
      <c r="AH48" s="96">
        <f t="shared" si="26"/>
        <v>7.4</v>
      </c>
      <c r="AI48" s="96">
        <f t="shared" si="27"/>
        <v>0.25</v>
      </c>
      <c r="AJ48" s="60">
        <f t="shared" si="17"/>
        <v>11.50855205006471</v>
      </c>
    </row>
    <row r="49" spans="1:36">
      <c r="B49" s="436"/>
      <c r="C49" s="437"/>
      <c r="D49" s="437"/>
      <c r="E49" s="437"/>
      <c r="F49" s="437"/>
      <c r="G49" s="437"/>
      <c r="H49" s="437"/>
      <c r="I49" s="437"/>
      <c r="J49" s="437"/>
      <c r="K49" s="438"/>
      <c r="M49" s="98">
        <f t="shared" si="23"/>
        <v>10.25</v>
      </c>
      <c r="N49" s="98">
        <f t="shared" si="2"/>
        <v>4.7752408634765926</v>
      </c>
      <c r="O49" s="98">
        <f t="shared" si="3"/>
        <v>0.44169999999999998</v>
      </c>
      <c r="P49" s="98">
        <f t="shared" si="4"/>
        <v>13.348486102178473</v>
      </c>
      <c r="Q49" s="98"/>
      <c r="R49" s="60">
        <f t="shared" si="19"/>
        <v>5.9970000000000034</v>
      </c>
      <c r="S49" s="60">
        <f t="shared" si="5"/>
        <v>3.9067683041390504</v>
      </c>
      <c r="T49" s="60">
        <f t="shared" si="6"/>
        <v>0.53539999999999999</v>
      </c>
      <c r="U49" s="60">
        <f t="shared" si="20"/>
        <v>10.193505118998692</v>
      </c>
      <c r="V49" s="96">
        <f t="shared" si="7"/>
        <v>5.13</v>
      </c>
      <c r="W49" s="96">
        <f t="shared" si="8"/>
        <v>0.22</v>
      </c>
      <c r="X49" s="60">
        <f t="shared" si="9"/>
        <v>7.6078660217174825</v>
      </c>
      <c r="Y49" s="96">
        <f t="shared" si="10"/>
        <v>8.26</v>
      </c>
      <c r="Z49" s="96">
        <f t="shared" si="11"/>
        <v>0.31900000000000001</v>
      </c>
      <c r="AA49" s="60">
        <f t="shared" si="12"/>
        <v>14.626519985183409</v>
      </c>
      <c r="AB49" s="96">
        <f t="shared" si="24"/>
        <v>2.9</v>
      </c>
      <c r="AC49" s="96">
        <f t="shared" si="25"/>
        <v>0.4</v>
      </c>
      <c r="AD49" s="60">
        <f t="shared" si="13"/>
        <v>5.9370624538782817</v>
      </c>
      <c r="AE49" s="96">
        <f t="shared" si="14"/>
        <v>6.5</v>
      </c>
      <c r="AF49" s="96">
        <f t="shared" si="15"/>
        <v>0.628</v>
      </c>
      <c r="AG49" s="60">
        <f t="shared" si="16"/>
        <v>20.019625052205637</v>
      </c>
      <c r="AH49" s="96">
        <f t="shared" si="26"/>
        <v>7.4</v>
      </c>
      <c r="AI49" s="96">
        <f t="shared" si="27"/>
        <v>0.25</v>
      </c>
      <c r="AJ49" s="60">
        <f t="shared" si="17"/>
        <v>11.580177917782205</v>
      </c>
    </row>
    <row r="50" spans="1:36">
      <c r="B50" s="447"/>
      <c r="C50" s="448"/>
      <c r="D50" s="449"/>
      <c r="E50" s="25" t="s">
        <v>80</v>
      </c>
      <c r="F50" s="25" t="s">
        <v>81</v>
      </c>
      <c r="G50" s="447"/>
      <c r="H50" s="448"/>
      <c r="I50" s="449"/>
      <c r="J50" s="25" t="s">
        <v>80</v>
      </c>
      <c r="K50" s="25" t="s">
        <v>81</v>
      </c>
      <c r="M50" s="98">
        <f t="shared" si="23"/>
        <v>10.5</v>
      </c>
      <c r="N50" s="98">
        <f t="shared" si="2"/>
        <v>4.7752408634765926</v>
      </c>
      <c r="O50" s="98">
        <f t="shared" si="3"/>
        <v>0.44169999999999998</v>
      </c>
      <c r="P50" s="98">
        <f t="shared" si="4"/>
        <v>13.491324731007724</v>
      </c>
      <c r="Q50" s="98"/>
      <c r="R50" s="60">
        <f t="shared" si="19"/>
        <v>6.1440000000000037</v>
      </c>
      <c r="S50" s="60">
        <f t="shared" si="5"/>
        <v>3.9067683041390504</v>
      </c>
      <c r="T50" s="60">
        <f t="shared" si="6"/>
        <v>0.53539999999999999</v>
      </c>
      <c r="U50" s="60">
        <f t="shared" si="20"/>
        <v>10.326530494098591</v>
      </c>
      <c r="V50" s="96">
        <f t="shared" si="7"/>
        <v>5.13</v>
      </c>
      <c r="W50" s="96">
        <f t="shared" si="8"/>
        <v>0.22</v>
      </c>
      <c r="X50" s="60">
        <f t="shared" si="9"/>
        <v>7.6485063336296886</v>
      </c>
      <c r="Y50" s="96">
        <f t="shared" si="10"/>
        <v>8.26</v>
      </c>
      <c r="Z50" s="96">
        <f t="shared" si="11"/>
        <v>0.31900000000000001</v>
      </c>
      <c r="AA50" s="60">
        <f t="shared" si="12"/>
        <v>14.739949050487544</v>
      </c>
      <c r="AB50" s="96">
        <f t="shared" si="24"/>
        <v>2.9</v>
      </c>
      <c r="AC50" s="96">
        <f t="shared" si="25"/>
        <v>0.4</v>
      </c>
      <c r="AD50" s="60">
        <f t="shared" si="13"/>
        <v>5.9948522061941407</v>
      </c>
      <c r="AE50" s="96">
        <f t="shared" si="14"/>
        <v>6.5</v>
      </c>
      <c r="AF50" s="96">
        <f t="shared" si="15"/>
        <v>0.628</v>
      </c>
      <c r="AG50" s="60">
        <f t="shared" si="16"/>
        <v>20.326411556414772</v>
      </c>
      <c r="AH50" s="96">
        <f t="shared" si="26"/>
        <v>7.4</v>
      </c>
      <c r="AI50" s="96">
        <f t="shared" si="27"/>
        <v>0.25</v>
      </c>
      <c r="AJ50" s="60">
        <f t="shared" si="17"/>
        <v>11.650498853891351</v>
      </c>
    </row>
    <row r="51" spans="1:36" ht="13.8" thickBot="1">
      <c r="B51" s="441" t="s">
        <v>82</v>
      </c>
      <c r="C51" s="442"/>
      <c r="D51" s="443"/>
      <c r="E51" s="441" t="s">
        <v>83</v>
      </c>
      <c r="F51" s="443"/>
      <c r="G51" s="441" t="s">
        <v>84</v>
      </c>
      <c r="H51" s="442"/>
      <c r="I51" s="443"/>
      <c r="J51" s="441" t="s">
        <v>85</v>
      </c>
      <c r="K51" s="443"/>
      <c r="M51" s="98">
        <f t="shared" si="23"/>
        <v>10.75</v>
      </c>
      <c r="N51" s="98">
        <f t="shared" si="2"/>
        <v>4.7752408634765926</v>
      </c>
      <c r="O51" s="98">
        <f t="shared" si="3"/>
        <v>0.44169999999999998</v>
      </c>
      <c r="P51" s="98">
        <f t="shared" si="4"/>
        <v>13.632276963907207</v>
      </c>
      <c r="Q51" s="98"/>
      <c r="R51" s="60">
        <f t="shared" si="19"/>
        <v>6.2910000000000039</v>
      </c>
      <c r="S51" s="60">
        <f t="shared" si="5"/>
        <v>3.9067683041390504</v>
      </c>
      <c r="T51" s="60">
        <f t="shared" si="6"/>
        <v>0.53539999999999999</v>
      </c>
      <c r="U51" s="60">
        <f t="shared" si="20"/>
        <v>10.458085186247397</v>
      </c>
      <c r="V51" s="96">
        <f t="shared" si="7"/>
        <v>5.13</v>
      </c>
      <c r="W51" s="96">
        <f t="shared" si="8"/>
        <v>0.22</v>
      </c>
      <c r="X51" s="60">
        <f t="shared" si="9"/>
        <v>7.6883951460161137</v>
      </c>
      <c r="Y51" s="96">
        <f t="shared" si="10"/>
        <v>8.26</v>
      </c>
      <c r="Z51" s="96">
        <f t="shared" si="11"/>
        <v>0.31900000000000001</v>
      </c>
      <c r="AA51" s="60">
        <f t="shared" si="12"/>
        <v>14.851544706526093</v>
      </c>
      <c r="AB51" s="96">
        <f t="shared" si="24"/>
        <v>2.9</v>
      </c>
      <c r="AC51" s="96">
        <f t="shared" si="25"/>
        <v>0.4</v>
      </c>
      <c r="AD51" s="60">
        <f t="shared" si="13"/>
        <v>6.0518181843196643</v>
      </c>
      <c r="AE51" s="96">
        <f t="shared" si="14"/>
        <v>6.5</v>
      </c>
      <c r="AF51" s="96">
        <f t="shared" si="15"/>
        <v>0.628</v>
      </c>
      <c r="AG51" s="60">
        <f t="shared" si="16"/>
        <v>20.630479349965263</v>
      </c>
      <c r="AH51" s="96">
        <f t="shared" si="26"/>
        <v>7.4</v>
      </c>
      <c r="AI51" s="96">
        <f t="shared" si="27"/>
        <v>0.25</v>
      </c>
      <c r="AJ51" s="60">
        <f t="shared" si="17"/>
        <v>11.719569019084915</v>
      </c>
    </row>
    <row r="52" spans="1:36" ht="13.8" thickTop="1">
      <c r="B52" s="322">
        <v>14</v>
      </c>
      <c r="C52" s="323" t="s">
        <v>86</v>
      </c>
      <c r="D52" s="324">
        <v>1500</v>
      </c>
      <c r="E52" s="333">
        <v>1.5599999999999999E-2</v>
      </c>
      <c r="F52" s="325">
        <v>0.4</v>
      </c>
      <c r="G52" s="326">
        <v>14</v>
      </c>
      <c r="H52" s="323" t="s">
        <v>86</v>
      </c>
      <c r="I52" s="327">
        <v>10.3</v>
      </c>
      <c r="J52" s="325">
        <v>2.9</v>
      </c>
      <c r="K52" s="325">
        <v>0.4</v>
      </c>
      <c r="M52" s="98">
        <f t="shared" si="23"/>
        <v>11</v>
      </c>
      <c r="N52" s="98">
        <f t="shared" si="2"/>
        <v>4.7752408634765926</v>
      </c>
      <c r="O52" s="98">
        <f t="shared" si="3"/>
        <v>0.44169999999999998</v>
      </c>
      <c r="P52" s="98">
        <f t="shared" si="4"/>
        <v>13.771410733408681</v>
      </c>
      <c r="Q52" s="98"/>
      <c r="R52" s="60">
        <f t="shared" si="19"/>
        <v>6.4380000000000042</v>
      </c>
      <c r="S52" s="60">
        <f t="shared" si="5"/>
        <v>3.9067683041390504</v>
      </c>
      <c r="T52" s="60">
        <f t="shared" si="6"/>
        <v>0.53539999999999999</v>
      </c>
      <c r="U52" s="60">
        <f t="shared" si="20"/>
        <v>10.58821926341796</v>
      </c>
      <c r="V52" s="96">
        <f t="shared" si="7"/>
        <v>5.13</v>
      </c>
      <c r="W52" s="96">
        <f t="shared" si="8"/>
        <v>0.22</v>
      </c>
      <c r="X52" s="60">
        <f t="shared" si="9"/>
        <v>7.7275634383324352</v>
      </c>
      <c r="Y52" s="96">
        <f t="shared" si="10"/>
        <v>8.26</v>
      </c>
      <c r="Z52" s="96">
        <f t="shared" si="11"/>
        <v>0.31900000000000001</v>
      </c>
      <c r="AA52" s="60">
        <f t="shared" si="12"/>
        <v>14.961378411689379</v>
      </c>
      <c r="AB52" s="96">
        <f t="shared" si="24"/>
        <v>2.9</v>
      </c>
      <c r="AC52" s="96">
        <f t="shared" si="25"/>
        <v>0.4</v>
      </c>
      <c r="AD52" s="60">
        <f t="shared" si="13"/>
        <v>6.1079909771877627</v>
      </c>
      <c r="AE52" s="96">
        <f t="shared" si="14"/>
        <v>6.5</v>
      </c>
      <c r="AF52" s="96">
        <f t="shared" si="15"/>
        <v>0.628</v>
      </c>
      <c r="AG52" s="60">
        <f t="shared" si="16"/>
        <v>20.931915230556509</v>
      </c>
      <c r="AH52" s="96">
        <f t="shared" si="26"/>
        <v>7.4</v>
      </c>
      <c r="AI52" s="96">
        <f t="shared" si="27"/>
        <v>0.25</v>
      </c>
      <c r="AJ52" s="60">
        <f t="shared" si="17"/>
        <v>11.78743912325632</v>
      </c>
    </row>
    <row r="53" spans="1:36">
      <c r="A53" s="43"/>
      <c r="B53" s="70"/>
      <c r="C53" s="41"/>
      <c r="D53" s="328"/>
      <c r="E53" s="329"/>
      <c r="F53" s="330"/>
      <c r="G53" s="331"/>
      <c r="H53" s="215"/>
      <c r="I53" s="332"/>
      <c r="J53" s="321"/>
      <c r="K53" s="321"/>
      <c r="L53" s="43"/>
      <c r="M53" s="98">
        <f t="shared" si="23"/>
        <v>11.25</v>
      </c>
      <c r="N53" s="98">
        <f t="shared" si="2"/>
        <v>4.7752408634765926</v>
      </c>
      <c r="O53" s="98">
        <f t="shared" si="3"/>
        <v>0.44169999999999998</v>
      </c>
      <c r="P53" s="98">
        <f t="shared" si="4"/>
        <v>13.908790046249266</v>
      </c>
      <c r="Q53" s="98"/>
      <c r="R53" s="60">
        <f t="shared" si="19"/>
        <v>6.5850000000000044</v>
      </c>
      <c r="S53" s="60">
        <f t="shared" si="5"/>
        <v>3.9067683041390504</v>
      </c>
      <c r="T53" s="60">
        <f t="shared" si="6"/>
        <v>0.53539999999999999</v>
      </c>
      <c r="U53" s="60">
        <f t="shared" si="20"/>
        <v>10.716979990231412</v>
      </c>
      <c r="V53" s="96">
        <f t="shared" si="7"/>
        <v>5.13</v>
      </c>
      <c r="W53" s="96">
        <f t="shared" si="8"/>
        <v>0.22</v>
      </c>
      <c r="X53" s="60">
        <f t="shared" si="9"/>
        <v>7.7660402405353262</v>
      </c>
      <c r="Y53" s="96">
        <f t="shared" si="10"/>
        <v>8.26</v>
      </c>
      <c r="Z53" s="96">
        <f t="shared" si="11"/>
        <v>0.31900000000000001</v>
      </c>
      <c r="AA53" s="60">
        <f t="shared" si="12"/>
        <v>15.069517282805291</v>
      </c>
      <c r="AB53" s="96">
        <f t="shared" si="24"/>
        <v>2.9</v>
      </c>
      <c r="AC53" s="96">
        <f t="shared" si="25"/>
        <v>0.4</v>
      </c>
      <c r="AD53" s="60">
        <f t="shared" si="13"/>
        <v>6.1633993697335185</v>
      </c>
      <c r="AE53" s="96">
        <f t="shared" si="14"/>
        <v>6.5</v>
      </c>
      <c r="AF53" s="96">
        <f t="shared" si="15"/>
        <v>0.628</v>
      </c>
      <c r="AG53" s="60">
        <f t="shared" si="16"/>
        <v>21.230801313640502</v>
      </c>
      <c r="AH53" s="96">
        <f t="shared" si="26"/>
        <v>7.4</v>
      </c>
      <c r="AI53" s="96">
        <f t="shared" si="27"/>
        <v>0.25</v>
      </c>
      <c r="AJ53" s="60">
        <f t="shared" si="17"/>
        <v>11.854156718541505</v>
      </c>
    </row>
    <row r="54" spans="1:36">
      <c r="A54" s="43"/>
      <c r="B54" s="436" t="s">
        <v>520</v>
      </c>
      <c r="C54" s="437"/>
      <c r="D54" s="437"/>
      <c r="E54" s="437"/>
      <c r="F54" s="437"/>
      <c r="G54" s="437"/>
      <c r="H54" s="437"/>
      <c r="I54" s="437"/>
      <c r="J54" s="437"/>
      <c r="K54" s="438"/>
      <c r="L54" s="43"/>
      <c r="M54" s="98">
        <f t="shared" si="23"/>
        <v>11.5</v>
      </c>
      <c r="N54" s="98">
        <f t="shared" si="2"/>
        <v>4.7752408634765926</v>
      </c>
      <c r="O54" s="98">
        <f t="shared" si="3"/>
        <v>0.44169999999999998</v>
      </c>
      <c r="P54" s="98">
        <f t="shared" si="4"/>
        <v>14.044475291969215</v>
      </c>
      <c r="Q54" s="98"/>
      <c r="R54" s="60">
        <f t="shared" si="19"/>
        <v>6.7320000000000046</v>
      </c>
      <c r="S54" s="60">
        <f t="shared" si="5"/>
        <v>3.9067683041390504</v>
      </c>
      <c r="T54" s="60">
        <f t="shared" si="6"/>
        <v>0.53539999999999999</v>
      </c>
      <c r="U54" s="60">
        <f t="shared" si="20"/>
        <v>10.84441204371837</v>
      </c>
      <c r="V54" s="96">
        <f t="shared" si="7"/>
        <v>5.13</v>
      </c>
      <c r="W54" s="96">
        <f t="shared" si="8"/>
        <v>0.22</v>
      </c>
      <c r="X54" s="60">
        <f t="shared" si="9"/>
        <v>7.8038527962071509</v>
      </c>
      <c r="Y54" s="96">
        <f t="shared" si="10"/>
        <v>8.26</v>
      </c>
      <c r="Z54" s="96">
        <f t="shared" si="11"/>
        <v>0.31900000000000001</v>
      </c>
      <c r="AA54" s="60">
        <f t="shared" si="12"/>
        <v>15.17602444929908</v>
      </c>
      <c r="AB54" s="96">
        <f t="shared" si="24"/>
        <v>2.9</v>
      </c>
      <c r="AC54" s="96">
        <f t="shared" si="25"/>
        <v>0.4</v>
      </c>
      <c r="AD54" s="60">
        <f t="shared" si="13"/>
        <v>6.2180704869466865</v>
      </c>
      <c r="AE54" s="96">
        <f t="shared" si="14"/>
        <v>6.5</v>
      </c>
      <c r="AF54" s="96">
        <f t="shared" si="15"/>
        <v>0.628</v>
      </c>
      <c r="AG54" s="60">
        <f t="shared" si="16"/>
        <v>21.527215383526293</v>
      </c>
      <c r="AH54" s="96">
        <f t="shared" si="26"/>
        <v>7.4</v>
      </c>
      <c r="AI54" s="96">
        <f t="shared" si="27"/>
        <v>0.25</v>
      </c>
      <c r="AJ54" s="60">
        <f t="shared" si="17"/>
        <v>11.919766461536112</v>
      </c>
    </row>
    <row r="55" spans="1:36">
      <c r="A55" s="43"/>
      <c r="B55" s="436"/>
      <c r="C55" s="437"/>
      <c r="D55" s="437"/>
      <c r="E55" s="437"/>
      <c r="F55" s="437"/>
      <c r="G55" s="437"/>
      <c r="H55" s="437"/>
      <c r="I55" s="437"/>
      <c r="J55" s="437"/>
      <c r="K55" s="438"/>
      <c r="L55" s="43"/>
      <c r="M55" s="98"/>
      <c r="N55" s="98"/>
      <c r="O55" s="98"/>
      <c r="P55" s="98"/>
      <c r="Q55" s="98"/>
      <c r="R55" s="60">
        <f t="shared" ref="R55:R71" si="28">R54+($M$5-0.103)</f>
        <v>6.8790000000000049</v>
      </c>
      <c r="S55" s="60">
        <f t="shared" si="5"/>
        <v>3.9067683041390504</v>
      </c>
      <c r="T55" s="60">
        <f t="shared" si="6"/>
        <v>0.53539999999999999</v>
      </c>
      <c r="U55" s="60">
        <f>S55*R55^T55</f>
        <v>10.970557708144641</v>
      </c>
      <c r="V55" s="96">
        <f t="shared" si="7"/>
        <v>5.13</v>
      </c>
      <c r="W55" s="96">
        <f t="shared" si="8"/>
        <v>0.22</v>
      </c>
      <c r="X55" s="60">
        <f t="shared" si="9"/>
        <v>7.8410267087931862</v>
      </c>
      <c r="Y55" s="96">
        <f t="shared" si="10"/>
        <v>8.26</v>
      </c>
      <c r="Z55" s="96">
        <f t="shared" si="11"/>
        <v>0.31900000000000001</v>
      </c>
      <c r="AA55" s="60">
        <f t="shared" si="12"/>
        <v>15.280959371408951</v>
      </c>
      <c r="AB55" s="96">
        <f t="shared" si="24"/>
        <v>2.9</v>
      </c>
      <c r="AC55" s="96">
        <f t="shared" si="25"/>
        <v>0.4</v>
      </c>
      <c r="AD55" s="60">
        <f t="shared" si="13"/>
        <v>6.2720299235442489</v>
      </c>
      <c r="AE55" s="96">
        <f t="shared" si="14"/>
        <v>6.5</v>
      </c>
      <c r="AF55" s="96">
        <f t="shared" si="15"/>
        <v>0.628</v>
      </c>
      <c r="AG55" s="60">
        <f t="shared" si="16"/>
        <v>21.821231211089057</v>
      </c>
      <c r="AH55" s="96">
        <f t="shared" si="26"/>
        <v>7.4</v>
      </c>
      <c r="AI55" s="96">
        <f t="shared" si="27"/>
        <v>0.25</v>
      </c>
      <c r="AJ55" s="60">
        <f t="shared" si="17"/>
        <v>11.984310348528084</v>
      </c>
    </row>
    <row r="56" spans="1:36">
      <c r="A56" s="43"/>
      <c r="B56" s="447"/>
      <c r="C56" s="448"/>
      <c r="D56" s="449"/>
      <c r="E56" s="25" t="s">
        <v>80</v>
      </c>
      <c r="F56" s="25" t="s">
        <v>81</v>
      </c>
      <c r="G56" s="447"/>
      <c r="H56" s="448"/>
      <c r="I56" s="449"/>
      <c r="J56" s="25" t="s">
        <v>80</v>
      </c>
      <c r="K56" s="25" t="s">
        <v>81</v>
      </c>
      <c r="L56" s="43"/>
      <c r="M56" s="98"/>
      <c r="N56" s="98"/>
      <c r="O56" s="98"/>
      <c r="P56" s="98"/>
      <c r="Q56" s="98"/>
      <c r="R56" s="60">
        <v>7.0330000000000004</v>
      </c>
      <c r="S56" s="60">
        <f t="shared" si="5"/>
        <v>9.6532036198768516</v>
      </c>
      <c r="T56" s="60">
        <f t="shared" si="6"/>
        <v>6.3799999999999996E-2</v>
      </c>
      <c r="U56" s="60">
        <f>S56*R56^T56</f>
        <v>10.932488733891011</v>
      </c>
      <c r="V56" s="96">
        <f t="shared" si="7"/>
        <v>5.13</v>
      </c>
      <c r="W56" s="96">
        <f t="shared" si="8"/>
        <v>0.22</v>
      </c>
      <c r="X56" s="60">
        <f t="shared" si="9"/>
        <v>7.8793120581569127</v>
      </c>
      <c r="Y56" s="96">
        <f t="shared" si="10"/>
        <v>8.26</v>
      </c>
      <c r="Z56" s="96">
        <f t="shared" si="11"/>
        <v>0.31900000000000001</v>
      </c>
      <c r="AA56" s="60">
        <f t="shared" si="12"/>
        <v>15.389265924804342</v>
      </c>
      <c r="AB56" s="96">
        <f t="shared" si="24"/>
        <v>2.9</v>
      </c>
      <c r="AC56" s="96">
        <f t="shared" si="25"/>
        <v>0.4</v>
      </c>
      <c r="AD56" s="60">
        <f t="shared" si="13"/>
        <v>6.3278218658739025</v>
      </c>
      <c r="AE56" s="96">
        <f t="shared" si="14"/>
        <v>6.5</v>
      </c>
      <c r="AF56" s="96">
        <f t="shared" si="15"/>
        <v>0.628</v>
      </c>
      <c r="AG56" s="60">
        <f t="shared" si="16"/>
        <v>22.126751803130642</v>
      </c>
      <c r="AH56" s="96">
        <f t="shared" si="26"/>
        <v>7.4</v>
      </c>
      <c r="AI56" s="96">
        <f t="shared" si="27"/>
        <v>0.25</v>
      </c>
      <c r="AJ56" s="60">
        <f t="shared" si="17"/>
        <v>12.050827617659314</v>
      </c>
    </row>
    <row r="57" spans="1:36" ht="13.8" thickBot="1">
      <c r="B57" s="441" t="s">
        <v>82</v>
      </c>
      <c r="C57" s="442"/>
      <c r="D57" s="443"/>
      <c r="E57" s="441" t="s">
        <v>83</v>
      </c>
      <c r="F57" s="443"/>
      <c r="G57" s="441" t="s">
        <v>84</v>
      </c>
      <c r="H57" s="442"/>
      <c r="I57" s="443"/>
      <c r="J57" s="441" t="s">
        <v>85</v>
      </c>
      <c r="K57" s="443"/>
      <c r="M57" s="60"/>
      <c r="N57" s="60"/>
      <c r="O57" s="60"/>
      <c r="P57" s="60"/>
      <c r="Q57" s="60"/>
      <c r="R57" s="60">
        <f t="shared" si="28"/>
        <v>7.1800000000000006</v>
      </c>
      <c r="S57" s="60">
        <f t="shared" si="5"/>
        <v>9.6532036198768516</v>
      </c>
      <c r="T57" s="60">
        <f t="shared" si="6"/>
        <v>6.3799999999999996E-2</v>
      </c>
      <c r="U57" s="60">
        <f t="shared" ref="U57:U71" si="29">S57*R57^T57</f>
        <v>10.946926612745623</v>
      </c>
      <c r="V57" s="96">
        <f t="shared" si="7"/>
        <v>5.13</v>
      </c>
      <c r="W57" s="96">
        <f t="shared" si="8"/>
        <v>0.22</v>
      </c>
      <c r="X57" s="60">
        <f t="shared" si="9"/>
        <v>7.9152519394326157</v>
      </c>
      <c r="Y57" s="96">
        <f t="shared" si="10"/>
        <v>8.26</v>
      </c>
      <c r="Z57" s="96">
        <f t="shared" si="11"/>
        <v>0.31900000000000001</v>
      </c>
      <c r="AA57" s="60">
        <f t="shared" si="12"/>
        <v>15.491153061205791</v>
      </c>
      <c r="AB57" s="96">
        <f t="shared" si="24"/>
        <v>2.9</v>
      </c>
      <c r="AC57" s="96">
        <f t="shared" si="25"/>
        <v>0.4</v>
      </c>
      <c r="AD57" s="60">
        <f t="shared" si="13"/>
        <v>6.3803980788639256</v>
      </c>
      <c r="AE57" s="96">
        <f t="shared" si="14"/>
        <v>6.5</v>
      </c>
      <c r="AF57" s="96">
        <f t="shared" si="15"/>
        <v>0.628</v>
      </c>
      <c r="AG57" s="60">
        <f t="shared" si="16"/>
        <v>22.41607172837162</v>
      </c>
      <c r="AH57" s="96">
        <f t="shared" si="26"/>
        <v>7.4</v>
      </c>
      <c r="AI57" s="96">
        <f t="shared" si="27"/>
        <v>0.25</v>
      </c>
      <c r="AJ57" s="60">
        <f t="shared" si="17"/>
        <v>12.113309974915285</v>
      </c>
    </row>
    <row r="58" spans="1:36" ht="13.8" thickTop="1">
      <c r="A58" s="43"/>
      <c r="B58" s="322">
        <v>14</v>
      </c>
      <c r="C58" s="323" t="s">
        <v>86</v>
      </c>
      <c r="D58" s="324">
        <v>1500</v>
      </c>
      <c r="E58" s="333">
        <v>1.12E-2</v>
      </c>
      <c r="F58" s="325">
        <v>0.628</v>
      </c>
      <c r="G58" s="326">
        <v>14</v>
      </c>
      <c r="H58" s="323" t="s">
        <v>86</v>
      </c>
      <c r="I58" s="327">
        <v>10.3</v>
      </c>
      <c r="J58" s="325">
        <v>6.5</v>
      </c>
      <c r="K58" s="325">
        <v>0.628</v>
      </c>
      <c r="L58" s="43"/>
      <c r="M58" s="315"/>
      <c r="N58" s="60"/>
      <c r="O58" s="60"/>
      <c r="P58" s="60"/>
      <c r="Q58" s="60"/>
      <c r="R58" s="60">
        <f t="shared" si="28"/>
        <v>7.3270000000000008</v>
      </c>
      <c r="S58" s="60">
        <f t="shared" si="5"/>
        <v>9.6532036198768516</v>
      </c>
      <c r="T58" s="60">
        <f t="shared" si="6"/>
        <v>6.3799999999999996E-2</v>
      </c>
      <c r="U58" s="60">
        <f t="shared" si="29"/>
        <v>10.961090363496956</v>
      </c>
      <c r="V58" s="96">
        <f t="shared" si="7"/>
        <v>5.13</v>
      </c>
      <c r="W58" s="96">
        <f t="shared" si="8"/>
        <v>0.22</v>
      </c>
      <c r="X58" s="60">
        <f t="shared" si="9"/>
        <v>7.9506223873730706</v>
      </c>
      <c r="Y58" s="96">
        <f t="shared" si="10"/>
        <v>8.26</v>
      </c>
      <c r="Z58" s="96">
        <f t="shared" si="11"/>
        <v>0.31900000000000001</v>
      </c>
      <c r="AA58" s="60">
        <f t="shared" si="12"/>
        <v>15.591629364312524</v>
      </c>
      <c r="AB58" s="96">
        <f t="shared" si="24"/>
        <v>2.9</v>
      </c>
      <c r="AC58" s="96">
        <f t="shared" si="25"/>
        <v>0.4</v>
      </c>
      <c r="AD58" s="60">
        <f t="shared" si="13"/>
        <v>6.4323323319313559</v>
      </c>
      <c r="AE58" s="96">
        <f t="shared" si="14"/>
        <v>6.5</v>
      </c>
      <c r="AF58" s="96">
        <f t="shared" si="15"/>
        <v>0.628</v>
      </c>
      <c r="AG58" s="60">
        <f t="shared" si="16"/>
        <v>22.703196336569555</v>
      </c>
      <c r="AH58" s="96">
        <f t="shared" si="26"/>
        <v>7.4</v>
      </c>
      <c r="AI58" s="96">
        <f t="shared" si="27"/>
        <v>0.25</v>
      </c>
      <c r="AJ58" s="60">
        <f t="shared" si="17"/>
        <v>12.174840143736873</v>
      </c>
    </row>
    <row r="59" spans="1:36">
      <c r="A59" s="43"/>
      <c r="B59" s="316"/>
      <c r="C59" s="317"/>
      <c r="D59" s="316"/>
      <c r="E59" s="318"/>
      <c r="F59" s="319"/>
      <c r="G59" s="316"/>
      <c r="H59" s="317"/>
      <c r="I59" s="316"/>
      <c r="J59" s="318"/>
      <c r="K59" s="319"/>
      <c r="L59" s="320"/>
      <c r="M59" s="315"/>
      <c r="N59" s="60"/>
      <c r="O59" s="60"/>
      <c r="P59" s="60"/>
      <c r="Q59" s="60"/>
      <c r="R59" s="60">
        <f t="shared" si="28"/>
        <v>7.4740000000000011</v>
      </c>
      <c r="S59" s="60">
        <f t="shared" si="5"/>
        <v>9.6532036198768516</v>
      </c>
      <c r="T59" s="60">
        <f t="shared" si="6"/>
        <v>6.3799999999999996E-2</v>
      </c>
      <c r="U59" s="60">
        <f t="shared" si="29"/>
        <v>10.97499053683531</v>
      </c>
      <c r="V59" s="96">
        <f t="shared" si="7"/>
        <v>5.13</v>
      </c>
      <c r="W59" s="96">
        <f t="shared" si="8"/>
        <v>0.22</v>
      </c>
      <c r="X59" s="60">
        <f t="shared" si="9"/>
        <v>7.9854435818622189</v>
      </c>
      <c r="Y59" s="96">
        <f t="shared" si="10"/>
        <v>8.26</v>
      </c>
      <c r="Z59" s="96">
        <f t="shared" si="11"/>
        <v>0.31900000000000001</v>
      </c>
      <c r="AA59" s="60">
        <f t="shared" si="12"/>
        <v>15.6907420980202</v>
      </c>
      <c r="AB59" s="96">
        <f t="shared" si="24"/>
        <v>2.9</v>
      </c>
      <c r="AC59" s="96">
        <f t="shared" si="25"/>
        <v>0.4</v>
      </c>
      <c r="AD59" s="60">
        <f t="shared" si="13"/>
        <v>6.4836451115017439</v>
      </c>
      <c r="AE59" s="96">
        <f t="shared" si="14"/>
        <v>6.5</v>
      </c>
      <c r="AF59" s="96">
        <f t="shared" si="15"/>
        <v>0.628</v>
      </c>
      <c r="AG59" s="60">
        <f t="shared" si="16"/>
        <v>22.988185839509619</v>
      </c>
      <c r="AH59" s="96">
        <f t="shared" si="26"/>
        <v>7.4</v>
      </c>
      <c r="AI59" s="96">
        <f t="shared" si="27"/>
        <v>0.25</v>
      </c>
      <c r="AJ59" s="60">
        <f t="shared" si="17"/>
        <v>12.235451309528322</v>
      </c>
    </row>
    <row r="60" spans="1:36">
      <c r="A60" s="43"/>
      <c r="B60" s="436" t="s">
        <v>536</v>
      </c>
      <c r="C60" s="437"/>
      <c r="D60" s="437"/>
      <c r="E60" s="437"/>
      <c r="F60" s="437"/>
      <c r="G60" s="437"/>
      <c r="H60" s="437"/>
      <c r="I60" s="437"/>
      <c r="J60" s="437"/>
      <c r="K60" s="438"/>
      <c r="L60" s="320"/>
      <c r="M60" s="315"/>
      <c r="N60" s="60"/>
      <c r="O60" s="60"/>
      <c r="P60" s="60"/>
      <c r="Q60" s="60"/>
      <c r="R60" s="60">
        <f t="shared" si="28"/>
        <v>7.6210000000000013</v>
      </c>
      <c r="S60" s="60">
        <f t="shared" si="5"/>
        <v>9.6532036198768516</v>
      </c>
      <c r="T60" s="60">
        <f t="shared" si="6"/>
        <v>6.3799999999999996E-2</v>
      </c>
      <c r="U60" s="60">
        <f t="shared" si="29"/>
        <v>10.988637079627617</v>
      </c>
      <c r="V60" s="96">
        <f t="shared" si="7"/>
        <v>5.13</v>
      </c>
      <c r="W60" s="96">
        <f t="shared" si="8"/>
        <v>0.22</v>
      </c>
      <c r="X60" s="60">
        <f t="shared" si="9"/>
        <v>8.0197346076317295</v>
      </c>
      <c r="Y60" s="96">
        <f t="shared" si="10"/>
        <v>8.26</v>
      </c>
      <c r="Z60" s="96">
        <f t="shared" si="11"/>
        <v>0.31900000000000001</v>
      </c>
      <c r="AA60" s="60">
        <f t="shared" si="12"/>
        <v>15.788536050167133</v>
      </c>
      <c r="AB60" s="96">
        <f t="shared" si="24"/>
        <v>2.9</v>
      </c>
      <c r="AC60" s="96">
        <f t="shared" si="25"/>
        <v>0.4</v>
      </c>
      <c r="AD60" s="60">
        <f t="shared" si="13"/>
        <v>6.5343558623541309</v>
      </c>
      <c r="AE60" s="96">
        <f t="shared" si="14"/>
        <v>6.5</v>
      </c>
      <c r="AF60" s="96">
        <f t="shared" si="15"/>
        <v>0.628</v>
      </c>
      <c r="AG60" s="60">
        <f t="shared" si="16"/>
        <v>23.271097649655964</v>
      </c>
      <c r="AH60" s="96">
        <f t="shared" si="26"/>
        <v>7.4</v>
      </c>
      <c r="AI60" s="96">
        <f t="shared" si="27"/>
        <v>0.25</v>
      </c>
      <c r="AJ60" s="60">
        <f t="shared" si="17"/>
        <v>12.29517487564703</v>
      </c>
    </row>
    <row r="61" spans="1:36">
      <c r="A61" s="43"/>
      <c r="B61" s="436"/>
      <c r="C61" s="437"/>
      <c r="D61" s="437"/>
      <c r="E61" s="437"/>
      <c r="F61" s="437"/>
      <c r="G61" s="437"/>
      <c r="H61" s="437"/>
      <c r="I61" s="437"/>
      <c r="J61" s="437"/>
      <c r="K61" s="438"/>
      <c r="L61" s="320"/>
      <c r="M61" s="315"/>
      <c r="N61" s="60"/>
      <c r="O61" s="60"/>
      <c r="P61" s="60"/>
      <c r="Q61" s="60"/>
      <c r="R61" s="60">
        <f t="shared" si="28"/>
        <v>7.7680000000000016</v>
      </c>
      <c r="S61" s="60">
        <f t="shared" si="5"/>
        <v>9.6532036198768516</v>
      </c>
      <c r="T61" s="60">
        <f t="shared" si="6"/>
        <v>6.3799999999999996E-2</v>
      </c>
      <c r="U61" s="60">
        <f t="shared" si="29"/>
        <v>11.0020393803598</v>
      </c>
      <c r="V61" s="96">
        <f t="shared" si="7"/>
        <v>5.13</v>
      </c>
      <c r="W61" s="96">
        <f t="shared" si="8"/>
        <v>0.22</v>
      </c>
      <c r="X61" s="60">
        <f t="shared" si="9"/>
        <v>8.0535135335288697</v>
      </c>
      <c r="Y61" s="96">
        <f t="shared" si="10"/>
        <v>8.26</v>
      </c>
      <c r="Z61" s="96">
        <f t="shared" si="11"/>
        <v>0.31900000000000001</v>
      </c>
      <c r="AA61" s="60">
        <f t="shared" si="12"/>
        <v>15.885053707226641</v>
      </c>
      <c r="AB61" s="96">
        <f t="shared" si="24"/>
        <v>2.9</v>
      </c>
      <c r="AC61" s="96">
        <f t="shared" si="25"/>
        <v>0.4</v>
      </c>
      <c r="AD61" s="60">
        <f t="shared" si="13"/>
        <v>6.5844830595512249</v>
      </c>
      <c r="AE61" s="96">
        <f t="shared" si="14"/>
        <v>6.5</v>
      </c>
      <c r="AF61" s="96">
        <f t="shared" si="15"/>
        <v>0.628</v>
      </c>
      <c r="AG61" s="60">
        <f t="shared" si="16"/>
        <v>23.551986561614953</v>
      </c>
      <c r="AH61" s="96">
        <f t="shared" si="26"/>
        <v>7.4</v>
      </c>
      <c r="AI61" s="96">
        <f t="shared" si="27"/>
        <v>0.25</v>
      </c>
      <c r="AJ61" s="60">
        <f t="shared" si="17"/>
        <v>12.354040591402779</v>
      </c>
    </row>
    <row r="62" spans="1:36">
      <c r="A62" s="43"/>
      <c r="B62" s="447"/>
      <c r="C62" s="448"/>
      <c r="D62" s="449"/>
      <c r="E62" s="25" t="s">
        <v>80</v>
      </c>
      <c r="F62" s="25" t="s">
        <v>81</v>
      </c>
      <c r="G62" s="447"/>
      <c r="H62" s="448"/>
      <c r="I62" s="449"/>
      <c r="J62" s="25" t="s">
        <v>80</v>
      </c>
      <c r="K62" s="25" t="s">
        <v>81</v>
      </c>
      <c r="L62" s="320"/>
      <c r="M62" s="315"/>
      <c r="N62" s="60"/>
      <c r="O62" s="60"/>
      <c r="P62" s="60"/>
      <c r="Q62" s="60"/>
      <c r="R62" s="60">
        <f t="shared" si="28"/>
        <v>7.9150000000000018</v>
      </c>
      <c r="S62" s="60">
        <f t="shared" si="5"/>
        <v>9.6532036198768516</v>
      </c>
      <c r="T62" s="60">
        <f t="shared" si="6"/>
        <v>6.3799999999999996E-2</v>
      </c>
      <c r="U62" s="60">
        <f t="shared" si="29"/>
        <v>11.015206310370765</v>
      </c>
      <c r="V62" s="96">
        <f t="shared" si="7"/>
        <v>5.13</v>
      </c>
      <c r="W62" s="96">
        <f t="shared" si="8"/>
        <v>0.22</v>
      </c>
      <c r="X62" s="60">
        <f t="shared" si="9"/>
        <v>8.0867974846651229</v>
      </c>
      <c r="Y62" s="96">
        <f t="shared" si="10"/>
        <v>8.26</v>
      </c>
      <c r="Z62" s="96">
        <f t="shared" si="11"/>
        <v>0.31900000000000001</v>
      </c>
      <c r="AA62" s="60">
        <f t="shared" si="12"/>
        <v>15.980335413620324</v>
      </c>
      <c r="AB62" s="96">
        <f t="shared" si="24"/>
        <v>2.9</v>
      </c>
      <c r="AC62" s="96">
        <f t="shared" si="25"/>
        <v>0.4</v>
      </c>
      <c r="AD62" s="60">
        <f t="shared" si="13"/>
        <v>6.6340442741419654</v>
      </c>
      <c r="AE62" s="96">
        <f t="shared" si="14"/>
        <v>6.5</v>
      </c>
      <c r="AF62" s="96">
        <f t="shared" si="15"/>
        <v>0.628</v>
      </c>
      <c r="AG62" s="60">
        <f t="shared" si="16"/>
        <v>23.830904918633717</v>
      </c>
      <c r="AH62" s="96">
        <f t="shared" si="26"/>
        <v>7.4</v>
      </c>
      <c r="AI62" s="96">
        <f t="shared" si="27"/>
        <v>0.25</v>
      </c>
      <c r="AJ62" s="60">
        <f t="shared" si="17"/>
        <v>12.412076668629981</v>
      </c>
    </row>
    <row r="63" spans="1:36" ht="13.8" thickBot="1">
      <c r="A63" s="43"/>
      <c r="B63" s="441" t="s">
        <v>82</v>
      </c>
      <c r="C63" s="442"/>
      <c r="D63" s="443"/>
      <c r="E63" s="441" t="s">
        <v>83</v>
      </c>
      <c r="F63" s="443"/>
      <c r="G63" s="441" t="s">
        <v>84</v>
      </c>
      <c r="H63" s="442"/>
      <c r="I63" s="443"/>
      <c r="J63" s="441" t="s">
        <v>85</v>
      </c>
      <c r="K63" s="443"/>
      <c r="L63" s="320"/>
      <c r="M63" s="315"/>
      <c r="N63" s="60"/>
      <c r="O63" s="60"/>
      <c r="P63" s="60"/>
      <c r="Q63" s="60"/>
      <c r="R63" s="60">
        <f t="shared" si="28"/>
        <v>8.0620000000000012</v>
      </c>
      <c r="S63" s="60">
        <f t="shared" si="5"/>
        <v>9.6532036198768516</v>
      </c>
      <c r="T63" s="60">
        <f t="shared" si="6"/>
        <v>6.3799999999999996E-2</v>
      </c>
      <c r="U63" s="60">
        <f t="shared" si="29"/>
        <v>11.028146261338042</v>
      </c>
      <c r="V63" s="96">
        <f t="shared" si="7"/>
        <v>5.13</v>
      </c>
      <c r="W63" s="96">
        <f t="shared" si="8"/>
        <v>0.22</v>
      </c>
      <c r="X63" s="60">
        <f t="shared" si="9"/>
        <v>8.1196027082045017</v>
      </c>
      <c r="Y63" s="96">
        <f t="shared" si="10"/>
        <v>8.26</v>
      </c>
      <c r="Z63" s="96">
        <f t="shared" si="11"/>
        <v>0.31900000000000001</v>
      </c>
      <c r="AA63" s="60">
        <f t="shared" si="12"/>
        <v>16.074419517265053</v>
      </c>
      <c r="AB63" s="96">
        <f t="shared" si="24"/>
        <v>2.9</v>
      </c>
      <c r="AC63" s="96">
        <f t="shared" si="25"/>
        <v>0.4</v>
      </c>
      <c r="AD63" s="60">
        <f t="shared" si="13"/>
        <v>6.683056233280726</v>
      </c>
      <c r="AE63" s="96">
        <f t="shared" si="14"/>
        <v>6.5</v>
      </c>
      <c r="AF63" s="96">
        <f t="shared" si="15"/>
        <v>0.628</v>
      </c>
      <c r="AG63" s="60">
        <f t="shared" si="16"/>
        <v>24.107902765622388</v>
      </c>
      <c r="AH63" s="96">
        <f t="shared" si="26"/>
        <v>7.4</v>
      </c>
      <c r="AI63" s="96">
        <f t="shared" si="27"/>
        <v>0.25</v>
      </c>
      <c r="AJ63" s="60">
        <f t="shared" si="17"/>
        <v>12.46930988804499</v>
      </c>
    </row>
    <row r="64" spans="1:36" ht="13.8" thickTop="1">
      <c r="A64" s="43"/>
      <c r="B64" s="322">
        <v>14</v>
      </c>
      <c r="C64" s="323" t="s">
        <v>86</v>
      </c>
      <c r="D64" s="324">
        <v>1500</v>
      </c>
      <c r="E64" s="333">
        <v>8.3930000000000005E-2</v>
      </c>
      <c r="F64" s="325">
        <v>0.25</v>
      </c>
      <c r="G64" s="326">
        <v>14</v>
      </c>
      <c r="H64" s="323" t="s">
        <v>86</v>
      </c>
      <c r="I64" s="327">
        <v>10.3</v>
      </c>
      <c r="J64" s="325">
        <v>7.4</v>
      </c>
      <c r="K64" s="325">
        <v>0.25</v>
      </c>
      <c r="L64" s="43"/>
      <c r="M64" s="315"/>
      <c r="N64" s="60"/>
      <c r="O64" s="60"/>
      <c r="P64" s="60"/>
      <c r="Q64" s="60"/>
      <c r="R64" s="60">
        <f t="shared" si="28"/>
        <v>8.2090000000000014</v>
      </c>
      <c r="S64" s="60">
        <f t="shared" si="5"/>
        <v>9.6532036198768516</v>
      </c>
      <c r="T64" s="60">
        <f t="shared" si="6"/>
        <v>6.3799999999999996E-2</v>
      </c>
      <c r="U64" s="60">
        <f t="shared" si="29"/>
        <v>11.040867179417527</v>
      </c>
      <c r="V64" s="96">
        <f t="shared" si="7"/>
        <v>5.13</v>
      </c>
      <c r="W64" s="96">
        <f t="shared" si="8"/>
        <v>0.22</v>
      </c>
      <c r="X64" s="60">
        <f t="shared" si="9"/>
        <v>8.1519446334572692</v>
      </c>
      <c r="Y64" s="96">
        <f t="shared" si="10"/>
        <v>8.26</v>
      </c>
      <c r="Z64" s="96">
        <f t="shared" si="11"/>
        <v>0.31900000000000001</v>
      </c>
      <c r="AA64" s="60">
        <f t="shared" si="12"/>
        <v>16.167342502771259</v>
      </c>
      <c r="AB64" s="96">
        <f t="shared" si="24"/>
        <v>2.9</v>
      </c>
      <c r="AC64" s="96">
        <f t="shared" si="25"/>
        <v>0.4</v>
      </c>
      <c r="AD64" s="60">
        <f t="shared" si="13"/>
        <v>6.7315348753303219</v>
      </c>
      <c r="AE64" s="96">
        <f t="shared" si="14"/>
        <v>6.5</v>
      </c>
      <c r="AF64" s="96">
        <f t="shared" si="15"/>
        <v>0.628</v>
      </c>
      <c r="AG64" s="60">
        <f t="shared" si="16"/>
        <v>24.383027990015837</v>
      </c>
      <c r="AH64" s="96">
        <f t="shared" si="26"/>
        <v>7.4</v>
      </c>
      <c r="AI64" s="96">
        <f t="shared" si="27"/>
        <v>0.25</v>
      </c>
      <c r="AJ64" s="60">
        <f t="shared" si="17"/>
        <v>12.525765696452495</v>
      </c>
    </row>
    <row r="65" spans="1:3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315"/>
      <c r="N65" s="60"/>
      <c r="O65" s="60"/>
      <c r="P65" s="60"/>
      <c r="Q65" s="60"/>
      <c r="R65" s="60">
        <f t="shared" si="28"/>
        <v>8.3560000000000016</v>
      </c>
      <c r="S65" s="60">
        <f t="shared" si="5"/>
        <v>9.6532036198768516</v>
      </c>
      <c r="T65" s="60">
        <f t="shared" si="6"/>
        <v>6.3799999999999996E-2</v>
      </c>
      <c r="U65" s="60">
        <f t="shared" si="29"/>
        <v>11.053376596390002</v>
      </c>
      <c r="V65" s="96">
        <f t="shared" si="7"/>
        <v>5.13</v>
      </c>
      <c r="W65" s="96">
        <f t="shared" si="8"/>
        <v>0.22</v>
      </c>
      <c r="X65" s="60">
        <f t="shared" si="9"/>
        <v>8.18383792686455</v>
      </c>
      <c r="Y65" s="96">
        <f t="shared" si="10"/>
        <v>8.26</v>
      </c>
      <c r="Z65" s="96">
        <f t="shared" si="11"/>
        <v>0.31900000000000001</v>
      </c>
      <c r="AA65" s="60">
        <f t="shared" si="12"/>
        <v>16.259139113541448</v>
      </c>
      <c r="AB65" s="96">
        <f t="shared" si="24"/>
        <v>2.9</v>
      </c>
      <c r="AC65" s="96">
        <f t="shared" si="25"/>
        <v>0.4</v>
      </c>
      <c r="AD65" s="60">
        <f t="shared" si="13"/>
        <v>6.7794954004493073</v>
      </c>
      <c r="AE65" s="96">
        <f t="shared" si="14"/>
        <v>6.5</v>
      </c>
      <c r="AF65" s="96">
        <f t="shared" si="15"/>
        <v>0.628</v>
      </c>
      <c r="AG65" s="60">
        <f t="shared" si="16"/>
        <v>24.65632645164137</v>
      </c>
      <c r="AH65" s="96">
        <f t="shared" si="26"/>
        <v>7.4</v>
      </c>
      <c r="AI65" s="96">
        <f t="shared" si="27"/>
        <v>0.25</v>
      </c>
      <c r="AJ65" s="60">
        <f t="shared" si="17"/>
        <v>12.581468295737162</v>
      </c>
    </row>
    <row r="66" spans="1:3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315"/>
      <c r="N66" s="60"/>
      <c r="O66" s="60"/>
      <c r="P66" s="60"/>
      <c r="Q66" s="60"/>
      <c r="R66" s="60">
        <f t="shared" si="28"/>
        <v>8.5030000000000019</v>
      </c>
      <c r="S66" s="60">
        <f t="shared" si="5"/>
        <v>9.6532036198768516</v>
      </c>
      <c r="T66" s="60">
        <f t="shared" si="6"/>
        <v>6.3799999999999996E-2</v>
      </c>
      <c r="U66" s="60">
        <f t="shared" si="29"/>
        <v>11.065681658124634</v>
      </c>
      <c r="V66" s="96">
        <f t="shared" si="7"/>
        <v>5.13</v>
      </c>
      <c r="W66" s="96">
        <f t="shared" si="8"/>
        <v>0.22</v>
      </c>
      <c r="X66" s="60">
        <f t="shared" si="9"/>
        <v>8.2152965423899076</v>
      </c>
      <c r="Y66" s="96">
        <f t="shared" si="10"/>
        <v>8.26</v>
      </c>
      <c r="Z66" s="96">
        <f t="shared" si="11"/>
        <v>0.31900000000000001</v>
      </c>
      <c r="AA66" s="60">
        <f t="shared" si="12"/>
        <v>16.349842463871937</v>
      </c>
      <c r="AB66" s="96">
        <f t="shared" si="24"/>
        <v>2.9</v>
      </c>
      <c r="AC66" s="96">
        <f t="shared" si="25"/>
        <v>0.4</v>
      </c>
      <c r="AD66" s="60">
        <f t="shared" si="13"/>
        <v>6.8269523171061817</v>
      </c>
      <c r="AE66" s="96">
        <f t="shared" si="14"/>
        <v>6.5</v>
      </c>
      <c r="AF66" s="96">
        <f t="shared" si="15"/>
        <v>0.628</v>
      </c>
      <c r="AG66" s="60">
        <f t="shared" si="16"/>
        <v>24.927842102628137</v>
      </c>
      <c r="AH66" s="96">
        <f t="shared" si="26"/>
        <v>7.4</v>
      </c>
      <c r="AI66" s="96">
        <f t="shared" si="27"/>
        <v>0.25</v>
      </c>
      <c r="AJ66" s="60">
        <f t="shared" si="17"/>
        <v>12.636440724466194</v>
      </c>
    </row>
    <row r="67" spans="1:36">
      <c r="B67" s="98"/>
      <c r="C67" s="98"/>
      <c r="D67" s="98"/>
      <c r="E67" s="98"/>
      <c r="F67" s="99"/>
      <c r="G67" s="98"/>
      <c r="H67" s="98"/>
      <c r="I67" s="98"/>
      <c r="J67" s="60"/>
      <c r="M67" s="60"/>
      <c r="N67" s="60"/>
      <c r="O67" s="60"/>
      <c r="P67" s="60"/>
      <c r="Q67" s="60"/>
      <c r="R67" s="60">
        <f t="shared" si="28"/>
        <v>8.6500000000000021</v>
      </c>
      <c r="S67" s="60">
        <f t="shared" si="5"/>
        <v>9.6532036198768516</v>
      </c>
      <c r="T67" s="60">
        <f t="shared" si="6"/>
        <v>6.3799999999999996E-2</v>
      </c>
      <c r="U67" s="60">
        <f t="shared" si="29"/>
        <v>11.077789150632556</v>
      </c>
      <c r="V67" s="96">
        <f t="shared" si="7"/>
        <v>5.13</v>
      </c>
      <c r="W67" s="96">
        <f t="shared" si="8"/>
        <v>0.22</v>
      </c>
      <c r="X67" s="60">
        <f t="shared" si="9"/>
        <v>8.2463337677738693</v>
      </c>
      <c r="Y67" s="96">
        <f t="shared" si="10"/>
        <v>8.26</v>
      </c>
      <c r="Z67" s="96">
        <f t="shared" si="11"/>
        <v>0.31900000000000001</v>
      </c>
      <c r="AA67" s="60">
        <f t="shared" si="12"/>
        <v>16.439484142034068</v>
      </c>
      <c r="AB67" s="96">
        <f t="shared" si="24"/>
        <v>2.9</v>
      </c>
      <c r="AC67" s="96">
        <f t="shared" si="25"/>
        <v>0.4</v>
      </c>
      <c r="AD67" s="60">
        <f t="shared" si="13"/>
        <v>6.8739194849129204</v>
      </c>
      <c r="AE67" s="96">
        <f t="shared" si="14"/>
        <v>6.5</v>
      </c>
      <c r="AF67" s="96">
        <f t="shared" si="15"/>
        <v>0.628</v>
      </c>
      <c r="AG67" s="60">
        <f t="shared" si="16"/>
        <v>25.197617098280411</v>
      </c>
      <c r="AH67" s="96">
        <f t="shared" si="26"/>
        <v>7.4</v>
      </c>
      <c r="AI67" s="96">
        <f t="shared" si="27"/>
        <v>0.25</v>
      </c>
      <c r="AJ67" s="60">
        <f t="shared" si="17"/>
        <v>12.690704932832819</v>
      </c>
    </row>
    <row r="68" spans="1:36">
      <c r="B68" s="98"/>
      <c r="C68" s="98"/>
      <c r="D68" s="98"/>
      <c r="E68" s="98"/>
      <c r="F68" s="99"/>
      <c r="G68" s="98"/>
      <c r="H68" s="98"/>
      <c r="I68" s="98"/>
      <c r="J68" s="60"/>
      <c r="M68" s="60"/>
      <c r="N68" s="60"/>
      <c r="O68" s="60"/>
      <c r="P68" s="60"/>
      <c r="Q68" s="60"/>
      <c r="R68" s="60">
        <f t="shared" si="28"/>
        <v>8.7970000000000024</v>
      </c>
      <c r="S68" s="60">
        <f t="shared" si="5"/>
        <v>9.6532036198768516</v>
      </c>
      <c r="T68" s="60">
        <f t="shared" si="6"/>
        <v>6.3799999999999996E-2</v>
      </c>
      <c r="U68" s="60">
        <f t="shared" si="29"/>
        <v>11.089705523951828</v>
      </c>
      <c r="V68" s="96">
        <f t="shared" si="7"/>
        <v>5.13</v>
      </c>
      <c r="W68" s="96">
        <f t="shared" si="8"/>
        <v>0.22</v>
      </c>
      <c r="X68" s="60">
        <f t="shared" si="9"/>
        <v>8.2769622670551541</v>
      </c>
      <c r="Y68" s="96">
        <f t="shared" si="10"/>
        <v>8.26</v>
      </c>
      <c r="Z68" s="96">
        <f t="shared" si="11"/>
        <v>0.31900000000000001</v>
      </c>
      <c r="AA68" s="60">
        <f t="shared" si="12"/>
        <v>16.528094305200984</v>
      </c>
      <c r="AB68" s="96">
        <f t="shared" si="24"/>
        <v>2.9</v>
      </c>
      <c r="AC68" s="96">
        <f t="shared" si="25"/>
        <v>0.4</v>
      </c>
      <c r="AD68" s="60">
        <f t="shared" si="13"/>
        <v>6.9204101541263778</v>
      </c>
      <c r="AE68" s="96">
        <f t="shared" si="14"/>
        <v>6.5</v>
      </c>
      <c r="AF68" s="96">
        <f t="shared" si="15"/>
        <v>0.628</v>
      </c>
      <c r="AG68" s="60">
        <f t="shared" si="16"/>
        <v>25.465691899737347</v>
      </c>
      <c r="AH68" s="96">
        <f t="shared" si="26"/>
        <v>7.4</v>
      </c>
      <c r="AI68" s="96">
        <f t="shared" si="27"/>
        <v>0.25</v>
      </c>
      <c r="AJ68" s="60">
        <f t="shared" si="17"/>
        <v>12.744281851587347</v>
      </c>
    </row>
    <row r="69" spans="1:36">
      <c r="B69" s="98"/>
      <c r="C69" s="98"/>
      <c r="D69" s="98"/>
      <c r="E69" s="98"/>
      <c r="F69" s="99"/>
      <c r="G69" s="98"/>
      <c r="H69" s="98"/>
      <c r="I69" s="98"/>
      <c r="J69" s="60"/>
      <c r="M69" s="60"/>
      <c r="N69" s="60"/>
      <c r="O69" s="60"/>
      <c r="P69" s="60"/>
      <c r="Q69" s="60"/>
      <c r="R69" s="60">
        <f t="shared" si="28"/>
        <v>8.9440000000000026</v>
      </c>
      <c r="S69" s="60">
        <f t="shared" si="5"/>
        <v>9.6532036198768516</v>
      </c>
      <c r="T69" s="60">
        <f t="shared" si="6"/>
        <v>6.3799999999999996E-2</v>
      </c>
      <c r="U69" s="60">
        <f t="shared" si="29"/>
        <v>11.101436914077221</v>
      </c>
      <c r="V69" s="96">
        <f t="shared" si="7"/>
        <v>5.13</v>
      </c>
      <c r="W69" s="96">
        <f t="shared" si="8"/>
        <v>0.22</v>
      </c>
      <c r="X69" s="60">
        <f t="shared" si="9"/>
        <v>8.3071941197169767</v>
      </c>
      <c r="Y69" s="96">
        <f t="shared" si="10"/>
        <v>8.26</v>
      </c>
      <c r="Z69" s="96">
        <f t="shared" si="11"/>
        <v>0.31900000000000001</v>
      </c>
      <c r="AA69" s="60">
        <f t="shared" si="12"/>
        <v>16.615701766989869</v>
      </c>
      <c r="AB69" s="96">
        <f t="shared" si="24"/>
        <v>2.9</v>
      </c>
      <c r="AC69" s="96">
        <f t="shared" si="25"/>
        <v>0.4</v>
      </c>
      <c r="AD69" s="60">
        <f t="shared" si="13"/>
        <v>6.9664370021279289</v>
      </c>
      <c r="AE69" s="96">
        <f t="shared" si="14"/>
        <v>6.5</v>
      </c>
      <c r="AF69" s="96">
        <f t="shared" si="15"/>
        <v>0.628</v>
      </c>
      <c r="AG69" s="60">
        <f t="shared" si="16"/>
        <v>25.732105369154297</v>
      </c>
      <c r="AH69" s="96">
        <f t="shared" si="26"/>
        <v>7.4</v>
      </c>
      <c r="AI69" s="96">
        <f t="shared" si="27"/>
        <v>0.25</v>
      </c>
      <c r="AJ69" s="60">
        <f t="shared" si="17"/>
        <v>12.797191455530086</v>
      </c>
    </row>
    <row r="70" spans="1:36">
      <c r="B70" s="98"/>
      <c r="C70" s="98"/>
      <c r="D70" s="98"/>
      <c r="E70" s="98"/>
      <c r="F70" s="99"/>
      <c r="G70" s="98"/>
      <c r="H70" s="98"/>
      <c r="I70" s="98"/>
      <c r="J70" s="60"/>
      <c r="M70" s="60"/>
      <c r="N70" s="60"/>
      <c r="O70" s="60"/>
      <c r="P70" s="60"/>
      <c r="Q70" s="60"/>
      <c r="R70" s="60">
        <f t="shared" si="28"/>
        <v>9.0910000000000029</v>
      </c>
      <c r="S70" s="60">
        <f t="shared" si="5"/>
        <v>9.6532036198768516</v>
      </c>
      <c r="T70" s="60">
        <f t="shared" si="6"/>
        <v>6.3799999999999996E-2</v>
      </c>
      <c r="U70" s="60">
        <f t="shared" si="29"/>
        <v>11.112989163124192</v>
      </c>
      <c r="V70" s="96">
        <f t="shared" si="7"/>
        <v>5.13</v>
      </c>
      <c r="W70" s="96">
        <f t="shared" si="8"/>
        <v>0.22</v>
      </c>
      <c r="X70" s="60">
        <f t="shared" si="9"/>
        <v>8.3370408567769818</v>
      </c>
      <c r="Y70" s="96">
        <f t="shared" si="10"/>
        <v>8.26</v>
      </c>
      <c r="Z70" s="96">
        <f t="shared" si="11"/>
        <v>0.31900000000000001</v>
      </c>
      <c r="AA70" s="60">
        <f t="shared" si="12"/>
        <v>16.702334078305423</v>
      </c>
      <c r="AB70" s="96">
        <f t="shared" si="24"/>
        <v>2.9</v>
      </c>
      <c r="AC70" s="96">
        <f t="shared" si="25"/>
        <v>0.4</v>
      </c>
      <c r="AD70" s="60">
        <f t="shared" si="13"/>
        <v>7.0120121671581304</v>
      </c>
      <c r="AE70" s="96">
        <f t="shared" si="14"/>
        <v>6.5</v>
      </c>
      <c r="AF70" s="96">
        <f t="shared" si="15"/>
        <v>0.628</v>
      </c>
      <c r="AG70" s="60">
        <f t="shared" si="16"/>
        <v>25.996894858064262</v>
      </c>
      <c r="AH70" s="96">
        <f t="shared" si="26"/>
        <v>7.4</v>
      </c>
      <c r="AI70" s="96">
        <f t="shared" si="27"/>
        <v>0.25</v>
      </c>
      <c r="AJ70" s="60">
        <f t="shared" si="17"/>
        <v>12.849452822076939</v>
      </c>
    </row>
    <row r="71" spans="1:36">
      <c r="B71" s="98"/>
      <c r="C71" s="98"/>
      <c r="D71" s="98"/>
      <c r="E71" s="98"/>
      <c r="F71" s="99"/>
      <c r="G71" s="98"/>
      <c r="H71" s="98"/>
      <c r="I71" s="98"/>
      <c r="J71" s="60"/>
      <c r="M71" s="60"/>
      <c r="N71" s="60"/>
      <c r="O71" s="60"/>
      <c r="P71" s="60"/>
      <c r="Q71" s="60"/>
      <c r="R71" s="60">
        <f t="shared" si="28"/>
        <v>9.2380000000000031</v>
      </c>
      <c r="S71" s="60">
        <f t="shared" si="5"/>
        <v>9.6532036198768516</v>
      </c>
      <c r="T71" s="60">
        <f t="shared" si="6"/>
        <v>6.3799999999999996E-2</v>
      </c>
      <c r="U71" s="60">
        <f t="shared" si="29"/>
        <v>11.124367837895285</v>
      </c>
      <c r="V71" s="96">
        <f t="shared" si="7"/>
        <v>5.13</v>
      </c>
      <c r="W71" s="96">
        <f t="shared" si="8"/>
        <v>0.22</v>
      </c>
      <c r="X71" s="60">
        <f t="shared" si="9"/>
        <v>8.3665134941047885</v>
      </c>
      <c r="Y71" s="96">
        <f t="shared" si="10"/>
        <v>8.26</v>
      </c>
      <c r="Z71" s="96">
        <f t="shared" si="11"/>
        <v>0.31900000000000001</v>
      </c>
      <c r="AA71" s="60">
        <f t="shared" si="12"/>
        <v>16.788017602096723</v>
      </c>
      <c r="AB71" s="96">
        <f t="shared" si="24"/>
        <v>2.9</v>
      </c>
      <c r="AC71" s="96">
        <f t="shared" si="25"/>
        <v>0.4</v>
      </c>
      <c r="AD71" s="60">
        <f t="shared" si="13"/>
        <v>7.057147279553841</v>
      </c>
      <c r="AE71" s="96">
        <f t="shared" si="14"/>
        <v>6.5</v>
      </c>
      <c r="AF71" s="96">
        <f t="shared" si="15"/>
        <v>0.628</v>
      </c>
      <c r="AG71" s="60">
        <f t="shared" si="16"/>
        <v>26.260096289510134</v>
      </c>
      <c r="AH71" s="96">
        <f t="shared" si="26"/>
        <v>7.4</v>
      </c>
      <c r="AI71" s="96">
        <f t="shared" si="27"/>
        <v>0.25</v>
      </c>
      <c r="AJ71" s="60">
        <f t="shared" si="17"/>
        <v>12.901084185353186</v>
      </c>
    </row>
    <row r="72" spans="1:36">
      <c r="B72" s="98"/>
      <c r="C72" s="98"/>
      <c r="D72" s="98"/>
      <c r="E72" s="98"/>
      <c r="F72" s="99"/>
      <c r="G72" s="98"/>
      <c r="H72" s="98"/>
      <c r="I72" s="98"/>
      <c r="J72" s="60"/>
      <c r="M72" s="60"/>
      <c r="N72" s="60"/>
      <c r="O72" s="60"/>
      <c r="P72" s="60"/>
      <c r="Q72" s="60"/>
      <c r="R72" s="60">
        <f t="shared" ref="R72:R83" si="30">R71+($M$5-0.103)</f>
        <v>9.3850000000000033</v>
      </c>
      <c r="S72" s="60">
        <f t="shared" si="5"/>
        <v>9.6532036198768516</v>
      </c>
      <c r="T72" s="60">
        <f t="shared" si="6"/>
        <v>6.3799999999999996E-2</v>
      </c>
      <c r="U72" s="60">
        <f t="shared" ref="U72:U83" si="31">S72*R72^T72</f>
        <v>11.135578246998753</v>
      </c>
      <c r="V72" s="96">
        <f t="shared" si="7"/>
        <v>5.13</v>
      </c>
      <c r="W72" s="96">
        <f t="shared" si="8"/>
        <v>0.22</v>
      </c>
      <c r="X72" s="60">
        <f t="shared" si="9"/>
        <v>8.3956225632205825</v>
      </c>
      <c r="Y72" s="96">
        <f t="shared" si="10"/>
        <v>8.26</v>
      </c>
      <c r="Z72" s="96">
        <f t="shared" si="11"/>
        <v>0.31900000000000001</v>
      </c>
      <c r="AA72" s="60">
        <f t="shared" si="12"/>
        <v>16.87277758257477</v>
      </c>
      <c r="AB72" s="96">
        <f t="shared" si="24"/>
        <v>2.9</v>
      </c>
      <c r="AC72" s="96">
        <f t="shared" si="25"/>
        <v>0.4</v>
      </c>
      <c r="AD72" s="60">
        <f t="shared" si="13"/>
        <v>7.1018534907093276</v>
      </c>
      <c r="AE72" s="96">
        <f t="shared" si="14"/>
        <v>6.5</v>
      </c>
      <c r="AF72" s="96">
        <f t="shared" si="15"/>
        <v>0.628</v>
      </c>
      <c r="AG72" s="60">
        <f t="shared" si="16"/>
        <v>26.521744234478859</v>
      </c>
      <c r="AH72" s="96">
        <f t="shared" si="26"/>
        <v>7.4</v>
      </c>
      <c r="AI72" s="96">
        <f t="shared" si="27"/>
        <v>0.25</v>
      </c>
      <c r="AJ72" s="60">
        <f t="shared" si="17"/>
        <v>12.952102986222215</v>
      </c>
    </row>
    <row r="73" spans="1:36">
      <c r="B73" s="98"/>
      <c r="C73" s="98"/>
      <c r="D73" s="98"/>
      <c r="E73" s="98"/>
      <c r="F73" s="99"/>
      <c r="G73" s="98"/>
      <c r="H73" s="98"/>
      <c r="I73" s="98"/>
      <c r="J73" s="60"/>
      <c r="M73" s="60"/>
      <c r="N73" s="60"/>
      <c r="O73" s="60"/>
      <c r="P73" s="60"/>
      <c r="Q73" s="60"/>
      <c r="R73" s="60">
        <f t="shared" si="30"/>
        <v>9.5320000000000036</v>
      </c>
      <c r="S73" s="60">
        <f t="shared" si="5"/>
        <v>9.6532036198768516</v>
      </c>
      <c r="T73" s="60">
        <f t="shared" si="6"/>
        <v>6.3799999999999996E-2</v>
      </c>
      <c r="U73" s="60">
        <f t="shared" si="31"/>
        <v>11.146625456653096</v>
      </c>
      <c r="V73" s="96">
        <f t="shared" si="7"/>
        <v>5.13</v>
      </c>
      <c r="W73" s="96">
        <f t="shared" si="8"/>
        <v>0.22</v>
      </c>
      <c r="X73" s="60">
        <f t="shared" si="9"/>
        <v>8.4243781398014583</v>
      </c>
      <c r="Y73" s="96">
        <f t="shared" si="10"/>
        <v>8.26</v>
      </c>
      <c r="Z73" s="96">
        <f t="shared" si="11"/>
        <v>0.31900000000000001</v>
      </c>
      <c r="AA73" s="60">
        <f t="shared" si="12"/>
        <v>16.956638209381165</v>
      </c>
      <c r="AB73" s="96">
        <f t="shared" ref="AB73:AB83" si="32">am_1</f>
        <v>2.9</v>
      </c>
      <c r="AC73" s="96">
        <f t="shared" ref="AC73:AC83" si="33">nm_1</f>
        <v>0.4</v>
      </c>
      <c r="AD73" s="60">
        <f t="shared" si="13"/>
        <v>7.1461414999601116</v>
      </c>
      <c r="AE73" s="96">
        <f t="shared" si="14"/>
        <v>6.5</v>
      </c>
      <c r="AF73" s="96">
        <f t="shared" si="15"/>
        <v>0.628</v>
      </c>
      <c r="AG73" s="60">
        <f t="shared" si="16"/>
        <v>26.781871983115582</v>
      </c>
      <c r="AH73" s="96">
        <f t="shared" si="26"/>
        <v>7.4</v>
      </c>
      <c r="AI73" s="96">
        <f t="shared" si="27"/>
        <v>0.25</v>
      </c>
      <c r="AJ73" s="60">
        <f t="shared" si="17"/>
        <v>13.002525918613269</v>
      </c>
    </row>
    <row r="74" spans="1:36">
      <c r="B74" s="98"/>
      <c r="C74" s="98"/>
      <c r="D74" s="98"/>
      <c r="E74" s="98"/>
      <c r="F74" s="99"/>
      <c r="G74" s="98"/>
      <c r="H74" s="98"/>
      <c r="I74" s="98"/>
      <c r="J74" s="60"/>
      <c r="M74" s="60"/>
      <c r="N74" s="60"/>
      <c r="O74" s="60"/>
      <c r="P74" s="60"/>
      <c r="Q74" s="60"/>
      <c r="R74" s="60">
        <f t="shared" si="30"/>
        <v>9.6790000000000038</v>
      </c>
      <c r="S74" s="60">
        <f t="shared" ref="S74:S83" si="34">VLOOKUP($R74,knsobn_,4,TRUE)</f>
        <v>9.6532036198768516</v>
      </c>
      <c r="T74" s="60">
        <f t="shared" ref="T74:T83" si="35">VLOOKUP($R74,knsobn_,5,TRUE)</f>
        <v>6.3799999999999996E-2</v>
      </c>
      <c r="U74" s="60">
        <f t="shared" si="31"/>
        <v>11.157514305296953</v>
      </c>
      <c r="V74" s="96">
        <f t="shared" ref="V74:V83" si="36">$J$28</f>
        <v>5.13</v>
      </c>
      <c r="W74" s="96">
        <f t="shared" ref="W74:W83" si="37">$K$28</f>
        <v>0.22</v>
      </c>
      <c r="X74" s="60">
        <f t="shared" ref="X74:X83" si="38">V74*R74^W74</f>
        <v>8.4527898700986448</v>
      </c>
      <c r="Y74" s="96">
        <f t="shared" ref="Y74:Y83" si="39">$J$33</f>
        <v>8.26</v>
      </c>
      <c r="Z74" s="96">
        <f t="shared" ref="Z74:Z83" si="40">$K$33</f>
        <v>0.31900000000000001</v>
      </c>
      <c r="AA74" s="60">
        <f t="shared" ref="AA74:AA83" si="41">Y74*R74^Z74</f>
        <v>17.039622677148028</v>
      </c>
      <c r="AB74" s="96">
        <f t="shared" si="32"/>
        <v>2.9</v>
      </c>
      <c r="AC74" s="96">
        <f t="shared" si="33"/>
        <v>0.4</v>
      </c>
      <c r="AD74" s="60">
        <f t="shared" ref="AD74:AD83" si="42">AB74*R74^AC74</f>
        <v>7.1900215795681497</v>
      </c>
      <c r="AE74" s="96">
        <f t="shared" ref="AE74:AE83" si="43">$J$58</f>
        <v>6.5</v>
      </c>
      <c r="AF74" s="96">
        <f t="shared" ref="AF74:AF83" si="44">$K$58</f>
        <v>0.628</v>
      </c>
      <c r="AG74" s="60">
        <f t="shared" ref="AG74:AG83" si="45">AE74*R74^AF74</f>
        <v>27.040511611149185</v>
      </c>
      <c r="AH74" s="96">
        <f t="shared" si="26"/>
        <v>7.4</v>
      </c>
      <c r="AI74" s="96">
        <f t="shared" si="27"/>
        <v>0.25</v>
      </c>
      <c r="AJ74" s="60">
        <f t="shared" ref="AJ74:AJ83" si="46">AH74*R74^AI74</f>
        <v>13.052368972474545</v>
      </c>
    </row>
    <row r="75" spans="1:36">
      <c r="B75" s="98"/>
      <c r="C75" s="98"/>
      <c r="D75" s="98"/>
      <c r="E75" s="98"/>
      <c r="F75" s="99"/>
      <c r="G75" s="98"/>
      <c r="H75" s="98"/>
      <c r="I75" s="98"/>
      <c r="J75" s="60"/>
      <c r="M75" s="60"/>
      <c r="N75" s="60"/>
      <c r="O75" s="60"/>
      <c r="P75" s="60"/>
      <c r="Q75" s="60"/>
      <c r="R75" s="60">
        <f t="shared" si="30"/>
        <v>9.8260000000000041</v>
      </c>
      <c r="S75" s="60">
        <f t="shared" si="34"/>
        <v>9.6532036198768516</v>
      </c>
      <c r="T75" s="60">
        <f t="shared" si="35"/>
        <v>6.3799999999999996E-2</v>
      </c>
      <c r="U75" s="60">
        <f t="shared" si="31"/>
        <v>11.168249417111291</v>
      </c>
      <c r="V75" s="96">
        <f t="shared" si="36"/>
        <v>5.13</v>
      </c>
      <c r="W75" s="96">
        <f t="shared" si="37"/>
        <v>0.22</v>
      </c>
      <c r="X75" s="60">
        <f t="shared" si="38"/>
        <v>8.4808669954479772</v>
      </c>
      <c r="Y75" s="96">
        <f t="shared" si="39"/>
        <v>8.26</v>
      </c>
      <c r="Z75" s="96">
        <f t="shared" si="40"/>
        <v>0.31900000000000001</v>
      </c>
      <c r="AA75" s="60">
        <f t="shared" si="41"/>
        <v>17.121753240844736</v>
      </c>
      <c r="AB75" s="96">
        <f t="shared" si="32"/>
        <v>2.9</v>
      </c>
      <c r="AC75" s="96">
        <f t="shared" si="33"/>
        <v>0.4</v>
      </c>
      <c r="AD75" s="60">
        <f t="shared" si="42"/>
        <v>7.2335035979691371</v>
      </c>
      <c r="AE75" s="96">
        <f t="shared" si="43"/>
        <v>6.5</v>
      </c>
      <c r="AF75" s="96">
        <f t="shared" si="44"/>
        <v>0.628</v>
      </c>
      <c r="AG75" s="60">
        <f t="shared" si="45"/>
        <v>27.297694041918795</v>
      </c>
      <c r="AH75" s="96">
        <f t="shared" ref="AH75:AH83" si="47">am_4</f>
        <v>7.4</v>
      </c>
      <c r="AI75" s="96">
        <f t="shared" ref="AI75:AI83" si="48">nm_4</f>
        <v>0.25</v>
      </c>
      <c r="AJ75" s="60">
        <f t="shared" si="46"/>
        <v>13.101647473644753</v>
      </c>
    </row>
    <row r="76" spans="1:36">
      <c r="B76" s="98"/>
      <c r="C76" s="98"/>
      <c r="D76" s="98"/>
      <c r="E76" s="98"/>
      <c r="F76" s="99"/>
      <c r="G76" s="98"/>
      <c r="H76" s="98"/>
      <c r="I76" s="98"/>
      <c r="J76" s="60"/>
      <c r="M76" s="60"/>
      <c r="N76" s="60"/>
      <c r="O76" s="60"/>
      <c r="P76" s="60"/>
      <c r="Q76" s="60"/>
      <c r="R76" s="60">
        <f t="shared" si="30"/>
        <v>9.9730000000000043</v>
      </c>
      <c r="S76" s="60">
        <f t="shared" si="34"/>
        <v>9.6532036198768516</v>
      </c>
      <c r="T76" s="60">
        <f t="shared" si="35"/>
        <v>6.3799999999999996E-2</v>
      </c>
      <c r="U76" s="60">
        <f t="shared" si="31"/>
        <v>11.178835214549855</v>
      </c>
      <c r="V76" s="96">
        <f t="shared" si="36"/>
        <v>5.13</v>
      </c>
      <c r="W76" s="96">
        <f t="shared" si="37"/>
        <v>0.22</v>
      </c>
      <c r="X76" s="60">
        <f t="shared" si="38"/>
        <v>8.5086183750375515</v>
      </c>
      <c r="Y76" s="96">
        <f t="shared" si="39"/>
        <v>8.26</v>
      </c>
      <c r="Z76" s="96">
        <f t="shared" si="40"/>
        <v>0.31900000000000001</v>
      </c>
      <c r="AA76" s="60">
        <f t="shared" si="41"/>
        <v>17.203051267267902</v>
      </c>
      <c r="AB76" s="96">
        <f t="shared" si="32"/>
        <v>2.9</v>
      </c>
      <c r="AC76" s="96">
        <f t="shared" si="33"/>
        <v>0.4</v>
      </c>
      <c r="AD76" s="60">
        <f t="shared" si="42"/>
        <v>7.2765970414268999</v>
      </c>
      <c r="AE76" s="96">
        <f t="shared" si="43"/>
        <v>6.5</v>
      </c>
      <c r="AF76" s="96">
        <f t="shared" si="44"/>
        <v>0.628</v>
      </c>
      <c r="AG76" s="60">
        <f t="shared" si="45"/>
        <v>27.553449104354016</v>
      </c>
      <c r="AH76" s="96">
        <f t="shared" si="47"/>
        <v>7.4</v>
      </c>
      <c r="AI76" s="96">
        <f t="shared" si="48"/>
        <v>0.25</v>
      </c>
      <c r="AJ76" s="60">
        <f t="shared" si="46"/>
        <v>13.150376120906746</v>
      </c>
    </row>
    <row r="77" spans="1:36">
      <c r="B77" s="98"/>
      <c r="C77" s="98"/>
      <c r="D77" s="98"/>
      <c r="E77" s="98"/>
      <c r="F77" s="99"/>
      <c r="G77" s="98"/>
      <c r="H77" s="98"/>
      <c r="I77" s="98"/>
      <c r="J77" s="60"/>
      <c r="M77" s="60"/>
      <c r="N77" s="60"/>
      <c r="O77" s="60"/>
      <c r="P77" s="60"/>
      <c r="Q77" s="60"/>
      <c r="R77" s="60">
        <f t="shared" si="30"/>
        <v>10.120000000000005</v>
      </c>
      <c r="S77" s="60">
        <f t="shared" si="34"/>
        <v>9.6532036198768516</v>
      </c>
      <c r="T77" s="60">
        <f t="shared" si="35"/>
        <v>6.3799999999999996E-2</v>
      </c>
      <c r="U77" s="60">
        <f t="shared" si="31"/>
        <v>11.189275929964063</v>
      </c>
      <c r="V77" s="96">
        <f t="shared" si="36"/>
        <v>5.13</v>
      </c>
      <c r="W77" s="96">
        <f t="shared" si="37"/>
        <v>0.22</v>
      </c>
      <c r="X77" s="60">
        <f t="shared" si="38"/>
        <v>8.5360525070802016</v>
      </c>
      <c r="Y77" s="96">
        <f t="shared" si="39"/>
        <v>8.26</v>
      </c>
      <c r="Z77" s="96">
        <f t="shared" si="40"/>
        <v>0.31900000000000001</v>
      </c>
      <c r="AA77" s="60">
        <f t="shared" si="41"/>
        <v>17.28353728299594</v>
      </c>
      <c r="AB77" s="96">
        <f t="shared" si="32"/>
        <v>2.9</v>
      </c>
      <c r="AC77" s="96">
        <f t="shared" si="33"/>
        <v>0.4</v>
      </c>
      <c r="AD77" s="60">
        <f t="shared" si="42"/>
        <v>7.3193110342258034</v>
      </c>
      <c r="AE77" s="96">
        <f t="shared" si="43"/>
        <v>6.5</v>
      </c>
      <c r="AF77" s="96">
        <f t="shared" si="44"/>
        <v>0.628</v>
      </c>
      <c r="AG77" s="60">
        <f t="shared" si="45"/>
        <v>27.80780558722828</v>
      </c>
      <c r="AH77" s="96">
        <f t="shared" si="47"/>
        <v>7.4</v>
      </c>
      <c r="AI77" s="96">
        <f t="shared" si="48"/>
        <v>0.25</v>
      </c>
      <c r="AJ77" s="60">
        <f t="shared" si="46"/>
        <v>13.198569020460795</v>
      </c>
    </row>
    <row r="78" spans="1:36">
      <c r="B78" s="98"/>
      <c r="C78" s="98"/>
      <c r="D78" s="98"/>
      <c r="E78" s="98"/>
      <c r="F78" s="99"/>
      <c r="G78" s="98"/>
      <c r="H78" s="98"/>
      <c r="I78" s="98"/>
      <c r="J78" s="60"/>
      <c r="M78" s="60"/>
      <c r="N78" s="60"/>
      <c r="O78" s="60"/>
      <c r="P78" s="60"/>
      <c r="Q78" s="60"/>
      <c r="R78" s="60">
        <f t="shared" si="30"/>
        <v>10.267000000000005</v>
      </c>
      <c r="S78" s="60">
        <f t="shared" si="34"/>
        <v>9.6532036198768516</v>
      </c>
      <c r="T78" s="60">
        <f t="shared" si="35"/>
        <v>6.3799999999999996E-2</v>
      </c>
      <c r="U78" s="60">
        <f t="shared" si="31"/>
        <v>11.19957561639991</v>
      </c>
      <c r="V78" s="96">
        <f t="shared" si="36"/>
        <v>5.13</v>
      </c>
      <c r="W78" s="96">
        <f t="shared" si="37"/>
        <v>0.22</v>
      </c>
      <c r="X78" s="60">
        <f t="shared" si="38"/>
        <v>8.563177548524024</v>
      </c>
      <c r="Y78" s="96">
        <f t="shared" si="39"/>
        <v>8.26</v>
      </c>
      <c r="Z78" s="96">
        <f t="shared" si="40"/>
        <v>0.31900000000000001</v>
      </c>
      <c r="AA78" s="60">
        <f t="shared" si="41"/>
        <v>17.363231019098606</v>
      </c>
      <c r="AB78" s="96">
        <f t="shared" si="32"/>
        <v>2.9</v>
      </c>
      <c r="AC78" s="96">
        <f t="shared" si="33"/>
        <v>0.4</v>
      </c>
      <c r="AD78" s="60">
        <f t="shared" si="42"/>
        <v>7.3616543575196065</v>
      </c>
      <c r="AE78" s="96">
        <f t="shared" si="43"/>
        <v>6.5</v>
      </c>
      <c r="AF78" s="96">
        <f t="shared" si="44"/>
        <v>0.628</v>
      </c>
      <c r="AG78" s="60">
        <f t="shared" si="45"/>
        <v>28.060791289975612</v>
      </c>
      <c r="AH78" s="96">
        <f t="shared" si="47"/>
        <v>7.4</v>
      </c>
      <c r="AI78" s="96">
        <f t="shared" si="48"/>
        <v>0.25</v>
      </c>
      <c r="AJ78" s="60">
        <f t="shared" si="46"/>
        <v>13.246239718031903</v>
      </c>
    </row>
    <row r="79" spans="1:36">
      <c r="B79" s="98"/>
      <c r="C79" s="98"/>
      <c r="D79" s="98"/>
      <c r="E79" s="98"/>
      <c r="F79" s="99"/>
      <c r="G79" s="98"/>
      <c r="H79" s="98"/>
      <c r="I79" s="98"/>
      <c r="J79" s="60"/>
      <c r="M79" s="60"/>
      <c r="N79" s="60"/>
      <c r="O79" s="60"/>
      <c r="P79" s="60"/>
      <c r="Q79" s="60"/>
      <c r="R79" s="60">
        <f t="shared" si="30"/>
        <v>10.414000000000005</v>
      </c>
      <c r="S79" s="60">
        <f t="shared" si="34"/>
        <v>9.6532036198768516</v>
      </c>
      <c r="T79" s="60">
        <f t="shared" si="35"/>
        <v>6.3799999999999996E-2</v>
      </c>
      <c r="U79" s="60">
        <f t="shared" si="31"/>
        <v>11.209738157636787</v>
      </c>
      <c r="V79" s="96">
        <f t="shared" si="36"/>
        <v>5.13</v>
      </c>
      <c r="W79" s="96">
        <f t="shared" si="37"/>
        <v>0.22</v>
      </c>
      <c r="X79" s="60">
        <f t="shared" si="38"/>
        <v>8.5900013334212488</v>
      </c>
      <c r="Y79" s="96">
        <f t="shared" si="39"/>
        <v>8.26</v>
      </c>
      <c r="Z79" s="96">
        <f t="shared" si="40"/>
        <v>0.31900000000000001</v>
      </c>
      <c r="AA79" s="60">
        <f t="shared" si="41"/>
        <v>17.442151452864127</v>
      </c>
      <c r="AB79" s="96">
        <f t="shared" si="32"/>
        <v>2.9</v>
      </c>
      <c r="AC79" s="96">
        <f t="shared" si="33"/>
        <v>0.4</v>
      </c>
      <c r="AD79" s="60">
        <f t="shared" si="42"/>
        <v>7.4036354669440323</v>
      </c>
      <c r="AE79" s="96">
        <f t="shared" si="43"/>
        <v>6.5</v>
      </c>
      <c r="AF79" s="96">
        <f t="shared" si="44"/>
        <v>0.628</v>
      </c>
      <c r="AG79" s="60">
        <f t="shared" si="45"/>
        <v>28.312433070334297</v>
      </c>
      <c r="AH79" s="96">
        <f t="shared" si="47"/>
        <v>7.4</v>
      </c>
      <c r="AI79" s="96">
        <f t="shared" si="48"/>
        <v>0.25</v>
      </c>
      <c r="AJ79" s="60">
        <f t="shared" si="46"/>
        <v>13.293401228804905</v>
      </c>
    </row>
    <row r="80" spans="1:36">
      <c r="B80" s="98"/>
      <c r="C80" s="98"/>
      <c r="D80" s="98"/>
      <c r="E80" s="98"/>
      <c r="F80" s="99"/>
      <c r="G80" s="98"/>
      <c r="H80" s="98"/>
      <c r="I80" s="98"/>
      <c r="J80" s="60"/>
      <c r="M80" s="60"/>
      <c r="N80" s="60"/>
      <c r="O80" s="60"/>
      <c r="P80" s="60"/>
      <c r="Q80" s="60"/>
      <c r="R80" s="60">
        <f t="shared" si="30"/>
        <v>10.561000000000005</v>
      </c>
      <c r="S80" s="60">
        <f t="shared" si="34"/>
        <v>9.6532036198768516</v>
      </c>
      <c r="T80" s="60">
        <f t="shared" si="35"/>
        <v>6.3799999999999996E-2</v>
      </c>
      <c r="U80" s="60">
        <f t="shared" si="31"/>
        <v>11.219767277531348</v>
      </c>
      <c r="V80" s="96">
        <f t="shared" si="36"/>
        <v>5.13</v>
      </c>
      <c r="W80" s="96">
        <f t="shared" si="37"/>
        <v>0.22</v>
      </c>
      <c r="X80" s="60">
        <f t="shared" si="38"/>
        <v>8.6165313900643685</v>
      </c>
      <c r="Y80" s="96">
        <f t="shared" si="39"/>
        <v>8.26</v>
      </c>
      <c r="Z80" s="96">
        <f t="shared" si="40"/>
        <v>0.31900000000000001</v>
      </c>
      <c r="AA80" s="60">
        <f t="shared" si="41"/>
        <v>17.520316846782137</v>
      </c>
      <c r="AB80" s="96">
        <f t="shared" si="32"/>
        <v>2.9</v>
      </c>
      <c r="AC80" s="96">
        <f t="shared" si="33"/>
        <v>0.4</v>
      </c>
      <c r="AD80" s="60">
        <f t="shared" si="42"/>
        <v>7.4452625090904112</v>
      </c>
      <c r="AE80" s="96">
        <f t="shared" si="43"/>
        <v>6.5</v>
      </c>
      <c r="AF80" s="96">
        <f t="shared" si="44"/>
        <v>0.628</v>
      </c>
      <c r="AG80" s="60">
        <f t="shared" si="45"/>
        <v>28.562756889057564</v>
      </c>
      <c r="AH80" s="96">
        <f t="shared" si="47"/>
        <v>7.4</v>
      </c>
      <c r="AI80" s="96">
        <f t="shared" si="48"/>
        <v>0.25</v>
      </c>
      <c r="AJ80" s="60">
        <f t="shared" si="46"/>
        <v>13.340066065362763</v>
      </c>
    </row>
    <row r="81" spans="2:36">
      <c r="B81" s="98"/>
      <c r="C81" s="98"/>
      <c r="D81" s="98"/>
      <c r="E81" s="98"/>
      <c r="F81" s="99"/>
      <c r="G81" s="98"/>
      <c r="H81" s="98"/>
      <c r="I81" s="98"/>
      <c r="M81" s="60"/>
      <c r="N81" s="60"/>
      <c r="O81" s="60"/>
      <c r="P81" s="60"/>
      <c r="Q81" s="60"/>
      <c r="R81" s="60">
        <f t="shared" si="30"/>
        <v>10.708000000000006</v>
      </c>
      <c r="S81" s="60">
        <f t="shared" si="34"/>
        <v>9.6532036198768516</v>
      </c>
      <c r="T81" s="60">
        <f t="shared" si="35"/>
        <v>6.3799999999999996E-2</v>
      </c>
      <c r="U81" s="60">
        <f t="shared" si="31"/>
        <v>11.22966654872347</v>
      </c>
      <c r="V81" s="96">
        <f t="shared" si="36"/>
        <v>5.13</v>
      </c>
      <c r="W81" s="96">
        <f t="shared" si="37"/>
        <v>0.22</v>
      </c>
      <c r="X81" s="60">
        <f t="shared" si="38"/>
        <v>8.6427749569881502</v>
      </c>
      <c r="Y81" s="96">
        <f t="shared" si="39"/>
        <v>8.26</v>
      </c>
      <c r="Z81" s="96">
        <f t="shared" si="40"/>
        <v>0.31900000000000001</v>
      </c>
      <c r="AA81" s="60">
        <f t="shared" si="41"/>
        <v>17.597744784998241</v>
      </c>
      <c r="AB81" s="96">
        <f t="shared" si="32"/>
        <v>2.9</v>
      </c>
      <c r="AC81" s="96">
        <f t="shared" si="33"/>
        <v>0.4</v>
      </c>
      <c r="AD81" s="60">
        <f t="shared" si="42"/>
        <v>7.4865433369287784</v>
      </c>
      <c r="AE81" s="96">
        <f t="shared" si="43"/>
        <v>6.5</v>
      </c>
      <c r="AF81" s="96">
        <f t="shared" si="44"/>
        <v>0.628</v>
      </c>
      <c r="AG81" s="60">
        <f t="shared" si="45"/>
        <v>28.811787851910161</v>
      </c>
      <c r="AH81" s="96">
        <f t="shared" si="47"/>
        <v>7.4</v>
      </c>
      <c r="AI81" s="96">
        <f t="shared" si="48"/>
        <v>0.25</v>
      </c>
      <c r="AJ81" s="60">
        <f t="shared" si="46"/>
        <v>13.386246263787081</v>
      </c>
    </row>
    <row r="82" spans="2:36">
      <c r="B82" s="60"/>
      <c r="C82" s="60"/>
      <c r="D82" s="60"/>
      <c r="E82" s="60"/>
      <c r="G82" s="60"/>
      <c r="H82" s="60"/>
      <c r="I82" s="60"/>
      <c r="M82" s="60"/>
      <c r="N82" s="60"/>
      <c r="O82" s="60"/>
      <c r="P82" s="60"/>
      <c r="Q82" s="60"/>
      <c r="R82" s="60">
        <f t="shared" si="30"/>
        <v>10.855000000000006</v>
      </c>
      <c r="S82" s="60">
        <f t="shared" si="34"/>
        <v>9.6532036198768516</v>
      </c>
      <c r="T82" s="60">
        <f t="shared" si="35"/>
        <v>6.3799999999999996E-2</v>
      </c>
      <c r="U82" s="60">
        <f t="shared" si="31"/>
        <v>11.239439400755961</v>
      </c>
      <c r="V82" s="96">
        <f t="shared" si="36"/>
        <v>5.13</v>
      </c>
      <c r="W82" s="96">
        <f t="shared" si="37"/>
        <v>0.22</v>
      </c>
      <c r="X82" s="60">
        <f t="shared" si="38"/>
        <v>8.6687389979270772</v>
      </c>
      <c r="Y82" s="96">
        <f t="shared" si="39"/>
        <v>8.26</v>
      </c>
      <c r="Z82" s="96">
        <f t="shared" si="40"/>
        <v>0.31900000000000001</v>
      </c>
      <c r="AA82" s="60">
        <f t="shared" si="41"/>
        <v>17.674452207436644</v>
      </c>
      <c r="AB82" s="96">
        <f t="shared" si="32"/>
        <v>2.9</v>
      </c>
      <c r="AC82" s="96">
        <f t="shared" si="33"/>
        <v>0.4</v>
      </c>
      <c r="AD82" s="60">
        <f t="shared" si="42"/>
        <v>7.5274855242609071</v>
      </c>
      <c r="AE82" s="96">
        <f t="shared" si="43"/>
        <v>6.5</v>
      </c>
      <c r="AF82" s="96">
        <f t="shared" si="44"/>
        <v>0.628</v>
      </c>
      <c r="AG82" s="60">
        <f t="shared" si="45"/>
        <v>29.059550249150206</v>
      </c>
      <c r="AH82" s="96">
        <f t="shared" si="47"/>
        <v>7.4</v>
      </c>
      <c r="AI82" s="96">
        <f t="shared" si="48"/>
        <v>0.25</v>
      </c>
      <c r="AJ82" s="60">
        <f t="shared" si="46"/>
        <v>13.431953408065175</v>
      </c>
    </row>
    <row r="83" spans="2:36">
      <c r="I83" s="60"/>
      <c r="M83" s="60"/>
      <c r="N83" s="60"/>
      <c r="O83" s="60"/>
      <c r="P83" s="60"/>
      <c r="Q83" s="60"/>
      <c r="R83" s="60">
        <f t="shared" si="30"/>
        <v>11.002000000000006</v>
      </c>
      <c r="S83" s="60">
        <f t="shared" si="34"/>
        <v>9.6532036198768516</v>
      </c>
      <c r="T83" s="60">
        <f t="shared" si="35"/>
        <v>6.3799999999999996E-2</v>
      </c>
      <c r="U83" s="60">
        <f t="shared" si="31"/>
        <v>11.249089127654859</v>
      </c>
      <c r="V83" s="96">
        <f t="shared" si="36"/>
        <v>5.13</v>
      </c>
      <c r="W83" s="96">
        <f t="shared" si="37"/>
        <v>0.22</v>
      </c>
      <c r="X83" s="60">
        <f t="shared" si="38"/>
        <v>8.6944302158095503</v>
      </c>
      <c r="Y83" s="96">
        <f t="shared" si="39"/>
        <v>8.26</v>
      </c>
      <c r="Z83" s="96">
        <f t="shared" si="40"/>
        <v>0.31900000000000001</v>
      </c>
      <c r="AA83" s="60">
        <f t="shared" si="41"/>
        <v>17.750455441769379</v>
      </c>
      <c r="AB83" s="96">
        <f t="shared" si="32"/>
        <v>2.9</v>
      </c>
      <c r="AC83" s="96">
        <f t="shared" si="33"/>
        <v>0.4</v>
      </c>
      <c r="AD83" s="60">
        <f t="shared" si="42"/>
        <v>7.5680963792765219</v>
      </c>
      <c r="AE83" s="96">
        <f t="shared" si="43"/>
        <v>6.5</v>
      </c>
      <c r="AF83" s="96">
        <f t="shared" si="44"/>
        <v>0.628</v>
      </c>
      <c r="AG83" s="60">
        <f t="shared" si="45"/>
        <v>29.306067592679206</v>
      </c>
      <c r="AH83" s="96">
        <f t="shared" si="47"/>
        <v>7.4</v>
      </c>
      <c r="AI83" s="96">
        <f t="shared" si="48"/>
        <v>0.25</v>
      </c>
      <c r="AJ83" s="60">
        <f t="shared" si="46"/>
        <v>13.477198652934886</v>
      </c>
    </row>
    <row r="84" spans="2:36"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2:36"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2:36"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2:36"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2:36"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2:36"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2:36"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2:36"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2:36"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2:36"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2:36"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2:36">
      <c r="B95" s="228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2:36"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3:26"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3:26">
      <c r="V98" s="60"/>
      <c r="W98" s="60"/>
      <c r="X98" s="60"/>
      <c r="Y98" s="60"/>
      <c r="Z98" s="60"/>
    </row>
    <row r="99" spans="13:26">
      <c r="V99" s="60"/>
      <c r="W99" s="60"/>
      <c r="X99" s="60"/>
      <c r="Y99" s="60"/>
      <c r="Z99" s="60"/>
    </row>
    <row r="100" spans="13:26">
      <c r="V100" s="60"/>
      <c r="W100" s="60"/>
      <c r="X100" s="60"/>
      <c r="Y100" s="60"/>
      <c r="Z100" s="60"/>
    </row>
    <row r="101" spans="13:26">
      <c r="V101" s="60"/>
      <c r="W101" s="60"/>
      <c r="X101" s="60"/>
      <c r="Y101" s="60"/>
      <c r="Z101" s="60"/>
    </row>
    <row r="102" spans="13:26">
      <c r="V102" s="60"/>
      <c r="W102" s="60"/>
      <c r="X102" s="60"/>
      <c r="Y102" s="60"/>
      <c r="Z102" s="60"/>
    </row>
    <row r="103" spans="13:26">
      <c r="V103" s="60"/>
      <c r="W103" s="60"/>
      <c r="X103" s="60"/>
      <c r="Y103" s="60"/>
      <c r="Z103" s="60"/>
    </row>
    <row r="104" spans="13:26">
      <c r="V104" s="60"/>
      <c r="W104" s="60"/>
      <c r="X104" s="60"/>
      <c r="Y104" s="60"/>
      <c r="Z104" s="60"/>
    </row>
    <row r="105" spans="13:26">
      <c r="V105" s="60"/>
      <c r="W105" s="60"/>
      <c r="X105" s="60"/>
      <c r="Y105" s="60"/>
      <c r="Z105" s="60"/>
    </row>
    <row r="106" spans="13:26">
      <c r="V106" s="60"/>
      <c r="W106" s="60"/>
      <c r="X106" s="60"/>
      <c r="Y106" s="60"/>
      <c r="Z106" s="60"/>
    </row>
    <row r="107" spans="13:26">
      <c r="V107" s="60"/>
      <c r="W107" s="60"/>
      <c r="X107" s="60"/>
      <c r="Y107" s="60"/>
      <c r="Z107" s="60"/>
    </row>
  </sheetData>
  <sheetProtection password="C7BC" sheet="1"/>
  <customSheetViews>
    <customSheetView guid="{136183A0-5E83-4B15-A2A6-F3C23DCC406A}" showGridLines="0">
      <selection activeCell="G53" sqref="G53"/>
      <pageMargins left="0.75" right="0.75" top="1" bottom="1" header="0.5" footer="0.5"/>
      <pageSetup orientation="portrait" horizontalDpi="0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52">
    <mergeCell ref="B60:K60"/>
    <mergeCell ref="B61:K61"/>
    <mergeCell ref="B62:D62"/>
    <mergeCell ref="G62:I62"/>
    <mergeCell ref="B63:D63"/>
    <mergeCell ref="E63:F63"/>
    <mergeCell ref="G63:I63"/>
    <mergeCell ref="J63:K63"/>
    <mergeCell ref="B54:K54"/>
    <mergeCell ref="B55:K55"/>
    <mergeCell ref="B56:D56"/>
    <mergeCell ref="G56:I56"/>
    <mergeCell ref="B57:D57"/>
    <mergeCell ref="E57:F57"/>
    <mergeCell ref="G57:I57"/>
    <mergeCell ref="J57:K57"/>
    <mergeCell ref="B48:K48"/>
    <mergeCell ref="B49:K49"/>
    <mergeCell ref="B50:D50"/>
    <mergeCell ref="G50:I50"/>
    <mergeCell ref="B51:D51"/>
    <mergeCell ref="E51:F51"/>
    <mergeCell ref="G51:I51"/>
    <mergeCell ref="J51:K51"/>
    <mergeCell ref="B5:K5"/>
    <mergeCell ref="B6:D6"/>
    <mergeCell ref="G6:I6"/>
    <mergeCell ref="B7:D7"/>
    <mergeCell ref="E7:F7"/>
    <mergeCell ref="G7:I7"/>
    <mergeCell ref="J7:K7"/>
    <mergeCell ref="B16:K16"/>
    <mergeCell ref="B17:D17"/>
    <mergeCell ref="G17:I17"/>
    <mergeCell ref="B18:D18"/>
    <mergeCell ref="E18:F18"/>
    <mergeCell ref="G18:I18"/>
    <mergeCell ref="J18:K18"/>
    <mergeCell ref="B25:K25"/>
    <mergeCell ref="B26:D26"/>
    <mergeCell ref="G26:I26"/>
    <mergeCell ref="B27:D27"/>
    <mergeCell ref="E27:F27"/>
    <mergeCell ref="G27:I27"/>
    <mergeCell ref="J27:K27"/>
    <mergeCell ref="B30:K30"/>
    <mergeCell ref="B31:D31"/>
    <mergeCell ref="G31:I31"/>
    <mergeCell ref="B32:D32"/>
    <mergeCell ref="E32:F32"/>
    <mergeCell ref="G32:I32"/>
    <mergeCell ref="J32:K32"/>
  </mergeCells>
  <phoneticPr fontId="0" type="noConversion"/>
  <pageMargins left="0.75" right="0.75" top="1" bottom="1" header="0.5" footer="0.5"/>
  <pageSetup orientation="portrait" horizontalDpi="0" verticalDpi="0" r:id="rId2"/>
  <headerFooter alignWithMargins="0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03FA-C0A0-4413-91E6-E49663E41CDF}">
  <sheetPr codeName="Sheet4">
    <tabColor rgb="FF92D050"/>
  </sheetPr>
  <dimension ref="A1:M29"/>
  <sheetViews>
    <sheetView showGridLines="0" topLeftCell="C1" workbookViewId="0">
      <selection activeCell="C1" sqref="C1"/>
    </sheetView>
  </sheetViews>
  <sheetFormatPr defaultRowHeight="13.2"/>
  <cols>
    <col min="1" max="1" width="8.77734375" hidden="1" customWidth="1"/>
    <col min="2" max="2" width="0" hidden="1" customWidth="1"/>
  </cols>
  <sheetData>
    <row r="1" spans="1:13"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3.8" thickBot="1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13.8">
      <c r="B3" s="74"/>
      <c r="C3" s="450" t="s">
        <v>59</v>
      </c>
      <c r="D3" s="451"/>
      <c r="E3" s="451"/>
      <c r="F3" s="452"/>
      <c r="G3" s="74"/>
      <c r="H3" s="74"/>
      <c r="I3" s="74"/>
      <c r="J3" s="74"/>
      <c r="K3" s="74"/>
      <c r="L3" s="74"/>
      <c r="M3" s="74"/>
    </row>
    <row r="4" spans="1:13" ht="13.8">
      <c r="B4" s="74"/>
      <c r="C4" s="400" t="s">
        <v>60</v>
      </c>
      <c r="D4" s="453" t="s">
        <v>61</v>
      </c>
      <c r="E4" s="454"/>
      <c r="F4" s="455"/>
      <c r="G4" s="74"/>
      <c r="H4" s="74"/>
      <c r="I4" s="74"/>
      <c r="J4" s="74"/>
      <c r="K4" s="74"/>
      <c r="L4" s="74"/>
      <c r="M4" s="74"/>
    </row>
    <row r="5" spans="1:13" ht="13.8">
      <c r="B5" s="74"/>
      <c r="C5" s="401"/>
      <c r="D5" s="456" t="s">
        <v>62</v>
      </c>
      <c r="E5" s="457"/>
      <c r="F5" s="458"/>
      <c r="G5" s="74"/>
      <c r="H5" s="74"/>
      <c r="I5" s="74"/>
      <c r="J5" s="74"/>
      <c r="K5" s="74"/>
      <c r="L5" s="74"/>
      <c r="M5" s="74"/>
    </row>
    <row r="6" spans="1:13" ht="13.8">
      <c r="A6" s="24">
        <v>1.26</v>
      </c>
      <c r="B6" s="402">
        <f>D6</f>
        <v>1.26</v>
      </c>
      <c r="C6" s="403" t="s">
        <v>63</v>
      </c>
      <c r="D6" s="404">
        <v>1.26</v>
      </c>
      <c r="E6" s="405" t="s">
        <v>64</v>
      </c>
      <c r="F6" s="406">
        <v>2.5</v>
      </c>
      <c r="G6" s="74"/>
      <c r="H6" s="74"/>
      <c r="I6" s="74"/>
      <c r="J6" s="74"/>
      <c r="K6" s="74"/>
      <c r="L6" s="74"/>
      <c r="M6" s="74"/>
    </row>
    <row r="7" spans="1:13" ht="13.8">
      <c r="A7" s="24">
        <v>2.5</v>
      </c>
      <c r="B7" s="402">
        <f t="shared" ref="B7:B27" si="0">D7</f>
        <v>2.5</v>
      </c>
      <c r="C7" s="403" t="s">
        <v>65</v>
      </c>
      <c r="D7" s="404">
        <v>2.5</v>
      </c>
      <c r="E7" s="405" t="s">
        <v>64</v>
      </c>
      <c r="F7" s="406">
        <v>5</v>
      </c>
      <c r="G7" s="74"/>
      <c r="H7" s="74"/>
      <c r="I7" s="74"/>
      <c r="J7" s="74"/>
      <c r="K7" s="74"/>
      <c r="L7" s="74"/>
      <c r="M7" s="74"/>
    </row>
    <row r="8" spans="1:13" ht="13.8">
      <c r="A8" s="24">
        <v>5</v>
      </c>
      <c r="B8" s="402">
        <f t="shared" si="0"/>
        <v>5</v>
      </c>
      <c r="C8" s="403" t="s">
        <v>66</v>
      </c>
      <c r="D8" s="404">
        <v>5</v>
      </c>
      <c r="E8" s="405" t="s">
        <v>64</v>
      </c>
      <c r="F8" s="406">
        <v>10</v>
      </c>
      <c r="G8" s="74"/>
      <c r="H8" s="74"/>
      <c r="I8" s="74"/>
      <c r="J8" s="74"/>
      <c r="K8" s="74"/>
      <c r="L8" s="74"/>
      <c r="M8" s="74"/>
    </row>
    <row r="9" spans="1:13" ht="13.8">
      <c r="A9" s="24">
        <v>10</v>
      </c>
      <c r="B9" s="402">
        <f t="shared" si="0"/>
        <v>10</v>
      </c>
      <c r="C9" s="403" t="s">
        <v>53</v>
      </c>
      <c r="D9" s="404">
        <v>10</v>
      </c>
      <c r="E9" s="405" t="s">
        <v>64</v>
      </c>
      <c r="F9" s="406">
        <v>20</v>
      </c>
      <c r="G9" s="74"/>
      <c r="H9" s="74"/>
      <c r="I9" s="74"/>
      <c r="J9" s="74"/>
      <c r="K9" s="74"/>
      <c r="L9" s="74"/>
      <c r="M9" s="74"/>
    </row>
    <row r="10" spans="1:13" ht="13.8">
      <c r="A10" s="24">
        <v>20</v>
      </c>
      <c r="B10" s="402">
        <f t="shared" si="0"/>
        <v>20</v>
      </c>
      <c r="C10" s="403" t="s">
        <v>67</v>
      </c>
      <c r="D10" s="404">
        <v>20</v>
      </c>
      <c r="E10" s="405" t="s">
        <v>64</v>
      </c>
      <c r="F10" s="406">
        <v>40</v>
      </c>
      <c r="G10" s="74"/>
      <c r="H10" s="74"/>
      <c r="I10" s="74"/>
      <c r="J10" s="74"/>
      <c r="K10" s="74"/>
      <c r="L10" s="74"/>
      <c r="M10" s="74"/>
    </row>
    <row r="11" spans="1:13" ht="13.8">
      <c r="A11" s="24">
        <v>40</v>
      </c>
      <c r="B11" s="402">
        <f t="shared" si="0"/>
        <v>40</v>
      </c>
      <c r="C11" s="403" t="s">
        <v>68</v>
      </c>
      <c r="D11" s="404">
        <v>40</v>
      </c>
      <c r="E11" s="405" t="s">
        <v>64</v>
      </c>
      <c r="F11" s="406">
        <v>80</v>
      </c>
      <c r="G11" s="74"/>
      <c r="H11" s="74"/>
      <c r="I11" s="74"/>
      <c r="J11" s="74"/>
      <c r="K11" s="74"/>
      <c r="L11" s="74"/>
      <c r="M11" s="74"/>
    </row>
    <row r="12" spans="1:13" ht="13.8">
      <c r="A12" s="24">
        <v>80</v>
      </c>
      <c r="B12" s="402">
        <f t="shared" si="0"/>
        <v>80</v>
      </c>
      <c r="C12" s="403" t="s">
        <v>69</v>
      </c>
      <c r="D12" s="404">
        <v>80</v>
      </c>
      <c r="E12" s="405" t="s">
        <v>64</v>
      </c>
      <c r="F12" s="406">
        <v>160</v>
      </c>
      <c r="G12" s="74"/>
      <c r="H12" s="74"/>
      <c r="I12" s="74"/>
      <c r="J12" s="74"/>
      <c r="K12" s="74"/>
      <c r="L12" s="74"/>
      <c r="M12" s="74"/>
    </row>
    <row r="13" spans="1:13" ht="13.8">
      <c r="A13" s="24">
        <v>160</v>
      </c>
      <c r="B13" s="402">
        <f t="shared" si="0"/>
        <v>160</v>
      </c>
      <c r="C13" s="403" t="s">
        <v>70</v>
      </c>
      <c r="D13" s="404">
        <v>160</v>
      </c>
      <c r="E13" s="405" t="s">
        <v>64</v>
      </c>
      <c r="F13" s="406">
        <v>320</v>
      </c>
      <c r="G13" s="74"/>
      <c r="H13" s="74"/>
      <c r="I13" s="74"/>
      <c r="J13" s="74"/>
      <c r="K13" s="74"/>
      <c r="L13" s="74"/>
      <c r="M13" s="74"/>
    </row>
    <row r="14" spans="1:13" ht="13.8">
      <c r="A14" s="24">
        <v>320</v>
      </c>
      <c r="B14" s="402">
        <f t="shared" si="0"/>
        <v>320</v>
      </c>
      <c r="C14" s="403" t="s">
        <v>71</v>
      </c>
      <c r="D14" s="404">
        <v>320</v>
      </c>
      <c r="E14" s="405" t="s">
        <v>64</v>
      </c>
      <c r="F14" s="406">
        <v>640</v>
      </c>
      <c r="G14" s="74"/>
      <c r="H14" s="74"/>
      <c r="I14" s="74"/>
      <c r="J14" s="74"/>
      <c r="K14" s="74"/>
      <c r="L14" s="74"/>
      <c r="M14" s="74"/>
    </row>
    <row r="15" spans="1:13" ht="13.8">
      <c r="A15" s="24">
        <v>640</v>
      </c>
      <c r="B15" s="402">
        <f t="shared" si="0"/>
        <v>640</v>
      </c>
      <c r="C15" s="403" t="s">
        <v>72</v>
      </c>
      <c r="D15" s="404">
        <v>640</v>
      </c>
      <c r="E15" s="405" t="s">
        <v>64</v>
      </c>
      <c r="F15" s="406">
        <v>1280</v>
      </c>
      <c r="G15" s="74"/>
      <c r="H15" s="74"/>
      <c r="I15" s="74"/>
      <c r="J15" s="74"/>
      <c r="K15" s="74"/>
      <c r="L15" s="74"/>
      <c r="M15" s="74"/>
    </row>
    <row r="16" spans="1:13" ht="13.8">
      <c r="A16" s="24">
        <v>1280</v>
      </c>
      <c r="B16" s="402">
        <f t="shared" si="0"/>
        <v>1280</v>
      </c>
      <c r="C16" s="403" t="s">
        <v>73</v>
      </c>
      <c r="D16" s="404">
        <v>1280</v>
      </c>
      <c r="E16" s="405" t="s">
        <v>64</v>
      </c>
      <c r="F16" s="406">
        <v>2560</v>
      </c>
      <c r="G16" s="74"/>
      <c r="H16" s="407"/>
      <c r="I16" s="74"/>
      <c r="J16" s="74"/>
      <c r="K16" s="74"/>
      <c r="L16" s="74"/>
      <c r="M16" s="74"/>
    </row>
    <row r="17" spans="1:13" ht="13.8">
      <c r="A17" s="24">
        <v>2560</v>
      </c>
      <c r="B17" s="402">
        <f t="shared" si="0"/>
        <v>2560</v>
      </c>
      <c r="C17" s="403" t="s">
        <v>46</v>
      </c>
      <c r="D17" s="404">
        <v>2560</v>
      </c>
      <c r="E17" s="405" t="s">
        <v>64</v>
      </c>
      <c r="F17" s="406">
        <v>5120</v>
      </c>
      <c r="G17" s="74"/>
      <c r="H17" s="74"/>
      <c r="I17" s="74"/>
      <c r="J17" s="74"/>
      <c r="K17" s="74"/>
      <c r="L17" s="74"/>
      <c r="M17" s="74"/>
    </row>
    <row r="18" spans="1:13" ht="13.8">
      <c r="A18" s="24">
        <v>5120</v>
      </c>
      <c r="B18" s="402">
        <f t="shared" si="0"/>
        <v>5120</v>
      </c>
      <c r="C18" s="403" t="s">
        <v>74</v>
      </c>
      <c r="D18" s="404">
        <v>5120</v>
      </c>
      <c r="E18" s="405" t="s">
        <v>64</v>
      </c>
      <c r="F18" s="406">
        <v>10240</v>
      </c>
      <c r="G18" s="74"/>
      <c r="H18" s="74"/>
      <c r="I18" s="74"/>
      <c r="J18" s="74"/>
      <c r="K18" s="74"/>
      <c r="L18" s="74"/>
      <c r="M18" s="74"/>
    </row>
    <row r="19" spans="1:13" ht="13.8">
      <c r="A19" s="24">
        <v>10240</v>
      </c>
      <c r="B19" s="402">
        <f t="shared" si="0"/>
        <v>10240</v>
      </c>
      <c r="C19" s="403" t="s">
        <v>11</v>
      </c>
      <c r="D19" s="404">
        <v>10240</v>
      </c>
      <c r="E19" s="405" t="s">
        <v>64</v>
      </c>
      <c r="F19" s="406">
        <v>20480</v>
      </c>
      <c r="G19" s="74"/>
      <c r="H19" s="74"/>
      <c r="I19" s="74"/>
      <c r="J19" s="74"/>
      <c r="K19" s="74"/>
      <c r="L19" s="74"/>
      <c r="M19" s="74"/>
    </row>
    <row r="20" spans="1:13" ht="13.8">
      <c r="A20" s="24">
        <v>20480</v>
      </c>
      <c r="B20" s="402">
        <f t="shared" si="0"/>
        <v>20480</v>
      </c>
      <c r="C20" s="403" t="s">
        <v>75</v>
      </c>
      <c r="D20" s="404">
        <v>20480</v>
      </c>
      <c r="E20" s="405" t="s">
        <v>64</v>
      </c>
      <c r="F20" s="406">
        <v>40960</v>
      </c>
      <c r="G20" s="74"/>
      <c r="H20" s="74"/>
      <c r="I20" s="74"/>
      <c r="J20" s="74"/>
      <c r="K20" s="74"/>
      <c r="L20" s="74"/>
      <c r="M20" s="74"/>
    </row>
    <row r="21" spans="1:13" ht="13.8">
      <c r="A21" s="24">
        <v>40960</v>
      </c>
      <c r="B21" s="402">
        <f t="shared" si="0"/>
        <v>40960</v>
      </c>
      <c r="C21" s="403" t="s">
        <v>76</v>
      </c>
      <c r="D21" s="404">
        <v>40960</v>
      </c>
      <c r="E21" s="405" t="s">
        <v>64</v>
      </c>
      <c r="F21" s="406">
        <v>81920</v>
      </c>
      <c r="G21" s="74"/>
      <c r="H21" s="74"/>
      <c r="I21" s="74"/>
      <c r="J21" s="74"/>
      <c r="K21" s="74"/>
      <c r="L21" s="74"/>
      <c r="M21" s="74"/>
    </row>
    <row r="22" spans="1:13" ht="13.8">
      <c r="A22" s="24">
        <v>81920</v>
      </c>
      <c r="B22" s="402">
        <f t="shared" si="0"/>
        <v>81920</v>
      </c>
      <c r="C22" s="403" t="s">
        <v>77</v>
      </c>
      <c r="D22" s="404">
        <f t="shared" ref="D22:D27" si="1">F21</f>
        <v>81920</v>
      </c>
      <c r="E22" s="405" t="s">
        <v>64</v>
      </c>
      <c r="F22" s="406">
        <f t="shared" ref="F22:F27" si="2">2*F21</f>
        <v>163840</v>
      </c>
      <c r="G22" s="74"/>
      <c r="H22" s="74"/>
      <c r="I22" s="74"/>
      <c r="J22" s="74"/>
      <c r="K22" s="74"/>
      <c r="L22" s="74"/>
      <c r="M22" s="74"/>
    </row>
    <row r="23" spans="1:13" ht="13.8">
      <c r="B23" s="402">
        <f t="shared" si="0"/>
        <v>163840</v>
      </c>
      <c r="C23" s="403" t="s">
        <v>360</v>
      </c>
      <c r="D23" s="404">
        <f t="shared" si="1"/>
        <v>163840</v>
      </c>
      <c r="E23" s="405" t="s">
        <v>64</v>
      </c>
      <c r="F23" s="406">
        <f t="shared" si="2"/>
        <v>327680</v>
      </c>
      <c r="G23" s="74"/>
      <c r="H23" s="74"/>
      <c r="I23" s="74"/>
      <c r="J23" s="74"/>
      <c r="K23" s="74"/>
      <c r="L23" s="74"/>
      <c r="M23" s="74"/>
    </row>
    <row r="24" spans="1:13" ht="13.8">
      <c r="B24" s="402">
        <f t="shared" si="0"/>
        <v>327680</v>
      </c>
      <c r="C24" s="403" t="s">
        <v>361</v>
      </c>
      <c r="D24" s="404">
        <f t="shared" si="1"/>
        <v>327680</v>
      </c>
      <c r="E24" s="405" t="s">
        <v>64</v>
      </c>
      <c r="F24" s="406">
        <f t="shared" si="2"/>
        <v>655360</v>
      </c>
      <c r="G24" s="74"/>
      <c r="H24" s="74"/>
      <c r="I24" s="74"/>
      <c r="J24" s="74"/>
      <c r="K24" s="74"/>
      <c r="L24" s="74"/>
      <c r="M24" s="74"/>
    </row>
    <row r="25" spans="1:13" ht="13.8">
      <c r="B25" s="402">
        <f t="shared" si="0"/>
        <v>655360</v>
      </c>
      <c r="C25" s="403" t="s">
        <v>362</v>
      </c>
      <c r="D25" s="404">
        <f t="shared" si="1"/>
        <v>655360</v>
      </c>
      <c r="E25" s="405" t="s">
        <v>64</v>
      </c>
      <c r="F25" s="406">
        <f t="shared" si="2"/>
        <v>1310720</v>
      </c>
      <c r="G25" s="74"/>
      <c r="H25" s="74"/>
      <c r="I25" s="74"/>
      <c r="J25" s="74"/>
      <c r="K25" s="74"/>
      <c r="L25" s="74"/>
      <c r="M25" s="74"/>
    </row>
    <row r="26" spans="1:13" ht="13.8">
      <c r="B26" s="402">
        <f t="shared" si="0"/>
        <v>1310720</v>
      </c>
      <c r="C26" s="403" t="s">
        <v>363</v>
      </c>
      <c r="D26" s="404">
        <f t="shared" si="1"/>
        <v>1310720</v>
      </c>
      <c r="E26" s="405" t="s">
        <v>64</v>
      </c>
      <c r="F26" s="406">
        <f t="shared" si="2"/>
        <v>2621440</v>
      </c>
      <c r="G26" s="74"/>
      <c r="H26" s="74"/>
      <c r="I26" s="74"/>
      <c r="J26" s="74"/>
      <c r="K26" s="74"/>
      <c r="L26" s="74"/>
      <c r="M26" s="74"/>
    </row>
    <row r="27" spans="1:13" ht="14.4" thickBot="1">
      <c r="B27" s="402">
        <f t="shared" si="0"/>
        <v>2621440</v>
      </c>
      <c r="C27" s="408" t="s">
        <v>364</v>
      </c>
      <c r="D27" s="409">
        <f t="shared" si="1"/>
        <v>2621440</v>
      </c>
      <c r="E27" s="410" t="s">
        <v>64</v>
      </c>
      <c r="F27" s="411">
        <f t="shared" si="2"/>
        <v>5242880</v>
      </c>
      <c r="G27" s="74"/>
      <c r="H27" s="74"/>
      <c r="I27" s="74"/>
      <c r="J27" s="74"/>
      <c r="K27" s="74"/>
      <c r="L27" s="74"/>
      <c r="M27" s="74"/>
    </row>
    <row r="28" spans="1:1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</row>
    <row r="29" spans="1:1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</sheetData>
  <sheetProtection password="C7BC" sheet="1"/>
  <customSheetViews>
    <customSheetView guid="{136183A0-5E83-4B15-A2A6-F3C23DCC406A}" showGridLines="0" hiddenColumns="1" topLeftCell="B1">
      <selection activeCell="G53" sqref="G53"/>
      <pageMargins left="0.75" right="0.75" top="1" bottom="1" header="0.5" footer="0.5"/>
      <pageSetup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3">
    <mergeCell ref="C3:F3"/>
    <mergeCell ref="D4:F4"/>
    <mergeCell ref="D5:F5"/>
  </mergeCells>
  <phoneticPr fontId="0" type="noConversion"/>
  <pageMargins left="0.75" right="0.75" top="1" bottom="1" header="0.5" footer="0.5"/>
  <pageSetup orientation="portrait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7DC2-2ED9-4797-A7CF-B86482CC6A5B}">
  <sheetPr codeName="Sheet8">
    <tabColor rgb="FF92D050"/>
  </sheetPr>
  <dimension ref="B3:L16"/>
  <sheetViews>
    <sheetView showGridLines="0" workbookViewId="0">
      <selection activeCell="C7" sqref="C7"/>
    </sheetView>
  </sheetViews>
  <sheetFormatPr defaultRowHeight="13.2"/>
  <cols>
    <col min="1" max="1" width="2.77734375" customWidth="1"/>
    <col min="2" max="2" width="15" customWidth="1"/>
    <col min="7" max="7" width="2.77734375" customWidth="1"/>
    <col min="8" max="8" width="15.44140625" customWidth="1"/>
  </cols>
  <sheetData>
    <row r="3" spans="2:12">
      <c r="B3" s="125"/>
      <c r="C3" s="287"/>
      <c r="D3" s="287"/>
      <c r="E3" s="287"/>
      <c r="F3" s="287"/>
      <c r="G3" s="287"/>
      <c r="H3" s="287"/>
      <c r="I3" s="287"/>
      <c r="J3" s="287"/>
      <c r="K3" s="287"/>
      <c r="L3" s="288"/>
    </row>
    <row r="4" spans="2:12">
      <c r="B4" s="127"/>
      <c r="C4" s="43"/>
      <c r="D4" s="43"/>
      <c r="E4" s="43"/>
      <c r="F4" s="43"/>
      <c r="G4" s="43"/>
      <c r="H4" s="43"/>
      <c r="I4" s="43"/>
      <c r="J4" s="43"/>
      <c r="K4" s="43"/>
      <c r="L4" s="289"/>
    </row>
    <row r="5" spans="2:12">
      <c r="B5" s="459" t="s">
        <v>231</v>
      </c>
      <c r="C5" s="460"/>
      <c r="D5" s="460"/>
      <c r="E5" s="460"/>
      <c r="F5" s="460"/>
      <c r="G5" s="43"/>
      <c r="H5" s="460" t="s">
        <v>232</v>
      </c>
      <c r="I5" s="460"/>
      <c r="J5" s="460"/>
      <c r="K5" s="460"/>
      <c r="L5" s="461"/>
    </row>
    <row r="6" spans="2:12">
      <c r="B6" s="127"/>
      <c r="C6" s="43"/>
      <c r="D6" s="43"/>
      <c r="E6" s="43"/>
      <c r="F6" s="43"/>
      <c r="G6" s="43"/>
      <c r="H6" s="43"/>
      <c r="I6" s="43"/>
      <c r="J6" s="43"/>
      <c r="K6" s="43"/>
      <c r="L6" s="289"/>
    </row>
    <row r="7" spans="2:12" ht="15" customHeight="1">
      <c r="B7" s="421" t="s">
        <v>213</v>
      </c>
      <c r="C7" s="92">
        <v>2</v>
      </c>
      <c r="D7" s="43" t="s">
        <v>207</v>
      </c>
      <c r="E7" s="70">
        <f>C7*25.4</f>
        <v>50.8</v>
      </c>
      <c r="F7" s="43" t="s">
        <v>208</v>
      </c>
      <c r="G7" s="43"/>
      <c r="H7" s="111" t="s">
        <v>213</v>
      </c>
      <c r="I7" s="92">
        <v>25</v>
      </c>
      <c r="J7" s="43" t="s">
        <v>243</v>
      </c>
      <c r="K7" s="112">
        <f>I7/25.4</f>
        <v>0.98425196850393704</v>
      </c>
      <c r="L7" s="289" t="s">
        <v>233</v>
      </c>
    </row>
    <row r="8" spans="2:12" ht="15" customHeight="1">
      <c r="B8" s="421" t="s">
        <v>213</v>
      </c>
      <c r="C8" s="92">
        <v>2</v>
      </c>
      <c r="D8" s="43" t="s">
        <v>207</v>
      </c>
      <c r="E8" s="70">
        <f>C8*2.54</f>
        <v>5.08</v>
      </c>
      <c r="F8" s="43" t="s">
        <v>209</v>
      </c>
      <c r="G8" s="43"/>
      <c r="H8" s="111" t="s">
        <v>213</v>
      </c>
      <c r="I8" s="92">
        <v>10</v>
      </c>
      <c r="J8" s="43" t="s">
        <v>244</v>
      </c>
      <c r="K8" s="112">
        <f>I8/2.54</f>
        <v>3.9370078740157481</v>
      </c>
      <c r="L8" s="289" t="s">
        <v>234</v>
      </c>
    </row>
    <row r="9" spans="2:12" ht="15" customHeight="1">
      <c r="B9" s="421" t="s">
        <v>214</v>
      </c>
      <c r="C9" s="92">
        <v>1</v>
      </c>
      <c r="D9" s="43" t="s">
        <v>210</v>
      </c>
      <c r="E9" s="70">
        <f>C9*0.4536</f>
        <v>0.4536</v>
      </c>
      <c r="F9" s="43" t="s">
        <v>28</v>
      </c>
      <c r="G9" s="43"/>
      <c r="H9" s="111" t="s">
        <v>214</v>
      </c>
      <c r="I9" s="92">
        <v>1</v>
      </c>
      <c r="J9" s="43" t="s">
        <v>245</v>
      </c>
      <c r="K9" s="112">
        <f>I9/0.4536</f>
        <v>2.204585537918871</v>
      </c>
      <c r="L9" s="289" t="s">
        <v>235</v>
      </c>
    </row>
    <row r="10" spans="2:12" ht="15" customHeight="1">
      <c r="B10" s="421" t="s">
        <v>215</v>
      </c>
      <c r="C10" s="92">
        <v>1</v>
      </c>
      <c r="D10" s="43" t="s">
        <v>211</v>
      </c>
      <c r="E10" s="70">
        <f>C10*4.448</f>
        <v>4.4480000000000004</v>
      </c>
      <c r="F10" s="43" t="s">
        <v>168</v>
      </c>
      <c r="G10" s="43"/>
      <c r="H10" s="111" t="s">
        <v>215</v>
      </c>
      <c r="I10" s="92">
        <v>100</v>
      </c>
      <c r="J10" s="43" t="s">
        <v>246</v>
      </c>
      <c r="K10" s="112">
        <f>I10/4.448</f>
        <v>22.482014388489208</v>
      </c>
      <c r="L10" s="289" t="s">
        <v>236</v>
      </c>
    </row>
    <row r="11" spans="2:12" ht="15" customHeight="1">
      <c r="B11" s="421" t="s">
        <v>216</v>
      </c>
      <c r="C11" s="92">
        <v>5.7360000000000001E-2</v>
      </c>
      <c r="D11" s="43" t="s">
        <v>212</v>
      </c>
      <c r="E11" s="112">
        <f>C11*453.6/2.54^3</f>
        <v>1.5877460416338158</v>
      </c>
      <c r="F11" s="43" t="s">
        <v>251</v>
      </c>
      <c r="G11" s="43"/>
      <c r="H11" s="111" t="s">
        <v>216</v>
      </c>
      <c r="I11" s="92">
        <v>1.8</v>
      </c>
      <c r="J11" s="43" t="s">
        <v>222</v>
      </c>
      <c r="K11" s="113">
        <f>I11/453.6*2.54^3</f>
        <v>6.5028031746031736E-2</v>
      </c>
      <c r="L11" s="289" t="s">
        <v>237</v>
      </c>
    </row>
    <row r="12" spans="2:12" ht="15" customHeight="1">
      <c r="B12" s="421" t="s">
        <v>217</v>
      </c>
      <c r="C12" s="92">
        <v>1000</v>
      </c>
      <c r="D12" s="43" t="s">
        <v>218</v>
      </c>
      <c r="E12" s="70">
        <f>C12*6895/1000000</f>
        <v>6.8949999999999996</v>
      </c>
      <c r="F12" s="43" t="s">
        <v>206</v>
      </c>
      <c r="G12" s="43"/>
      <c r="H12" s="111" t="s">
        <v>217</v>
      </c>
      <c r="I12" s="92">
        <v>5.5149999999999997</v>
      </c>
      <c r="J12" s="43" t="s">
        <v>247</v>
      </c>
      <c r="K12" s="114">
        <f>I12/6895*1000000</f>
        <v>799.85496736765765</v>
      </c>
      <c r="L12" s="289" t="s">
        <v>238</v>
      </c>
    </row>
    <row r="13" spans="2:12" ht="15" customHeight="1">
      <c r="B13" s="421" t="s">
        <v>219</v>
      </c>
      <c r="C13" s="92">
        <v>0.2</v>
      </c>
      <c r="D13" s="43" t="s">
        <v>220</v>
      </c>
      <c r="E13" s="114">
        <f>C13*25.4^2</f>
        <v>129.03200000000001</v>
      </c>
      <c r="F13" s="43" t="s">
        <v>252</v>
      </c>
      <c r="G13" s="43"/>
      <c r="H13" s="111" t="s">
        <v>219</v>
      </c>
      <c r="I13" s="92">
        <v>80</v>
      </c>
      <c r="J13" s="43" t="s">
        <v>221</v>
      </c>
      <c r="K13" s="112">
        <f>I13/25.4^2</f>
        <v>0.12400024800049601</v>
      </c>
      <c r="L13" s="289" t="s">
        <v>239</v>
      </c>
    </row>
    <row r="14" spans="2:12" ht="15" customHeight="1">
      <c r="B14" s="421" t="s">
        <v>223</v>
      </c>
      <c r="C14" s="92">
        <v>120</v>
      </c>
      <c r="D14" s="43" t="s">
        <v>224</v>
      </c>
      <c r="E14" s="70">
        <f>C14*4.448</f>
        <v>533.76</v>
      </c>
      <c r="F14" s="43" t="s">
        <v>174</v>
      </c>
      <c r="G14" s="43"/>
      <c r="H14" s="111" t="s">
        <v>223</v>
      </c>
      <c r="I14" s="92">
        <v>450</v>
      </c>
      <c r="J14" s="43" t="s">
        <v>248</v>
      </c>
      <c r="K14" s="112">
        <f>I14/4.448</f>
        <v>101.16906474820144</v>
      </c>
      <c r="L14" s="289" t="s">
        <v>240</v>
      </c>
    </row>
    <row r="15" spans="2:12" ht="15" customHeight="1">
      <c r="B15" s="421" t="s">
        <v>225</v>
      </c>
      <c r="C15" s="92">
        <v>80</v>
      </c>
      <c r="D15" s="43" t="s">
        <v>229</v>
      </c>
      <c r="E15" s="115">
        <f>(C15-32)/9*5</f>
        <v>26.666666666666664</v>
      </c>
      <c r="F15" s="43" t="s">
        <v>230</v>
      </c>
      <c r="G15" s="43"/>
      <c r="H15" s="111" t="s">
        <v>225</v>
      </c>
      <c r="I15" s="92">
        <v>100</v>
      </c>
      <c r="J15" s="43" t="s">
        <v>249</v>
      </c>
      <c r="K15" s="114">
        <f>I15/5*9+32</f>
        <v>212</v>
      </c>
      <c r="L15" s="289" t="s">
        <v>241</v>
      </c>
    </row>
    <row r="16" spans="2:12" ht="15" customHeight="1">
      <c r="B16" s="422" t="s">
        <v>228</v>
      </c>
      <c r="C16" s="423">
        <v>2700</v>
      </c>
      <c r="D16" s="110" t="s">
        <v>226</v>
      </c>
      <c r="E16" s="424">
        <f>5/9*C16</f>
        <v>1500</v>
      </c>
      <c r="F16" s="110" t="s">
        <v>227</v>
      </c>
      <c r="G16" s="110"/>
      <c r="H16" s="425" t="s">
        <v>228</v>
      </c>
      <c r="I16" s="423">
        <v>1600</v>
      </c>
      <c r="J16" s="110" t="s">
        <v>250</v>
      </c>
      <c r="K16" s="424">
        <f>9/5*I16</f>
        <v>2880</v>
      </c>
      <c r="L16" s="28" t="s">
        <v>242</v>
      </c>
    </row>
  </sheetData>
  <sheetProtection password="C7BC" sheet="1"/>
  <customSheetViews>
    <customSheetView guid="{136183A0-5E83-4B15-A2A6-F3C23DCC406A}" showGridLines="0">
      <selection activeCell="G53" sqref="G53"/>
      <pageMargins left="0.75" right="0.75" top="1" bottom="1" header="0.5" footer="0.5"/>
      <pageSetup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B5:F5"/>
    <mergeCell ref="H5:L5"/>
  </mergeCells>
  <phoneticPr fontId="0" type="noConversion"/>
  <pageMargins left="0.75" right="0.75" top="1" bottom="1" header="0.5" footer="0.5"/>
  <pageSetup orientation="portrait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9E5C-5813-4391-9C37-4C8943D75548}">
  <sheetPr codeName="Sheet10">
    <tabColor rgb="FF92D050"/>
  </sheetPr>
  <dimension ref="B2:M33"/>
  <sheetViews>
    <sheetView showGridLines="0" showRowColHeaders="0" showOutlineSymbols="0" workbookViewId="0"/>
  </sheetViews>
  <sheetFormatPr defaultRowHeight="13.2"/>
  <cols>
    <col min="1" max="1" width="5.21875" customWidth="1"/>
    <col min="4" max="4" width="16.77734375" customWidth="1"/>
    <col min="5" max="5" width="70.6640625" customWidth="1"/>
  </cols>
  <sheetData>
    <row r="2" spans="2:13">
      <c r="B2" s="82" t="s">
        <v>299</v>
      </c>
    </row>
    <row r="4" spans="2:13">
      <c r="B4" s="128" t="s">
        <v>295</v>
      </c>
      <c r="C4" s="129" t="s">
        <v>296</v>
      </c>
      <c r="D4" s="130" t="s">
        <v>297</v>
      </c>
      <c r="E4" s="131" t="s">
        <v>298</v>
      </c>
      <c r="F4" s="2"/>
    </row>
    <row r="5" spans="2:13">
      <c r="B5" s="32" t="s">
        <v>300</v>
      </c>
      <c r="C5" s="135" t="s">
        <v>301</v>
      </c>
      <c r="D5" s="33" t="s">
        <v>306</v>
      </c>
      <c r="E5" s="136" t="s">
        <v>305</v>
      </c>
      <c r="F5" s="43"/>
      <c r="G5" s="43"/>
      <c r="H5" s="43"/>
      <c r="I5" s="43"/>
      <c r="J5" s="43"/>
      <c r="K5" s="43"/>
      <c r="L5" s="43"/>
      <c r="M5" s="43"/>
    </row>
    <row r="6" spans="2:13">
      <c r="B6" s="125" t="s">
        <v>302</v>
      </c>
      <c r="C6" s="126" t="s">
        <v>303</v>
      </c>
      <c r="D6" s="46" t="s">
        <v>307</v>
      </c>
      <c r="E6" s="132" t="s">
        <v>304</v>
      </c>
      <c r="F6" s="43"/>
      <c r="G6" s="43"/>
      <c r="H6" s="43"/>
      <c r="I6" s="43"/>
      <c r="J6" s="43"/>
      <c r="K6" s="43"/>
      <c r="L6" s="43"/>
      <c r="M6" s="43"/>
    </row>
    <row r="7" spans="2:13">
      <c r="B7" s="127"/>
      <c r="C7" s="43"/>
      <c r="D7" s="41"/>
      <c r="E7" s="133" t="s">
        <v>308</v>
      </c>
      <c r="F7" s="43"/>
      <c r="G7" s="43"/>
      <c r="H7" s="43"/>
      <c r="I7" s="43"/>
      <c r="J7" s="43"/>
      <c r="K7" s="43"/>
      <c r="L7" s="43"/>
      <c r="M7" s="43"/>
    </row>
    <row r="8" spans="2:13">
      <c r="B8" s="127"/>
      <c r="C8" s="43"/>
      <c r="D8" s="41"/>
      <c r="E8" s="133" t="s">
        <v>309</v>
      </c>
      <c r="F8" s="43"/>
      <c r="G8" s="43"/>
      <c r="H8" s="43"/>
      <c r="I8" s="43"/>
      <c r="J8" s="43"/>
      <c r="K8" s="43"/>
      <c r="L8" s="43"/>
      <c r="M8" s="43"/>
    </row>
    <row r="9" spans="2:13">
      <c r="B9" s="26"/>
      <c r="C9" s="110"/>
      <c r="D9" s="27" t="s">
        <v>310</v>
      </c>
      <c r="E9" s="134" t="s">
        <v>311</v>
      </c>
      <c r="F9" s="43"/>
      <c r="G9" s="43"/>
      <c r="H9" s="43"/>
      <c r="I9" s="43"/>
      <c r="J9" s="43"/>
      <c r="K9" s="43"/>
      <c r="L9" s="43"/>
      <c r="M9" s="43"/>
    </row>
    <row r="10" spans="2:13">
      <c r="B10" s="163" t="s">
        <v>312</v>
      </c>
      <c r="C10" s="164" t="s">
        <v>359</v>
      </c>
      <c r="D10" s="46" t="s">
        <v>320</v>
      </c>
      <c r="E10" s="165" t="s">
        <v>327</v>
      </c>
      <c r="F10" s="43"/>
      <c r="G10" s="43"/>
      <c r="H10" s="43"/>
      <c r="I10" s="43"/>
      <c r="J10" s="43"/>
      <c r="K10" s="43"/>
      <c r="L10" s="43"/>
      <c r="M10" s="43"/>
    </row>
    <row r="11" spans="2:13">
      <c r="B11" s="127"/>
      <c r="C11" s="43"/>
      <c r="D11" s="43"/>
      <c r="E11" s="137" t="s">
        <v>326</v>
      </c>
      <c r="F11" s="43"/>
      <c r="G11" s="43"/>
      <c r="H11" s="43"/>
      <c r="I11" s="43"/>
      <c r="J11" s="43"/>
      <c r="K11" s="43"/>
      <c r="L11" s="43"/>
      <c r="M11" s="43"/>
    </row>
    <row r="12" spans="2:13">
      <c r="B12" s="127"/>
      <c r="C12" s="43"/>
      <c r="D12" s="41" t="s">
        <v>310</v>
      </c>
      <c r="E12" s="137" t="s">
        <v>313</v>
      </c>
      <c r="F12" s="43"/>
      <c r="G12" s="43"/>
      <c r="H12" s="43"/>
      <c r="I12" s="43"/>
      <c r="J12" s="43"/>
      <c r="K12" s="43"/>
      <c r="L12" s="43"/>
      <c r="M12" s="43"/>
    </row>
    <row r="13" spans="2:13">
      <c r="B13" s="127"/>
      <c r="C13" s="43"/>
      <c r="D13" s="43"/>
      <c r="E13" s="137" t="s">
        <v>325</v>
      </c>
    </row>
    <row r="14" spans="2:13">
      <c r="B14" s="127"/>
      <c r="C14" s="43"/>
      <c r="D14" s="43"/>
      <c r="E14" s="137" t="s">
        <v>358</v>
      </c>
    </row>
    <row r="15" spans="2:13">
      <c r="B15" s="127"/>
      <c r="C15" s="43"/>
      <c r="D15" s="41" t="s">
        <v>217</v>
      </c>
      <c r="E15" s="137" t="s">
        <v>331</v>
      </c>
    </row>
    <row r="16" spans="2:13">
      <c r="B16" s="127"/>
      <c r="C16" s="43"/>
      <c r="D16" s="41"/>
      <c r="E16" s="137" t="s">
        <v>358</v>
      </c>
    </row>
    <row r="17" spans="2:5">
      <c r="B17" s="127"/>
      <c r="C17" s="43"/>
      <c r="D17" s="41" t="s">
        <v>307</v>
      </c>
      <c r="E17" s="137" t="s">
        <v>332</v>
      </c>
    </row>
    <row r="18" spans="2:5">
      <c r="B18" s="127"/>
      <c r="C18" s="43"/>
      <c r="D18" s="41" t="s">
        <v>323</v>
      </c>
      <c r="E18" s="137" t="s">
        <v>324</v>
      </c>
    </row>
    <row r="19" spans="2:5">
      <c r="B19" s="127"/>
      <c r="C19" s="43"/>
      <c r="D19" s="41"/>
      <c r="E19" s="137" t="s">
        <v>357</v>
      </c>
    </row>
    <row r="20" spans="2:5">
      <c r="B20" s="127"/>
      <c r="C20" s="43"/>
      <c r="D20" s="215" t="s">
        <v>354</v>
      </c>
      <c r="E20" s="137" t="s">
        <v>355</v>
      </c>
    </row>
    <row r="21" spans="2:5">
      <c r="B21" s="26"/>
      <c r="C21" s="110"/>
      <c r="D21" s="27" t="s">
        <v>321</v>
      </c>
      <c r="E21" s="166" t="s">
        <v>322</v>
      </c>
    </row>
    <row r="22" spans="2:5">
      <c r="B22" s="339">
        <v>2014</v>
      </c>
      <c r="C22" s="340" t="s">
        <v>466</v>
      </c>
      <c r="D22" s="287"/>
      <c r="E22" s="379" t="s">
        <v>517</v>
      </c>
    </row>
    <row r="23" spans="2:5">
      <c r="B23" s="349"/>
      <c r="C23" s="70"/>
      <c r="D23" s="43"/>
      <c r="E23" s="350" t="s">
        <v>441</v>
      </c>
    </row>
    <row r="24" spans="2:5">
      <c r="B24" s="26"/>
      <c r="C24" s="110"/>
      <c r="D24" s="27"/>
      <c r="E24" s="341" t="s">
        <v>500</v>
      </c>
    </row>
    <row r="25" spans="2:5" ht="26.4">
      <c r="B25" s="427">
        <v>2014.1</v>
      </c>
      <c r="C25" s="428" t="s">
        <v>523</v>
      </c>
      <c r="D25" s="429" t="s">
        <v>217</v>
      </c>
      <c r="E25" s="397" t="s">
        <v>519</v>
      </c>
    </row>
    <row r="26" spans="2:5">
      <c r="B26" s="339">
        <v>2023</v>
      </c>
      <c r="C26" s="426" t="s">
        <v>522</v>
      </c>
      <c r="D26" s="46" t="s">
        <v>323</v>
      </c>
      <c r="E26" s="165" t="s">
        <v>543</v>
      </c>
    </row>
    <row r="27" spans="2:5">
      <c r="B27" s="127"/>
      <c r="C27" s="43"/>
      <c r="D27" s="41" t="s">
        <v>310</v>
      </c>
      <c r="E27" s="137" t="s">
        <v>554</v>
      </c>
    </row>
    <row r="28" spans="2:5">
      <c r="B28" s="127"/>
      <c r="C28" s="43"/>
      <c r="D28" s="41" t="s">
        <v>217</v>
      </c>
      <c r="E28" s="137" t="s">
        <v>556</v>
      </c>
    </row>
    <row r="29" spans="2:5">
      <c r="B29" s="127"/>
      <c r="C29" s="43"/>
      <c r="D29" s="41" t="s">
        <v>307</v>
      </c>
      <c r="E29" s="137" t="s">
        <v>542</v>
      </c>
    </row>
    <row r="30" spans="2:5">
      <c r="B30" s="127"/>
      <c r="C30" s="43"/>
      <c r="D30" s="43"/>
      <c r="E30" s="137" t="s">
        <v>556</v>
      </c>
    </row>
    <row r="31" spans="2:5">
      <c r="B31" s="127"/>
      <c r="C31" s="43"/>
      <c r="D31" s="41" t="s">
        <v>320</v>
      </c>
      <c r="E31" s="133" t="s">
        <v>535</v>
      </c>
    </row>
    <row r="32" spans="2:5">
      <c r="B32" s="127"/>
      <c r="C32" s="43"/>
      <c r="D32" s="41" t="s">
        <v>552</v>
      </c>
      <c r="E32" s="137" t="s">
        <v>553</v>
      </c>
    </row>
    <row r="33" spans="2:5">
      <c r="B33" s="26"/>
      <c r="C33" s="110"/>
      <c r="D33" s="27" t="s">
        <v>60</v>
      </c>
      <c r="E33" s="166" t="s">
        <v>545</v>
      </c>
    </row>
  </sheetData>
  <sheetProtection password="C7BC" sheet="1"/>
  <customSheetViews>
    <customSheetView guid="{136183A0-5E83-4B15-A2A6-F3C23DCC406A}" showGridLines="0" showRowCol="0" outlineSymbols="0">
      <selection activeCell="G53" sqref="G53"/>
      <pageMargins left="0.75" right="0.75" top="1" bottom="1" header="0.5" footer="0.5"/>
      <pageSetup orientation="portrait" horizontalDpi="0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pageMargins left="0.75" right="0.75" top="1" bottom="1" header="0.5" footer="0.5"/>
  <pageSetup orientation="portrait" horizontalDpi="90" verticalDpi="9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127</vt:i4>
      </vt:variant>
    </vt:vector>
  </HeadingPairs>
  <TitlesOfParts>
    <vt:vector size="138" baseType="lpstr">
      <vt:lpstr>Intro</vt:lpstr>
      <vt:lpstr>Data and Kn</vt:lpstr>
      <vt:lpstr>Pressure</vt:lpstr>
      <vt:lpstr>Performance</vt:lpstr>
      <vt:lpstr>Nozzle Design</vt:lpstr>
      <vt:lpstr>Output</vt:lpstr>
      <vt:lpstr>Propellant data</vt:lpstr>
      <vt:lpstr>Burnrate</vt:lpstr>
      <vt:lpstr>Class</vt:lpstr>
      <vt:lpstr>UnitsConv</vt:lpstr>
      <vt:lpstr>Revisions</vt:lpstr>
      <vt:lpstr>abmax</vt:lpstr>
      <vt:lpstr>abo</vt:lpstr>
      <vt:lpstr>ae_1</vt:lpstr>
      <vt:lpstr>aexit</vt:lpstr>
      <vt:lpstr>alpha</vt:lpstr>
      <vt:lpstr>am_0</vt:lpstr>
      <vt:lpstr>am_1</vt:lpstr>
      <vt:lpstr>am_3</vt:lpstr>
      <vt:lpstr>am_4</vt:lpstr>
      <vt:lpstr>an_0</vt:lpstr>
      <vt:lpstr>an_4</vt:lpstr>
      <vt:lpstr>astarf</vt:lpstr>
      <vt:lpstr>at</vt:lpstr>
      <vt:lpstr>atfinal</vt:lpstr>
      <vt:lpstr>beta</vt:lpstr>
      <vt:lpstr>chpressures</vt:lpstr>
      <vt:lpstr>ci</vt:lpstr>
      <vt:lpstr>cstar</vt:lpstr>
      <vt:lpstr>dc</vt:lpstr>
      <vt:lpstr>dcplot</vt:lpstr>
      <vt:lpstr>deltap</vt:lpstr>
      <vt:lpstr>deltat</vt:lpstr>
      <vt:lpstr>deltax</vt:lpstr>
      <vt:lpstr>dio</vt:lpstr>
      <vt:lpstr>do</vt:lpstr>
      <vt:lpstr>dto</vt:lpstr>
      <vt:lpstr>ei</vt:lpstr>
      <vt:lpstr>erate</vt:lpstr>
      <vt:lpstr>etac</vt:lpstr>
      <vt:lpstr>etanoz</vt:lpstr>
      <vt:lpstr>exprat</vt:lpstr>
      <vt:lpstr>expratfinal</vt:lpstr>
      <vt:lpstr>fmax</vt:lpstr>
      <vt:lpstr>fueltype</vt:lpstr>
      <vt:lpstr>gstar</vt:lpstr>
      <vt:lpstr>itot</vt:lpstr>
      <vt:lpstr>itsum</vt:lpstr>
      <vt:lpstr>k</vt:lpstr>
      <vt:lpstr>k2ph</vt:lpstr>
      <vt:lpstr>kn</vt:lpstr>
      <vt:lpstr>kndxbn_</vt:lpstr>
      <vt:lpstr>knotherbn_</vt:lpstr>
      <vt:lpstr>knrange</vt:lpstr>
      <vt:lpstr>knsbcobn_</vt:lpstr>
      <vt:lpstr>knselecttab</vt:lpstr>
      <vt:lpstr>knsobn_</vt:lpstr>
      <vt:lpstr>knsubn_</vt:lpstr>
      <vt:lpstr>ks_dx</vt:lpstr>
      <vt:lpstr>ks_er</vt:lpstr>
      <vt:lpstr>ks_fr</vt:lpstr>
      <vt:lpstr>ks_mn</vt:lpstr>
      <vt:lpstr>ks_ot</vt:lpstr>
      <vt:lpstr>ks_so</vt:lpstr>
      <vt:lpstr>ks_su</vt:lpstr>
      <vt:lpstr>kv</vt:lpstr>
      <vt:lpstr>lc</vt:lpstr>
      <vt:lpstr>lgo</vt:lpstr>
      <vt:lpstr>lo</vt:lpstr>
      <vt:lpstr>m</vt:lpstr>
      <vt:lpstr>m_dx</vt:lpstr>
      <vt:lpstr>m_er</vt:lpstr>
      <vt:lpstr>m_fr</vt:lpstr>
      <vt:lpstr>m_mn</vt:lpstr>
      <vt:lpstr>m_ot</vt:lpstr>
      <vt:lpstr>m_so</vt:lpstr>
      <vt:lpstr>m_su</vt:lpstr>
      <vt:lpstr>me</vt:lpstr>
      <vt:lpstr>mef</vt:lpstr>
      <vt:lpstr>mgrain</vt:lpstr>
      <vt:lpstr>motorclass</vt:lpstr>
      <vt:lpstr>n</vt:lpstr>
      <vt:lpstr>ne_1</vt:lpstr>
      <vt:lpstr>nm_1</vt:lpstr>
      <vt:lpstr>nm_3</vt:lpstr>
      <vt:lpstr>nm_4</vt:lpstr>
      <vt:lpstr>note1</vt:lpstr>
      <vt:lpstr>osi</vt:lpstr>
      <vt:lpstr>otherbn_</vt:lpstr>
      <vt:lpstr>patm</vt:lpstr>
      <vt:lpstr>pbd</vt:lpstr>
      <vt:lpstr>pbout</vt:lpstr>
      <vt:lpstr>pfinal</vt:lpstr>
      <vt:lpstr>pmax</vt:lpstr>
      <vt:lpstr>pmaxperc</vt:lpstr>
      <vt:lpstr>pmselect</vt:lpstr>
      <vt:lpstr>pressures</vt:lpstr>
      <vt:lpstr>'Data and Kn'!Print_Area</vt:lpstr>
      <vt:lpstr>Output!Print_Area</vt:lpstr>
      <vt:lpstr>Performance!Print_Area</vt:lpstr>
      <vt:lpstr>Pressure!Print_Area</vt:lpstr>
      <vt:lpstr>propellants</vt:lpstr>
      <vt:lpstr>pselect</vt:lpstr>
      <vt:lpstr>rat</vt:lpstr>
      <vt:lpstr>ravg</vt:lpstr>
      <vt:lpstr>rhopdex</vt:lpstr>
      <vt:lpstr>rhoper</vt:lpstr>
      <vt:lpstr>rhopfr</vt:lpstr>
      <vt:lpstr>rhopgrain</vt:lpstr>
      <vt:lpstr>rhopgraini</vt:lpstr>
      <vt:lpstr>rhopmn</vt:lpstr>
      <vt:lpstr>rhopot</vt:lpstr>
      <vt:lpstr>rhopsorb</vt:lpstr>
      <vt:lpstr>rhopsu</vt:lpstr>
      <vt:lpstr>rhorat</vt:lpstr>
      <vt:lpstr>runiv</vt:lpstr>
      <vt:lpstr>surfacecondition</vt:lpstr>
      <vt:lpstr>tbinc</vt:lpstr>
      <vt:lpstr>tbout</vt:lpstr>
      <vt:lpstr>tincp</vt:lpstr>
      <vt:lpstr>to</vt:lpstr>
      <vt:lpstr>to_dx</vt:lpstr>
      <vt:lpstr>to_er</vt:lpstr>
      <vt:lpstr>to_fr</vt:lpstr>
      <vt:lpstr>to_mn</vt:lpstr>
      <vt:lpstr>to_ot</vt:lpstr>
      <vt:lpstr>to_so</vt:lpstr>
      <vt:lpstr>to_su</vt:lpstr>
      <vt:lpstr>tothe</vt:lpstr>
      <vt:lpstr>tthr</vt:lpstr>
      <vt:lpstr>twebfinal</vt:lpstr>
      <vt:lpstr>twebout</vt:lpstr>
      <vt:lpstr>two</vt:lpstr>
      <vt:lpstr>vc</vt:lpstr>
      <vt:lpstr>vg</vt:lpstr>
      <vt:lpstr>xfinal</vt:lpstr>
      <vt:lpstr>xinc</vt:lpstr>
      <vt:lpstr>xincp</vt:lpstr>
    </vt:vector>
  </TitlesOfParts>
  <Company>rockets unlimited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  Nakka</dc:creator>
  <cp:lastModifiedBy>Francisco Araújo</cp:lastModifiedBy>
  <cp:lastPrinted>2026-04-06T02:50:25Z</cp:lastPrinted>
  <dcterms:created xsi:type="dcterms:W3CDTF">1999-11-21T17:16:22Z</dcterms:created>
  <dcterms:modified xsi:type="dcterms:W3CDTF">2026-04-06T05:04:59Z</dcterms:modified>
</cp:coreProperties>
</file>